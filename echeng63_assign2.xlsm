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D69CD684-D0C7-2943-3DEE-EAF2D3A0B7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avis/Desktop/"/>
    </mc:Choice>
  </mc:AlternateContent>
  <xr:revisionPtr revIDLastSave="0" documentId="8_{83934E86-4508-6443-BCCA-298988DC8685}" xr6:coauthVersionLast="45" xr6:coauthVersionMax="45" xr10:uidLastSave="{00000000-0000-0000-0000-000000000000}"/>
  <bookViews>
    <workbookView xWindow="0" yWindow="0" windowWidth="25600" windowHeight="16000" xr2:uid="{00000000-000D-0000-FFFF-FFFF00000000}"/>
  </bookViews>
  <sheets>
    <sheet name="rawData" sheetId="1" r:id="rId1"/>
    <sheet name="processedData" sheetId="3" r:id="rId2"/>
    <sheet name="keywords" sheetId="5" r:id="rId3"/>
    <sheet name="analysis" sheetId="4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28" i="4" l="1"/>
  <c r="C13" i="4"/>
  <c r="C12" i="4"/>
  <c r="H26" i="4"/>
  <c r="H27" i="4"/>
  <c r="H25" i="4"/>
  <c r="H24" i="4"/>
  <c r="H23" i="4"/>
  <c r="H22" i="4"/>
  <c r="H21" i="4"/>
  <c r="H20" i="4"/>
  <c r="H19" i="4"/>
  <c r="H18" i="4"/>
  <c r="C30" i="4"/>
  <c r="C29" i="4"/>
  <c r="C27" i="4"/>
  <c r="C26" i="4"/>
  <c r="C25" i="4"/>
  <c r="C24" i="4"/>
  <c r="C23" i="4"/>
  <c r="C22" i="4"/>
  <c r="C21" i="4"/>
  <c r="C20" i="4"/>
  <c r="C19" i="4"/>
  <c r="C18" i="4"/>
  <c r="C10" i="4"/>
  <c r="C11" i="4"/>
  <c r="G12" i="4"/>
  <c r="I2" i="1"/>
  <c r="J2" i="3"/>
  <c r="J61" i="3"/>
  <c r="K61" i="3" s="1"/>
  <c r="J93" i="3"/>
  <c r="K93" i="3" s="1"/>
  <c r="J125" i="3"/>
  <c r="K125" i="3" s="1"/>
  <c r="J157" i="3"/>
  <c r="K157" i="3" s="1"/>
  <c r="J189" i="3"/>
  <c r="K189" i="3" s="1"/>
  <c r="J221" i="3"/>
  <c r="K221" i="3" s="1"/>
  <c r="J253" i="3"/>
  <c r="K253" i="3" s="1"/>
  <c r="J285" i="3"/>
  <c r="K285" i="3" s="1"/>
  <c r="J317" i="3"/>
  <c r="K317" i="3" s="1"/>
  <c r="J349" i="3"/>
  <c r="K349" i="3" s="1"/>
  <c r="J381" i="3"/>
  <c r="K381" i="3" s="1"/>
  <c r="J413" i="3"/>
  <c r="K413" i="3" s="1"/>
  <c r="J445" i="3"/>
  <c r="K445" i="3" s="1"/>
  <c r="J477" i="3"/>
  <c r="K477" i="3" s="1"/>
  <c r="J509" i="3"/>
  <c r="K509" i="3" s="1"/>
  <c r="J541" i="3"/>
  <c r="K541" i="3" s="1"/>
  <c r="J573" i="3"/>
  <c r="K573" i="3" s="1"/>
  <c r="J605" i="3"/>
  <c r="K605" i="3" s="1"/>
  <c r="J46" i="3"/>
  <c r="K46" i="3" s="1"/>
  <c r="J78" i="3"/>
  <c r="K78" i="3" s="1"/>
  <c r="J110" i="3"/>
  <c r="K110" i="3" s="1"/>
  <c r="J142" i="3"/>
  <c r="K142" i="3" s="1"/>
  <c r="J174" i="3"/>
  <c r="K174" i="3" s="1"/>
  <c r="J206" i="3"/>
  <c r="K206" i="3" s="1"/>
  <c r="J238" i="3"/>
  <c r="K238" i="3" s="1"/>
  <c r="J270" i="3"/>
  <c r="K270" i="3" s="1"/>
  <c r="J302" i="3"/>
  <c r="K302" i="3" s="1"/>
  <c r="J334" i="3"/>
  <c r="K334" i="3" s="1"/>
  <c r="J366" i="3"/>
  <c r="K366" i="3" s="1"/>
  <c r="J398" i="3"/>
  <c r="K398" i="3" s="1"/>
  <c r="J430" i="3"/>
  <c r="K430" i="3" s="1"/>
  <c r="J462" i="3"/>
  <c r="K462" i="3" s="1"/>
  <c r="J494" i="3"/>
  <c r="K494" i="3" s="1"/>
  <c r="J526" i="3"/>
  <c r="K526" i="3" s="1"/>
  <c r="J558" i="3"/>
  <c r="K558" i="3" s="1"/>
  <c r="J590" i="3"/>
  <c r="K590" i="3" s="1"/>
  <c r="J622" i="3"/>
  <c r="K622" i="3" s="1"/>
  <c r="J654" i="3"/>
  <c r="K654" i="3" s="1"/>
  <c r="J686" i="3"/>
  <c r="K686" i="3" s="1"/>
  <c r="J718" i="3"/>
  <c r="K718" i="3" s="1"/>
  <c r="J750" i="3"/>
  <c r="K750" i="3" s="1"/>
  <c r="J782" i="3"/>
  <c r="K782" i="3" s="1"/>
  <c r="J814" i="3"/>
  <c r="K814" i="3" s="1"/>
  <c r="J846" i="3"/>
  <c r="J878" i="3"/>
  <c r="K878" i="3" s="1"/>
  <c r="J910" i="3"/>
  <c r="K910" i="3" s="1"/>
  <c r="K846" i="3"/>
  <c r="J45" i="3"/>
  <c r="K45" i="3" s="1"/>
  <c r="J77" i="3"/>
  <c r="K77" i="3" s="1"/>
  <c r="J109" i="3"/>
  <c r="K109" i="3" s="1"/>
  <c r="J141" i="3"/>
  <c r="K141" i="3" s="1"/>
  <c r="J173" i="3"/>
  <c r="K173" i="3" s="1"/>
  <c r="J205" i="3"/>
  <c r="K205" i="3" s="1"/>
  <c r="J237" i="3"/>
  <c r="K237" i="3" s="1"/>
  <c r="J269" i="3"/>
  <c r="K269" i="3" s="1"/>
  <c r="J301" i="3"/>
  <c r="K301" i="3" s="1"/>
  <c r="J333" i="3"/>
  <c r="K333" i="3" s="1"/>
  <c r="J365" i="3"/>
  <c r="K365" i="3" s="1"/>
  <c r="J397" i="3"/>
  <c r="K397" i="3" s="1"/>
  <c r="J429" i="3"/>
  <c r="K429" i="3" s="1"/>
  <c r="J461" i="3"/>
  <c r="K461" i="3" s="1"/>
  <c r="J493" i="3"/>
  <c r="K493" i="3" s="1"/>
  <c r="J525" i="3"/>
  <c r="K525" i="3" s="1"/>
  <c r="J557" i="3"/>
  <c r="K557" i="3" s="1"/>
  <c r="J589" i="3"/>
  <c r="K589" i="3" s="1"/>
  <c r="J621" i="3"/>
  <c r="K621" i="3" s="1"/>
  <c r="J62" i="3"/>
  <c r="K62" i="3" s="1"/>
  <c r="J94" i="3"/>
  <c r="K94" i="3" s="1"/>
  <c r="J126" i="3"/>
  <c r="K126" i="3" s="1"/>
  <c r="J158" i="3"/>
  <c r="K158" i="3" s="1"/>
  <c r="J190" i="3"/>
  <c r="K190" i="3" s="1"/>
  <c r="J222" i="3"/>
  <c r="K222" i="3" s="1"/>
  <c r="J254" i="3"/>
  <c r="K254" i="3" s="1"/>
  <c r="J286" i="3"/>
  <c r="K286" i="3" s="1"/>
  <c r="J318" i="3"/>
  <c r="K318" i="3" s="1"/>
  <c r="J350" i="3"/>
  <c r="K350" i="3" s="1"/>
  <c r="J382" i="3"/>
  <c r="K382" i="3" s="1"/>
  <c r="J414" i="3"/>
  <c r="K414" i="3" s="1"/>
  <c r="J446" i="3"/>
  <c r="K446" i="3" s="1"/>
  <c r="J478" i="3"/>
  <c r="K478" i="3" s="1"/>
  <c r="J53" i="3"/>
  <c r="K53" i="3" s="1"/>
  <c r="J85" i="3"/>
  <c r="K85" i="3" s="1"/>
  <c r="J117" i="3"/>
  <c r="K117" i="3" s="1"/>
  <c r="J149" i="3"/>
  <c r="K149" i="3" s="1"/>
  <c r="J181" i="3"/>
  <c r="K181" i="3" s="1"/>
  <c r="J213" i="3"/>
  <c r="K213" i="3" s="1"/>
  <c r="J245" i="3"/>
  <c r="K245" i="3" s="1"/>
  <c r="J277" i="3"/>
  <c r="K277" i="3" s="1"/>
  <c r="J309" i="3"/>
  <c r="K309" i="3" s="1"/>
  <c r="J341" i="3"/>
  <c r="K341" i="3" s="1"/>
  <c r="J373" i="3"/>
  <c r="K373" i="3" s="1"/>
  <c r="J405" i="3"/>
  <c r="K405" i="3" s="1"/>
  <c r="J437" i="3"/>
  <c r="K437" i="3" s="1"/>
  <c r="J469" i="3"/>
  <c r="K469" i="3" s="1"/>
  <c r="J501" i="3"/>
  <c r="K501" i="3" s="1"/>
  <c r="J533" i="3"/>
  <c r="K533" i="3" s="1"/>
  <c r="J565" i="3"/>
  <c r="K565" i="3" s="1"/>
  <c r="J597" i="3"/>
  <c r="K597" i="3" s="1"/>
  <c r="J38" i="3"/>
  <c r="K38" i="3" s="1"/>
  <c r="J70" i="3"/>
  <c r="K70" i="3" s="1"/>
  <c r="J102" i="3"/>
  <c r="K102" i="3" s="1"/>
  <c r="J134" i="3"/>
  <c r="K134" i="3" s="1"/>
  <c r="J166" i="3"/>
  <c r="K166" i="3" s="1"/>
  <c r="J198" i="3"/>
  <c r="K198" i="3" s="1"/>
  <c r="J230" i="3"/>
  <c r="K230" i="3" s="1"/>
  <c r="J262" i="3"/>
  <c r="K262" i="3" s="1"/>
  <c r="J294" i="3"/>
  <c r="K294" i="3" s="1"/>
  <c r="J326" i="3"/>
  <c r="K326" i="3" s="1"/>
  <c r="J358" i="3"/>
  <c r="K358" i="3" s="1"/>
  <c r="J390" i="3"/>
  <c r="K390" i="3" s="1"/>
  <c r="J422" i="3"/>
  <c r="K422" i="3" s="1"/>
  <c r="J454" i="3"/>
  <c r="K454" i="3" s="1"/>
  <c r="J486" i="3"/>
  <c r="K486" i="3" s="1"/>
  <c r="J518" i="3"/>
  <c r="K518" i="3" s="1"/>
  <c r="J550" i="3"/>
  <c r="K550" i="3" s="1"/>
  <c r="J582" i="3"/>
  <c r="K582" i="3" s="1"/>
  <c r="J614" i="3"/>
  <c r="K614" i="3" s="1"/>
  <c r="J646" i="3"/>
  <c r="K646" i="3" s="1"/>
  <c r="J678" i="3"/>
  <c r="K678" i="3" s="1"/>
  <c r="J710" i="3"/>
  <c r="K710" i="3" s="1"/>
  <c r="J742" i="3"/>
  <c r="K742" i="3" s="1"/>
  <c r="J774" i="3"/>
  <c r="K774" i="3" s="1"/>
  <c r="J806" i="3"/>
  <c r="K806" i="3" s="1"/>
  <c r="J838" i="3"/>
  <c r="K838" i="3" s="1"/>
  <c r="J870" i="3"/>
  <c r="K870" i="3" s="1"/>
  <c r="J902" i="3"/>
  <c r="K902" i="3" s="1"/>
  <c r="J934" i="3"/>
  <c r="K934" i="3" s="1"/>
  <c r="J966" i="3"/>
  <c r="K966" i="3" s="1"/>
  <c r="J998" i="3"/>
  <c r="K998" i="3" s="1"/>
  <c r="J1030" i="3"/>
  <c r="K1030" i="3" s="1"/>
  <c r="J47" i="3"/>
  <c r="K47" i="3" s="1"/>
  <c r="J79" i="3"/>
  <c r="K79" i="3" s="1"/>
  <c r="J111" i="3"/>
  <c r="K111" i="3" s="1"/>
  <c r="J143" i="3"/>
  <c r="K143" i="3" s="1"/>
  <c r="J175" i="3"/>
  <c r="K175" i="3" s="1"/>
  <c r="J207" i="3"/>
  <c r="K207" i="3" s="1"/>
  <c r="J239" i="3"/>
  <c r="K239" i="3" s="1"/>
  <c r="J271" i="3"/>
  <c r="K271" i="3" s="1"/>
  <c r="J303" i="3"/>
  <c r="K303" i="3" s="1"/>
  <c r="J335" i="3"/>
  <c r="K335" i="3" s="1"/>
  <c r="J367" i="3"/>
  <c r="K367" i="3" s="1"/>
  <c r="J399" i="3"/>
  <c r="K399" i="3" s="1"/>
  <c r="J431" i="3"/>
  <c r="K431" i="3" s="1"/>
  <c r="J463" i="3"/>
  <c r="K463" i="3" s="1"/>
  <c r="J495" i="3"/>
  <c r="K495" i="3" s="1"/>
  <c r="J527" i="3"/>
  <c r="K527" i="3" s="1"/>
  <c r="J559" i="3"/>
  <c r="K559" i="3" s="1"/>
  <c r="J591" i="3"/>
  <c r="K591" i="3" s="1"/>
  <c r="J623" i="3"/>
  <c r="K623" i="3" s="1"/>
  <c r="J64" i="3"/>
  <c r="K64" i="3" s="1"/>
  <c r="J96" i="3"/>
  <c r="K96" i="3" s="1"/>
  <c r="J128" i="3"/>
  <c r="K128" i="3" s="1"/>
  <c r="J160" i="3"/>
  <c r="K160" i="3" s="1"/>
  <c r="J50" i="3"/>
  <c r="K50" i="3" s="1"/>
  <c r="J82" i="3"/>
  <c r="K82" i="3" s="1"/>
  <c r="J114" i="3"/>
  <c r="K114" i="3" s="1"/>
  <c r="J146" i="3"/>
  <c r="K146" i="3" s="1"/>
  <c r="J178" i="3"/>
  <c r="K178" i="3" s="1"/>
  <c r="J210" i="3"/>
  <c r="K210" i="3" s="1"/>
  <c r="J242" i="3"/>
  <c r="K242" i="3" s="1"/>
  <c r="J274" i="3"/>
  <c r="K274" i="3" s="1"/>
  <c r="J306" i="3"/>
  <c r="K306" i="3" s="1"/>
  <c r="J338" i="3"/>
  <c r="K338" i="3" s="1"/>
  <c r="J370" i="3"/>
  <c r="K370" i="3" s="1"/>
  <c r="J402" i="3"/>
  <c r="K402" i="3" s="1"/>
  <c r="J434" i="3"/>
  <c r="K434" i="3" s="1"/>
  <c r="J466" i="3"/>
  <c r="K466" i="3" s="1"/>
  <c r="J498" i="3"/>
  <c r="K498" i="3" s="1"/>
  <c r="J530" i="3"/>
  <c r="J562" i="3"/>
  <c r="K562" i="3" s="1"/>
  <c r="J594" i="3"/>
  <c r="K594" i="3" s="1"/>
  <c r="J626" i="3"/>
  <c r="K626" i="3" s="1"/>
  <c r="J658" i="3"/>
  <c r="K658" i="3" s="1"/>
  <c r="J690" i="3"/>
  <c r="K690" i="3" s="1"/>
  <c r="J722" i="3"/>
  <c r="K722" i="3" s="1"/>
  <c r="J754" i="3"/>
  <c r="K754" i="3" s="1"/>
  <c r="J786" i="3"/>
  <c r="K786" i="3" s="1"/>
  <c r="J818" i="3"/>
  <c r="K818" i="3" s="1"/>
  <c r="J850" i="3"/>
  <c r="K850" i="3" s="1"/>
  <c r="J882" i="3"/>
  <c r="K882" i="3" s="1"/>
  <c r="J914" i="3"/>
  <c r="K914" i="3" s="1"/>
  <c r="J946" i="3"/>
  <c r="K946" i="3" s="1"/>
  <c r="J51" i="3"/>
  <c r="K51" i="3" s="1"/>
  <c r="J83" i="3"/>
  <c r="K83" i="3" s="1"/>
  <c r="J115" i="3"/>
  <c r="K115" i="3" s="1"/>
  <c r="J147" i="3"/>
  <c r="K147" i="3" s="1"/>
  <c r="J179" i="3"/>
  <c r="K179" i="3" s="1"/>
  <c r="J211" i="3"/>
  <c r="K211" i="3" s="1"/>
  <c r="J243" i="3"/>
  <c r="K243" i="3" s="1"/>
  <c r="J275" i="3"/>
  <c r="K275" i="3" s="1"/>
  <c r="J307" i="3"/>
  <c r="K307" i="3" s="1"/>
  <c r="J339" i="3"/>
  <c r="K339" i="3" s="1"/>
  <c r="J371" i="3"/>
  <c r="K371" i="3" s="1"/>
  <c r="J403" i="3"/>
  <c r="K403" i="3" s="1"/>
  <c r="J435" i="3"/>
  <c r="K435" i="3" s="1"/>
  <c r="J467" i="3"/>
  <c r="K467" i="3" s="1"/>
  <c r="J499" i="3"/>
  <c r="K499" i="3" s="1"/>
  <c r="J531" i="3"/>
  <c r="K531" i="3" s="1"/>
  <c r="J563" i="3"/>
  <c r="K563" i="3" s="1"/>
  <c r="J595" i="3"/>
  <c r="K595" i="3" s="1"/>
  <c r="J627" i="3"/>
  <c r="K627" i="3" s="1"/>
  <c r="J659" i="3"/>
  <c r="K659" i="3" s="1"/>
  <c r="J691" i="3"/>
  <c r="K691" i="3" s="1"/>
  <c r="J723" i="3"/>
  <c r="K723" i="3" s="1"/>
  <c r="J755" i="3"/>
  <c r="K755" i="3" s="1"/>
  <c r="J787" i="3"/>
  <c r="K787" i="3" s="1"/>
  <c r="J819" i="3"/>
  <c r="K819" i="3" s="1"/>
  <c r="K530" i="3"/>
  <c r="J101" i="3"/>
  <c r="K101" i="3" s="1"/>
  <c r="J229" i="3"/>
  <c r="K229" i="3" s="1"/>
  <c r="J357" i="3"/>
  <c r="K357" i="3" s="1"/>
  <c r="J485" i="3"/>
  <c r="K485" i="3" s="1"/>
  <c r="J613" i="3"/>
  <c r="K613" i="3" s="1"/>
  <c r="J150" i="3"/>
  <c r="K150" i="3" s="1"/>
  <c r="J278" i="3"/>
  <c r="K278" i="3" s="1"/>
  <c r="J406" i="3"/>
  <c r="K406" i="3" s="1"/>
  <c r="J510" i="3"/>
  <c r="K510" i="3" s="1"/>
  <c r="J574" i="3"/>
  <c r="K574" i="3" s="1"/>
  <c r="J638" i="3"/>
  <c r="K638" i="3" s="1"/>
  <c r="J702" i="3"/>
  <c r="K702" i="3" s="1"/>
  <c r="J766" i="3"/>
  <c r="K766" i="3" s="1"/>
  <c r="J830" i="3"/>
  <c r="K830" i="3" s="1"/>
  <c r="J894" i="3"/>
  <c r="K894" i="3" s="1"/>
  <c r="J950" i="3"/>
  <c r="K950" i="3" s="1"/>
  <c r="J990" i="3"/>
  <c r="K990" i="3" s="1"/>
  <c r="J1038" i="3"/>
  <c r="K1038" i="3" s="1"/>
  <c r="J63" i="3"/>
  <c r="K63" i="3" s="1"/>
  <c r="J103" i="3"/>
  <c r="K103" i="3" s="1"/>
  <c r="J151" i="3"/>
  <c r="K151" i="3" s="1"/>
  <c r="J191" i="3"/>
  <c r="K191" i="3" s="1"/>
  <c r="J231" i="3"/>
  <c r="K231" i="3" s="1"/>
  <c r="J279" i="3"/>
  <c r="K279" i="3" s="1"/>
  <c r="J319" i="3"/>
  <c r="K319" i="3" s="1"/>
  <c r="J359" i="3"/>
  <c r="K359" i="3" s="1"/>
  <c r="J407" i="3"/>
  <c r="K407" i="3" s="1"/>
  <c r="J447" i="3"/>
  <c r="K447" i="3" s="1"/>
  <c r="J487" i="3"/>
  <c r="K487" i="3" s="1"/>
  <c r="J535" i="3"/>
  <c r="K535" i="3" s="1"/>
  <c r="J575" i="3"/>
  <c r="K575" i="3" s="1"/>
  <c r="J615" i="3"/>
  <c r="K615" i="3" s="1"/>
  <c r="J72" i="3"/>
  <c r="K72" i="3" s="1"/>
  <c r="J112" i="3"/>
  <c r="K112" i="3" s="1"/>
  <c r="J152" i="3"/>
  <c r="K152" i="3" s="1"/>
  <c r="J58" i="3"/>
  <c r="K58" i="3" s="1"/>
  <c r="J98" i="3"/>
  <c r="K98" i="3" s="1"/>
  <c r="J138" i="3"/>
  <c r="K138" i="3" s="1"/>
  <c r="J186" i="3"/>
  <c r="K186" i="3" s="1"/>
  <c r="J226" i="3"/>
  <c r="K226" i="3" s="1"/>
  <c r="J266" i="3"/>
  <c r="K266" i="3" s="1"/>
  <c r="J314" i="3"/>
  <c r="K314" i="3" s="1"/>
  <c r="J354" i="3"/>
  <c r="K354" i="3" s="1"/>
  <c r="J394" i="3"/>
  <c r="K394" i="3" s="1"/>
  <c r="J442" i="3"/>
  <c r="K442" i="3" s="1"/>
  <c r="J482" i="3"/>
  <c r="K482" i="3" s="1"/>
  <c r="J522" i="3"/>
  <c r="K522" i="3" s="1"/>
  <c r="J570" i="3"/>
  <c r="K570" i="3" s="1"/>
  <c r="J610" i="3"/>
  <c r="K610" i="3" s="1"/>
  <c r="J650" i="3"/>
  <c r="K650" i="3" s="1"/>
  <c r="J698" i="3"/>
  <c r="K698" i="3" s="1"/>
  <c r="J738" i="3"/>
  <c r="K738" i="3" s="1"/>
  <c r="J778" i="3"/>
  <c r="K778" i="3" s="1"/>
  <c r="J826" i="3"/>
  <c r="K826" i="3" s="1"/>
  <c r="J866" i="3"/>
  <c r="K866" i="3" s="1"/>
  <c r="J906" i="3"/>
  <c r="K906" i="3" s="1"/>
  <c r="J954" i="3"/>
  <c r="K954" i="3" s="1"/>
  <c r="J67" i="3"/>
  <c r="K67" i="3" s="1"/>
  <c r="J107" i="3"/>
  <c r="K107" i="3" s="1"/>
  <c r="J155" i="3"/>
  <c r="K155" i="3" s="1"/>
  <c r="J195" i="3"/>
  <c r="K195" i="3" s="1"/>
  <c r="J235" i="3"/>
  <c r="K235" i="3" s="1"/>
  <c r="J283" i="3"/>
  <c r="K283" i="3" s="1"/>
  <c r="J323" i="3"/>
  <c r="K323" i="3" s="1"/>
  <c r="J363" i="3"/>
  <c r="K363" i="3" s="1"/>
  <c r="J411" i="3"/>
  <c r="K411" i="3" s="1"/>
  <c r="J451" i="3"/>
  <c r="K451" i="3" s="1"/>
  <c r="J491" i="3"/>
  <c r="K491" i="3" s="1"/>
  <c r="J539" i="3"/>
  <c r="K539" i="3" s="1"/>
  <c r="J579" i="3"/>
  <c r="K579" i="3" s="1"/>
  <c r="J619" i="3"/>
  <c r="K619" i="3" s="1"/>
  <c r="J667" i="3"/>
  <c r="K667" i="3" s="1"/>
  <c r="J707" i="3"/>
  <c r="K707" i="3" s="1"/>
  <c r="J747" i="3"/>
  <c r="K747" i="3" s="1"/>
  <c r="J795" i="3"/>
  <c r="K795" i="3" s="1"/>
  <c r="J835" i="3"/>
  <c r="K835" i="3" s="1"/>
  <c r="J867" i="3"/>
  <c r="K867" i="3" s="1"/>
  <c r="J899" i="3"/>
  <c r="K899" i="3" s="1"/>
  <c r="J931" i="3"/>
  <c r="K931" i="3" s="1"/>
  <c r="J105" i="3"/>
  <c r="K105" i="3" s="1"/>
  <c r="J216" i="3"/>
  <c r="K216" i="3" s="1"/>
  <c r="J300" i="3"/>
  <c r="K300" i="3" s="1"/>
  <c r="J385" i="3"/>
  <c r="K385" i="3" s="1"/>
  <c r="J472" i="3"/>
  <c r="K472" i="3" s="1"/>
  <c r="J556" i="3"/>
  <c r="K556" i="3" s="1"/>
  <c r="J636" i="3"/>
  <c r="K636" i="3" s="1"/>
  <c r="J687" i="3"/>
  <c r="K687" i="3" s="1"/>
  <c r="J737" i="3"/>
  <c r="K737" i="3" s="1"/>
  <c r="J789" i="3"/>
  <c r="K789" i="3" s="1"/>
  <c r="J840" i="3"/>
  <c r="K840" i="3" s="1"/>
  <c r="J892" i="3"/>
  <c r="K892" i="3" s="1"/>
  <c r="J140" i="3"/>
  <c r="K140" i="3" s="1"/>
  <c r="J240" i="3"/>
  <c r="K240" i="3" s="1"/>
  <c r="J324" i="3"/>
  <c r="K324" i="3" s="1"/>
  <c r="J409" i="3"/>
  <c r="K409" i="3" s="1"/>
  <c r="J496" i="3"/>
  <c r="K496" i="3" s="1"/>
  <c r="J580" i="3"/>
  <c r="K580" i="3" s="1"/>
  <c r="J649" i="3"/>
  <c r="K649" i="3" s="1"/>
  <c r="J701" i="3"/>
  <c r="K701" i="3" s="1"/>
  <c r="J752" i="3"/>
  <c r="K752" i="3" s="1"/>
  <c r="J804" i="3"/>
  <c r="K804" i="3" s="1"/>
  <c r="J855" i="3"/>
  <c r="K855" i="3" s="1"/>
  <c r="J905" i="3"/>
  <c r="K905" i="3" s="1"/>
  <c r="J955" i="3"/>
  <c r="K955" i="3" s="1"/>
  <c r="J993" i="3"/>
  <c r="K993" i="3" s="1"/>
  <c r="J1029" i="3"/>
  <c r="K1029" i="3" s="1"/>
  <c r="J1064" i="3"/>
  <c r="K1064" i="3" s="1"/>
  <c r="J1096" i="3"/>
  <c r="K1096" i="3" s="1"/>
  <c r="J1128" i="3"/>
  <c r="K1128" i="3" s="1"/>
  <c r="J1160" i="3"/>
  <c r="K1160" i="3" s="1"/>
  <c r="J1192" i="3"/>
  <c r="K1192" i="3" s="1"/>
  <c r="J1224" i="3"/>
  <c r="K1224" i="3" s="1"/>
  <c r="J1256" i="3"/>
  <c r="K1256" i="3" s="1"/>
  <c r="J1288" i="3"/>
  <c r="K1288" i="3" s="1"/>
  <c r="J1320" i="3"/>
  <c r="K1320" i="3" s="1"/>
  <c r="J1352" i="3"/>
  <c r="K1352" i="3" s="1"/>
  <c r="J49" i="3"/>
  <c r="K49" i="3" s="1"/>
  <c r="J177" i="3"/>
  <c r="K177" i="3" s="1"/>
  <c r="J264" i="3"/>
  <c r="K264" i="3" s="1"/>
  <c r="J348" i="3"/>
  <c r="K348" i="3" s="1"/>
  <c r="J433" i="3"/>
  <c r="K433" i="3" s="1"/>
  <c r="J520" i="3"/>
  <c r="K520" i="3" s="1"/>
  <c r="J604" i="3"/>
  <c r="K604" i="3" s="1"/>
  <c r="J664" i="3"/>
  <c r="K664" i="3" s="1"/>
  <c r="J716" i="3"/>
  <c r="K716" i="3" s="1"/>
  <c r="J767" i="3"/>
  <c r="K767" i="3" s="1"/>
  <c r="J817" i="3"/>
  <c r="K817" i="3" s="1"/>
  <c r="J869" i="3"/>
  <c r="K869" i="3" s="1"/>
  <c r="J84" i="3"/>
  <c r="K84" i="3" s="1"/>
  <c r="J201" i="3"/>
  <c r="K201" i="3" s="1"/>
  <c r="J288" i="3"/>
  <c r="K288" i="3" s="1"/>
  <c r="J372" i="3"/>
  <c r="K372" i="3" s="1"/>
  <c r="J457" i="3"/>
  <c r="K457" i="3" s="1"/>
  <c r="J544" i="3"/>
  <c r="K544" i="3" s="1"/>
  <c r="J628" i="3"/>
  <c r="K628" i="3" s="1"/>
  <c r="J679" i="3"/>
  <c r="K679" i="3" s="1"/>
  <c r="J729" i="3"/>
  <c r="K729" i="3" s="1"/>
  <c r="J781" i="3"/>
  <c r="K781" i="3" s="1"/>
  <c r="J832" i="3"/>
  <c r="K832" i="3" s="1"/>
  <c r="J884" i="3"/>
  <c r="K884" i="3" s="1"/>
  <c r="J935" i="3"/>
  <c r="K935" i="3" s="1"/>
  <c r="J977" i="3"/>
  <c r="K977" i="3" s="1"/>
  <c r="J1013" i="3"/>
  <c r="K1013" i="3" s="1"/>
  <c r="J1050" i="3"/>
  <c r="K1050" i="3" s="1"/>
  <c r="J1082" i="3"/>
  <c r="K1082" i="3" s="1"/>
  <c r="J1114" i="3"/>
  <c r="K1114" i="3" s="1"/>
  <c r="J1146" i="3"/>
  <c r="K1146" i="3" s="1"/>
  <c r="J1178" i="3"/>
  <c r="K1178" i="3" s="1"/>
  <c r="J1210" i="3"/>
  <c r="K1210" i="3" s="1"/>
  <c r="J1242" i="3"/>
  <c r="K1242" i="3" s="1"/>
  <c r="J1274" i="3"/>
  <c r="K1274" i="3" s="1"/>
  <c r="J1306" i="3"/>
  <c r="J1338" i="3"/>
  <c r="K1338" i="3" s="1"/>
  <c r="J1370" i="3"/>
  <c r="K1370" i="3" s="1"/>
  <c r="J1402" i="3"/>
  <c r="K1402" i="3" s="1"/>
  <c r="J1434" i="3"/>
  <c r="K1434" i="3" s="1"/>
  <c r="J1466" i="3"/>
  <c r="K1466" i="3" s="1"/>
  <c r="J1498" i="3"/>
  <c r="K1498" i="3" s="1"/>
  <c r="J1530" i="3"/>
  <c r="K1530" i="3" s="1"/>
  <c r="J1562" i="3"/>
  <c r="K1562" i="3" s="1"/>
  <c r="J121" i="3"/>
  <c r="K121" i="3" s="1"/>
  <c r="J225" i="3"/>
  <c r="K225" i="3" s="1"/>
  <c r="J312" i="3"/>
  <c r="K312" i="3" s="1"/>
  <c r="J396" i="3"/>
  <c r="K396" i="3" s="1"/>
  <c r="J481" i="3"/>
  <c r="K481" i="3" s="1"/>
  <c r="J568" i="3"/>
  <c r="K568" i="3" s="1"/>
  <c r="J641" i="3"/>
  <c r="K641" i="3" s="1"/>
  <c r="J693" i="3"/>
  <c r="K693" i="3" s="1"/>
  <c r="J744" i="3"/>
  <c r="K744" i="3" s="1"/>
  <c r="J796" i="3"/>
  <c r="K796" i="3" s="1"/>
  <c r="J847" i="3"/>
  <c r="K847" i="3" s="1"/>
  <c r="J897" i="3"/>
  <c r="K897" i="3" s="1"/>
  <c r="J948" i="3"/>
  <c r="K948" i="3" s="1"/>
  <c r="J987" i="3"/>
  <c r="K987" i="3" s="1"/>
  <c r="J1024" i="3"/>
  <c r="K1024" i="3" s="1"/>
  <c r="J1059" i="3"/>
  <c r="K1059" i="3" s="1"/>
  <c r="J1091" i="3"/>
  <c r="K1091" i="3" s="1"/>
  <c r="J1123" i="3"/>
  <c r="K1123" i="3" s="1"/>
  <c r="J1155" i="3"/>
  <c r="K1155" i="3" s="1"/>
  <c r="J1187" i="3"/>
  <c r="K1187" i="3" s="1"/>
  <c r="J1219" i="3"/>
  <c r="K1219" i="3" s="1"/>
  <c r="J1251" i="3"/>
  <c r="K1251" i="3" s="1"/>
  <c r="J1283" i="3"/>
  <c r="K1283" i="3" s="1"/>
  <c r="J1315" i="3"/>
  <c r="K1315" i="3" s="1"/>
  <c r="J1347" i="3"/>
  <c r="K1347" i="3" s="1"/>
  <c r="J1379" i="3"/>
  <c r="K1379" i="3" s="1"/>
  <c r="J1411" i="3"/>
  <c r="K1411" i="3" s="1"/>
  <c r="J1443" i="3"/>
  <c r="K1443" i="3" s="1"/>
  <c r="J1475" i="3"/>
  <c r="K1475" i="3" s="1"/>
  <c r="J1507" i="3"/>
  <c r="K1507" i="3" s="1"/>
  <c r="J1539" i="3"/>
  <c r="K1539" i="3" s="1"/>
  <c r="J156" i="3"/>
  <c r="K156" i="3" s="1"/>
  <c r="J249" i="3"/>
  <c r="K249" i="3" s="1"/>
  <c r="J336" i="3"/>
  <c r="K336" i="3" s="1"/>
  <c r="J420" i="3"/>
  <c r="K420" i="3" s="1"/>
  <c r="J505" i="3"/>
  <c r="K505" i="3" s="1"/>
  <c r="J592" i="3"/>
  <c r="K592" i="3" s="1"/>
  <c r="J656" i="3"/>
  <c r="K656" i="3" s="1"/>
  <c r="J708" i="3"/>
  <c r="K708" i="3" s="1"/>
  <c r="J759" i="3"/>
  <c r="K759" i="3" s="1"/>
  <c r="J809" i="3"/>
  <c r="K809" i="3" s="1"/>
  <c r="J861" i="3"/>
  <c r="K861" i="3" s="1"/>
  <c r="J912" i="3"/>
  <c r="K912" i="3" s="1"/>
  <c r="J960" i="3"/>
  <c r="K960" i="3" s="1"/>
  <c r="J997" i="3"/>
  <c r="K997" i="3" s="1"/>
  <c r="J1034" i="3"/>
  <c r="K1034" i="3" s="1"/>
  <c r="J1068" i="3"/>
  <c r="K1068" i="3" s="1"/>
  <c r="J1100" i="3"/>
  <c r="K1100" i="3" s="1"/>
  <c r="J1132" i="3"/>
  <c r="K1132" i="3" s="1"/>
  <c r="J1164" i="3"/>
  <c r="K1164" i="3" s="1"/>
  <c r="J1196" i="3"/>
  <c r="K1196" i="3" s="1"/>
  <c r="J1228" i="3"/>
  <c r="K1228" i="3" s="1"/>
  <c r="J1260" i="3"/>
  <c r="K1260" i="3" s="1"/>
  <c r="J1292" i="3"/>
  <c r="K1292" i="3" s="1"/>
  <c r="J1324" i="3"/>
  <c r="K1324" i="3" s="1"/>
  <c r="J1356" i="3"/>
  <c r="K1356" i="3" s="1"/>
  <c r="J1388" i="3"/>
  <c r="K1388" i="3" s="1"/>
  <c r="J1420" i="3"/>
  <c r="K1420" i="3" s="1"/>
  <c r="J1452" i="3"/>
  <c r="K1452" i="3" s="1"/>
  <c r="J360" i="3"/>
  <c r="K360" i="3" s="1"/>
  <c r="J671" i="3"/>
  <c r="K671" i="3" s="1"/>
  <c r="J876" i="3"/>
  <c r="K876" i="3" s="1"/>
  <c r="J980" i="3"/>
  <c r="K980" i="3" s="1"/>
  <c r="J1053" i="3"/>
  <c r="K1053" i="3" s="1"/>
  <c r="J1117" i="3"/>
  <c r="K1117" i="3" s="1"/>
  <c r="J276" i="3"/>
  <c r="K276" i="3" s="1"/>
  <c r="J617" i="3"/>
  <c r="K617" i="3" s="1"/>
  <c r="J825" i="3"/>
  <c r="K825" i="3" s="1"/>
  <c r="J963" i="3"/>
  <c r="K963" i="3" s="1"/>
  <c r="J1036" i="3"/>
  <c r="K1036" i="3" s="1"/>
  <c r="J1102" i="3"/>
  <c r="K1102" i="3" s="1"/>
  <c r="J1166" i="3"/>
  <c r="K1166" i="3" s="1"/>
  <c r="K1306" i="3"/>
  <c r="J133" i="3"/>
  <c r="K133" i="3" s="1"/>
  <c r="J261" i="3"/>
  <c r="K261" i="3" s="1"/>
  <c r="J389" i="3"/>
  <c r="K389" i="3" s="1"/>
  <c r="J517" i="3"/>
  <c r="K517" i="3" s="1"/>
  <c r="J54" i="3"/>
  <c r="K54" i="3" s="1"/>
  <c r="J182" i="3"/>
  <c r="K182" i="3" s="1"/>
  <c r="J310" i="3"/>
  <c r="K310" i="3" s="1"/>
  <c r="J438" i="3"/>
  <c r="K438" i="3" s="1"/>
  <c r="J534" i="3"/>
  <c r="K534" i="3" s="1"/>
  <c r="J598" i="3"/>
  <c r="K598" i="3" s="1"/>
  <c r="J662" i="3"/>
  <c r="K662" i="3" s="1"/>
  <c r="J726" i="3"/>
  <c r="K726" i="3" s="1"/>
  <c r="J790" i="3"/>
  <c r="K790" i="3" s="1"/>
  <c r="J854" i="3"/>
  <c r="K854" i="3" s="1"/>
  <c r="J918" i="3"/>
  <c r="K918" i="3" s="1"/>
  <c r="J958" i="3"/>
  <c r="K958" i="3" s="1"/>
  <c r="J1006" i="3"/>
  <c r="K1006" i="3" s="1"/>
  <c r="J1046" i="3"/>
  <c r="K1046" i="3" s="1"/>
  <c r="J71" i="3"/>
  <c r="K71" i="3" s="1"/>
  <c r="J119" i="3"/>
  <c r="K119" i="3" s="1"/>
  <c r="J159" i="3"/>
  <c r="K159" i="3" s="1"/>
  <c r="J199" i="3"/>
  <c r="K199" i="3" s="1"/>
  <c r="J247" i="3"/>
  <c r="K247" i="3" s="1"/>
  <c r="J287" i="3"/>
  <c r="K287" i="3" s="1"/>
  <c r="J327" i="3"/>
  <c r="K327" i="3" s="1"/>
  <c r="J375" i="3"/>
  <c r="K375" i="3" s="1"/>
  <c r="J415" i="3"/>
  <c r="K415" i="3" s="1"/>
  <c r="J455" i="3"/>
  <c r="K455" i="3" s="1"/>
  <c r="J503" i="3"/>
  <c r="K503" i="3" s="1"/>
  <c r="J543" i="3"/>
  <c r="K543" i="3" s="1"/>
  <c r="J583" i="3"/>
  <c r="K583" i="3" s="1"/>
  <c r="J40" i="3"/>
  <c r="K40" i="3" s="1"/>
  <c r="J80" i="3"/>
  <c r="K80" i="3" s="1"/>
  <c r="J120" i="3"/>
  <c r="K120" i="3" s="1"/>
  <c r="J168" i="3"/>
  <c r="K168" i="3" s="1"/>
  <c r="J66" i="3"/>
  <c r="K66" i="3" s="1"/>
  <c r="J106" i="3"/>
  <c r="K106" i="3" s="1"/>
  <c r="J154" i="3"/>
  <c r="K154" i="3" s="1"/>
  <c r="J194" i="3"/>
  <c r="K194" i="3" s="1"/>
  <c r="J234" i="3"/>
  <c r="K234" i="3" s="1"/>
  <c r="J282" i="3"/>
  <c r="K282" i="3" s="1"/>
  <c r="J322" i="3"/>
  <c r="K322" i="3" s="1"/>
  <c r="J362" i="3"/>
  <c r="K362" i="3" s="1"/>
  <c r="J410" i="3"/>
  <c r="K410" i="3" s="1"/>
  <c r="J450" i="3"/>
  <c r="K450" i="3" s="1"/>
  <c r="J490" i="3"/>
  <c r="K490" i="3" s="1"/>
  <c r="J538" i="3"/>
  <c r="K538" i="3" s="1"/>
  <c r="J578" i="3"/>
  <c r="K578" i="3" s="1"/>
  <c r="J618" i="3"/>
  <c r="K618" i="3" s="1"/>
  <c r="J666" i="3"/>
  <c r="K666" i="3" s="1"/>
  <c r="J706" i="3"/>
  <c r="K706" i="3" s="1"/>
  <c r="J746" i="3"/>
  <c r="K746" i="3" s="1"/>
  <c r="J794" i="3"/>
  <c r="K794" i="3" s="1"/>
  <c r="J834" i="3"/>
  <c r="K834" i="3" s="1"/>
  <c r="J874" i="3"/>
  <c r="K874" i="3" s="1"/>
  <c r="J922" i="3"/>
  <c r="K922" i="3" s="1"/>
  <c r="J962" i="3"/>
  <c r="K962" i="3" s="1"/>
  <c r="J75" i="3"/>
  <c r="K75" i="3" s="1"/>
  <c r="J123" i="3"/>
  <c r="K123" i="3" s="1"/>
  <c r="J163" i="3"/>
  <c r="K163" i="3" s="1"/>
  <c r="J203" i="3"/>
  <c r="K203" i="3" s="1"/>
  <c r="J251" i="3"/>
  <c r="K251" i="3" s="1"/>
  <c r="J291" i="3"/>
  <c r="K291" i="3" s="1"/>
  <c r="J331" i="3"/>
  <c r="K331" i="3" s="1"/>
  <c r="J379" i="3"/>
  <c r="K379" i="3" s="1"/>
  <c r="J419" i="3"/>
  <c r="K419" i="3" s="1"/>
  <c r="J459" i="3"/>
  <c r="K459" i="3" s="1"/>
  <c r="J507" i="3"/>
  <c r="K507" i="3" s="1"/>
  <c r="J547" i="3"/>
  <c r="K547" i="3" s="1"/>
  <c r="J587" i="3"/>
  <c r="K587" i="3" s="1"/>
  <c r="J635" i="3"/>
  <c r="K635" i="3" s="1"/>
  <c r="J675" i="3"/>
  <c r="K675" i="3" s="1"/>
  <c r="J715" i="3"/>
  <c r="K715" i="3" s="1"/>
  <c r="J763" i="3"/>
  <c r="K763" i="3" s="1"/>
  <c r="J803" i="3"/>
  <c r="K803" i="3" s="1"/>
  <c r="J843" i="3"/>
  <c r="K843" i="3" s="1"/>
  <c r="J875" i="3"/>
  <c r="K875" i="3" s="1"/>
  <c r="J37" i="3"/>
  <c r="K37" i="3" s="1"/>
  <c r="J165" i="3"/>
  <c r="K165" i="3" s="1"/>
  <c r="J293" i="3"/>
  <c r="K293" i="3" s="1"/>
  <c r="J421" i="3"/>
  <c r="K421" i="3" s="1"/>
  <c r="J549" i="3"/>
  <c r="K549" i="3" s="1"/>
  <c r="J86" i="3"/>
  <c r="K86" i="3" s="1"/>
  <c r="J214" i="3"/>
  <c r="K214" i="3" s="1"/>
  <c r="J342" i="3"/>
  <c r="K342" i="3" s="1"/>
  <c r="J470" i="3"/>
  <c r="K470" i="3" s="1"/>
  <c r="J542" i="3"/>
  <c r="K542" i="3" s="1"/>
  <c r="J606" i="3"/>
  <c r="K606" i="3" s="1"/>
  <c r="J670" i="3"/>
  <c r="K670" i="3" s="1"/>
  <c r="J734" i="3"/>
  <c r="K734" i="3" s="1"/>
  <c r="J798" i="3"/>
  <c r="K798" i="3" s="1"/>
  <c r="J862" i="3"/>
  <c r="K862" i="3" s="1"/>
  <c r="J926" i="3"/>
  <c r="K926" i="3" s="1"/>
  <c r="J974" i="3"/>
  <c r="K974" i="3" s="1"/>
  <c r="J1014" i="3"/>
  <c r="K1014" i="3" s="1"/>
  <c r="J39" i="3"/>
  <c r="K39" i="3" s="1"/>
  <c r="J87" i="3"/>
  <c r="K87" i="3" s="1"/>
  <c r="J127" i="3"/>
  <c r="K127" i="3" s="1"/>
  <c r="J167" i="3"/>
  <c r="K167" i="3" s="1"/>
  <c r="J215" i="3"/>
  <c r="K215" i="3" s="1"/>
  <c r="J255" i="3"/>
  <c r="K255" i="3" s="1"/>
  <c r="J295" i="3"/>
  <c r="K295" i="3" s="1"/>
  <c r="J343" i="3"/>
  <c r="K343" i="3" s="1"/>
  <c r="J383" i="3"/>
  <c r="K383" i="3" s="1"/>
  <c r="J423" i="3"/>
  <c r="K423" i="3" s="1"/>
  <c r="J471" i="3"/>
  <c r="K471" i="3" s="1"/>
  <c r="J511" i="3"/>
  <c r="K511" i="3" s="1"/>
  <c r="J551" i="3"/>
  <c r="K551" i="3" s="1"/>
  <c r="J599" i="3"/>
  <c r="K599" i="3" s="1"/>
  <c r="J48" i="3"/>
  <c r="K48" i="3" s="1"/>
  <c r="J88" i="3"/>
  <c r="K88" i="3" s="1"/>
  <c r="J136" i="3"/>
  <c r="K136" i="3" s="1"/>
  <c r="J176" i="3"/>
  <c r="K176" i="3" s="1"/>
  <c r="J74" i="3"/>
  <c r="K74" i="3" s="1"/>
  <c r="J122" i="3"/>
  <c r="K122" i="3" s="1"/>
  <c r="J162" i="3"/>
  <c r="K162" i="3" s="1"/>
  <c r="J202" i="3"/>
  <c r="K202" i="3" s="1"/>
  <c r="J250" i="3"/>
  <c r="K250" i="3" s="1"/>
  <c r="J290" i="3"/>
  <c r="K290" i="3" s="1"/>
  <c r="J330" i="3"/>
  <c r="K330" i="3" s="1"/>
  <c r="J378" i="3"/>
  <c r="K378" i="3" s="1"/>
  <c r="J418" i="3"/>
  <c r="K418" i="3" s="1"/>
  <c r="J458" i="3"/>
  <c r="K458" i="3" s="1"/>
  <c r="J506" i="3"/>
  <c r="K506" i="3" s="1"/>
  <c r="J546" i="3"/>
  <c r="K546" i="3" s="1"/>
  <c r="J586" i="3"/>
  <c r="K586" i="3" s="1"/>
  <c r="J634" i="3"/>
  <c r="K634" i="3" s="1"/>
  <c r="J674" i="3"/>
  <c r="K674" i="3" s="1"/>
  <c r="J714" i="3"/>
  <c r="K714" i="3" s="1"/>
  <c r="J762" i="3"/>
  <c r="K762" i="3" s="1"/>
  <c r="J802" i="3"/>
  <c r="K802" i="3" s="1"/>
  <c r="J842" i="3"/>
  <c r="K842" i="3" s="1"/>
  <c r="J890" i="3"/>
  <c r="K890" i="3" s="1"/>
  <c r="J930" i="3"/>
  <c r="K930" i="3" s="1"/>
  <c r="J43" i="3"/>
  <c r="K43" i="3" s="1"/>
  <c r="J91" i="3"/>
  <c r="K91" i="3" s="1"/>
  <c r="J131" i="3"/>
  <c r="K131" i="3" s="1"/>
  <c r="J171" i="3"/>
  <c r="K171" i="3" s="1"/>
  <c r="J219" i="3"/>
  <c r="K219" i="3" s="1"/>
  <c r="J259" i="3"/>
  <c r="K259" i="3" s="1"/>
  <c r="J299" i="3"/>
  <c r="K299" i="3" s="1"/>
  <c r="J347" i="3"/>
  <c r="K347" i="3" s="1"/>
  <c r="J387" i="3"/>
  <c r="K387" i="3" s="1"/>
  <c r="J427" i="3"/>
  <c r="K427" i="3" s="1"/>
  <c r="J475" i="3"/>
  <c r="K475" i="3" s="1"/>
  <c r="J515" i="3"/>
  <c r="K515" i="3" s="1"/>
  <c r="J555" i="3"/>
  <c r="K555" i="3" s="1"/>
  <c r="J603" i="3"/>
  <c r="K603" i="3" s="1"/>
  <c r="J643" i="3"/>
  <c r="K643" i="3" s="1"/>
  <c r="J683" i="3"/>
  <c r="K683" i="3" s="1"/>
  <c r="J731" i="3"/>
  <c r="K731" i="3" s="1"/>
  <c r="J771" i="3"/>
  <c r="K771" i="3" s="1"/>
  <c r="J811" i="3"/>
  <c r="K811" i="3" s="1"/>
  <c r="J851" i="3"/>
  <c r="K851" i="3" s="1"/>
  <c r="J883" i="3"/>
  <c r="K883" i="3" s="1"/>
  <c r="J915" i="3"/>
  <c r="K915" i="3" s="1"/>
  <c r="J41" i="3"/>
  <c r="K41" i="3" s="1"/>
  <c r="J169" i="3"/>
  <c r="K169" i="3" s="1"/>
  <c r="J257" i="3"/>
  <c r="K257" i="3" s="1"/>
  <c r="J344" i="3"/>
  <c r="K344" i="3" s="1"/>
  <c r="J428" i="3"/>
  <c r="K428" i="3" s="1"/>
  <c r="J513" i="3"/>
  <c r="K513" i="3" s="1"/>
  <c r="J600" i="3"/>
  <c r="K600" i="3" s="1"/>
  <c r="J661" i="3"/>
  <c r="K661" i="3" s="1"/>
  <c r="J712" i="3"/>
  <c r="K712" i="3" s="1"/>
  <c r="J764" i="3"/>
  <c r="K764" i="3" s="1"/>
  <c r="J815" i="3"/>
  <c r="K815" i="3" s="1"/>
  <c r="J865" i="3"/>
  <c r="K865" i="3" s="1"/>
  <c r="J76" i="3"/>
  <c r="K76" i="3" s="1"/>
  <c r="J196" i="3"/>
  <c r="K196" i="3" s="1"/>
  <c r="J281" i="3"/>
  <c r="K281" i="3" s="1"/>
  <c r="J368" i="3"/>
  <c r="K368" i="3" s="1"/>
  <c r="J452" i="3"/>
  <c r="K452" i="3" s="1"/>
  <c r="J537" i="3"/>
  <c r="K537" i="3" s="1"/>
  <c r="J624" i="3"/>
  <c r="K624" i="3" s="1"/>
  <c r="J676" i="3"/>
  <c r="K676" i="3" s="1"/>
  <c r="J727" i="3"/>
  <c r="K727" i="3" s="1"/>
  <c r="J777" i="3"/>
  <c r="K777" i="3" s="1"/>
  <c r="J829" i="3"/>
  <c r="K829" i="3" s="1"/>
  <c r="J880" i="3"/>
  <c r="K880" i="3" s="1"/>
  <c r="J932" i="3"/>
  <c r="K932" i="3" s="1"/>
  <c r="J975" i="3"/>
  <c r="K975" i="3" s="1"/>
  <c r="J1011" i="3"/>
  <c r="K1011" i="3" s="1"/>
  <c r="J1048" i="3"/>
  <c r="K1048" i="3" s="1"/>
  <c r="J1080" i="3"/>
  <c r="K1080" i="3" s="1"/>
  <c r="J1112" i="3"/>
  <c r="K1112" i="3" s="1"/>
  <c r="J1144" i="3"/>
  <c r="K1144" i="3" s="1"/>
  <c r="J1176" i="3"/>
  <c r="K1176" i="3" s="1"/>
  <c r="J1208" i="3"/>
  <c r="K1208" i="3" s="1"/>
  <c r="J1240" i="3"/>
  <c r="K1240" i="3" s="1"/>
  <c r="J1272" i="3"/>
  <c r="K1272" i="3" s="1"/>
  <c r="J1304" i="3"/>
  <c r="K1304" i="3" s="1"/>
  <c r="J1336" i="3"/>
  <c r="K1336" i="3" s="1"/>
  <c r="J1368" i="3"/>
  <c r="K1368" i="3" s="1"/>
  <c r="J113" i="3"/>
  <c r="K113" i="3" s="1"/>
  <c r="J220" i="3"/>
  <c r="K220" i="3" s="1"/>
  <c r="J305" i="3"/>
  <c r="K305" i="3" s="1"/>
  <c r="J392" i="3"/>
  <c r="K392" i="3" s="1"/>
  <c r="J476" i="3"/>
  <c r="K476" i="3" s="1"/>
  <c r="J561" i="3"/>
  <c r="K561" i="3" s="1"/>
  <c r="J639" i="3"/>
  <c r="K639" i="3" s="1"/>
  <c r="J689" i="3"/>
  <c r="K689" i="3" s="1"/>
  <c r="J741" i="3"/>
  <c r="K741" i="3" s="1"/>
  <c r="J792" i="3"/>
  <c r="K792" i="3" s="1"/>
  <c r="J844" i="3"/>
  <c r="K844" i="3" s="1"/>
  <c r="J895" i="3"/>
  <c r="K895" i="3" s="1"/>
  <c r="J148" i="3"/>
  <c r="K148" i="3" s="1"/>
  <c r="J244" i="3"/>
  <c r="K244" i="3" s="1"/>
  <c r="J329" i="3"/>
  <c r="K329" i="3" s="1"/>
  <c r="J416" i="3"/>
  <c r="K416" i="3" s="1"/>
  <c r="J500" i="3"/>
  <c r="K500" i="3" s="1"/>
  <c r="J585" i="3"/>
  <c r="K585" i="3" s="1"/>
  <c r="J653" i="3"/>
  <c r="K653" i="3" s="1"/>
  <c r="J704" i="3"/>
  <c r="K704" i="3" s="1"/>
  <c r="J756" i="3"/>
  <c r="K756" i="3" s="1"/>
  <c r="J807" i="3"/>
  <c r="K807" i="3" s="1"/>
  <c r="J857" i="3"/>
  <c r="K857" i="3" s="1"/>
  <c r="J909" i="3"/>
  <c r="K909" i="3" s="1"/>
  <c r="J957" i="3"/>
  <c r="K957" i="3" s="1"/>
  <c r="J995" i="3"/>
  <c r="K995" i="3" s="1"/>
  <c r="J1032" i="3"/>
  <c r="K1032" i="3" s="1"/>
  <c r="J1066" i="3"/>
  <c r="K1066" i="3" s="1"/>
  <c r="J1098" i="3"/>
  <c r="K1098" i="3" s="1"/>
  <c r="J1130" i="3"/>
  <c r="K1130" i="3" s="1"/>
  <c r="J1162" i="3"/>
  <c r="K1162" i="3" s="1"/>
  <c r="J1194" i="3"/>
  <c r="K1194" i="3" s="1"/>
  <c r="J1226" i="3"/>
  <c r="K1226" i="3" s="1"/>
  <c r="J1258" i="3"/>
  <c r="K1258" i="3" s="1"/>
  <c r="J1290" i="3"/>
  <c r="K1290" i="3" s="1"/>
  <c r="J1322" i="3"/>
  <c r="K1322" i="3" s="1"/>
  <c r="J1354" i="3"/>
  <c r="K1354" i="3" s="1"/>
  <c r="J1386" i="3"/>
  <c r="K1386" i="3" s="1"/>
  <c r="J1418" i="3"/>
  <c r="K1418" i="3" s="1"/>
  <c r="J1450" i="3"/>
  <c r="K1450" i="3" s="1"/>
  <c r="J1482" i="3"/>
  <c r="K1482" i="3" s="1"/>
  <c r="J1514" i="3"/>
  <c r="K1514" i="3" s="1"/>
  <c r="J1546" i="3"/>
  <c r="K1546" i="3" s="1"/>
  <c r="J57" i="3"/>
  <c r="K57" i="3" s="1"/>
  <c r="J184" i="3"/>
  <c r="K184" i="3" s="1"/>
  <c r="J268" i="3"/>
  <c r="K268" i="3" s="1"/>
  <c r="J353" i="3"/>
  <c r="K353" i="3" s="1"/>
  <c r="J440" i="3"/>
  <c r="K440" i="3" s="1"/>
  <c r="J524" i="3"/>
  <c r="K524" i="3" s="1"/>
  <c r="J609" i="3"/>
  <c r="K609" i="3" s="1"/>
  <c r="J668" i="3"/>
  <c r="K668" i="3" s="1"/>
  <c r="J719" i="3"/>
  <c r="K719" i="3" s="1"/>
  <c r="J769" i="3"/>
  <c r="K769" i="3" s="1"/>
  <c r="J821" i="3"/>
  <c r="K821" i="3" s="1"/>
  <c r="J872" i="3"/>
  <c r="K872" i="3" s="1"/>
  <c r="J924" i="3"/>
  <c r="K924" i="3" s="1"/>
  <c r="J969" i="3"/>
  <c r="K969" i="3" s="1"/>
  <c r="J1005" i="3"/>
  <c r="K1005" i="3" s="1"/>
  <c r="J1042" i="3"/>
  <c r="K1042" i="3" s="1"/>
  <c r="J1075" i="3"/>
  <c r="K1075" i="3" s="1"/>
  <c r="J1107" i="3"/>
  <c r="K1107" i="3" s="1"/>
  <c r="J1139" i="3"/>
  <c r="K1139" i="3" s="1"/>
  <c r="J1171" i="3"/>
  <c r="K1171" i="3" s="1"/>
  <c r="J1203" i="3"/>
  <c r="K1203" i="3" s="1"/>
  <c r="J1235" i="3"/>
  <c r="K1235" i="3" s="1"/>
  <c r="J1267" i="3"/>
  <c r="K1267" i="3" s="1"/>
  <c r="J1299" i="3"/>
  <c r="K1299" i="3" s="1"/>
  <c r="J1331" i="3"/>
  <c r="K1331" i="3" s="1"/>
  <c r="J1363" i="3"/>
  <c r="K1363" i="3" s="1"/>
  <c r="J1395" i="3"/>
  <c r="K1395" i="3" s="1"/>
  <c r="J1427" i="3"/>
  <c r="K1427" i="3" s="1"/>
  <c r="J1459" i="3"/>
  <c r="K1459" i="3" s="1"/>
  <c r="J1491" i="3"/>
  <c r="K1491" i="3" s="1"/>
  <c r="J1523" i="3"/>
  <c r="K1523" i="3" s="1"/>
  <c r="J92" i="3"/>
  <c r="K92" i="3" s="1"/>
  <c r="J208" i="3"/>
  <c r="K208" i="3" s="1"/>
  <c r="J292" i="3"/>
  <c r="K292" i="3" s="1"/>
  <c r="J377" i="3"/>
  <c r="K377" i="3" s="1"/>
  <c r="J464" i="3"/>
  <c r="K464" i="3" s="1"/>
  <c r="J548" i="3"/>
  <c r="K548" i="3" s="1"/>
  <c r="J631" i="3"/>
  <c r="K631" i="3" s="1"/>
  <c r="J681" i="3"/>
  <c r="K681" i="3" s="1"/>
  <c r="J733" i="3"/>
  <c r="K733" i="3" s="1"/>
  <c r="J784" i="3"/>
  <c r="K784" i="3" s="1"/>
  <c r="J836" i="3"/>
  <c r="K836" i="3" s="1"/>
  <c r="J887" i="3"/>
  <c r="K887" i="3" s="1"/>
  <c r="J937" i="3"/>
  <c r="K937" i="3" s="1"/>
  <c r="J979" i="3"/>
  <c r="K979" i="3" s="1"/>
  <c r="J1016" i="3"/>
  <c r="K1016" i="3" s="1"/>
  <c r="J1052" i="3"/>
  <c r="K1052" i="3" s="1"/>
  <c r="J1084" i="3"/>
  <c r="K1084" i="3" s="1"/>
  <c r="J1116" i="3"/>
  <c r="K1116" i="3" s="1"/>
  <c r="J1148" i="3"/>
  <c r="K1148" i="3" s="1"/>
  <c r="J1180" i="3"/>
  <c r="K1180" i="3" s="1"/>
  <c r="J1212" i="3"/>
  <c r="K1212" i="3" s="1"/>
  <c r="J1244" i="3"/>
  <c r="K1244" i="3" s="1"/>
  <c r="J1276" i="3"/>
  <c r="K1276" i="3" s="1"/>
  <c r="J1308" i="3"/>
  <c r="K1308" i="3" s="1"/>
  <c r="J1340" i="3"/>
  <c r="K1340" i="3" s="1"/>
  <c r="J1372" i="3"/>
  <c r="K1372" i="3" s="1"/>
  <c r="J1404" i="3"/>
  <c r="K1404" i="3" s="1"/>
  <c r="J1436" i="3"/>
  <c r="K1436" i="3" s="1"/>
  <c r="J188" i="3"/>
  <c r="K188" i="3" s="1"/>
  <c r="J529" i="3"/>
  <c r="K529" i="3" s="1"/>
  <c r="J773" i="3"/>
  <c r="K773" i="3" s="1"/>
  <c r="J940" i="3"/>
  <c r="K940" i="3" s="1"/>
  <c r="J1017" i="3"/>
  <c r="K1017" i="3" s="1"/>
  <c r="J1085" i="3"/>
  <c r="K1085" i="3" s="1"/>
  <c r="J68" i="3"/>
  <c r="K68" i="3" s="1"/>
  <c r="J448" i="3"/>
  <c r="K448" i="3" s="1"/>
  <c r="J724" i="3"/>
  <c r="K724" i="3" s="1"/>
  <c r="J916" i="3"/>
  <c r="K916" i="3" s="1"/>
  <c r="J1000" i="3"/>
  <c r="K1000" i="3" s="1"/>
  <c r="J1070" i="3"/>
  <c r="K1070" i="3" s="1"/>
  <c r="J1134" i="3"/>
  <c r="K1134" i="3" s="1"/>
  <c r="J1198" i="3"/>
  <c r="K1198" i="3" s="1"/>
  <c r="J1262" i="3"/>
  <c r="K1262" i="3" s="1"/>
  <c r="J1326" i="3"/>
  <c r="K1326" i="3" s="1"/>
  <c r="J1389" i="3"/>
  <c r="K1389" i="3" s="1"/>
  <c r="J1439" i="3"/>
  <c r="K1439" i="3" s="1"/>
  <c r="J1485" i="3"/>
  <c r="K1485" i="3" s="1"/>
  <c r="J1527" i="3"/>
  <c r="K1527" i="3" s="1"/>
  <c r="J1566" i="3"/>
  <c r="K1566" i="3" s="1"/>
  <c r="J1599" i="3"/>
  <c r="K1599" i="3" s="1"/>
  <c r="J1631" i="3"/>
  <c r="K1631" i="3" s="1"/>
  <c r="J1663" i="3"/>
  <c r="K1663" i="3" s="1"/>
  <c r="J1695" i="3"/>
  <c r="K1695" i="3" s="1"/>
  <c r="J1727" i="3"/>
  <c r="K1727" i="3" s="1"/>
  <c r="J1759" i="3"/>
  <c r="K1759" i="3" s="1"/>
  <c r="J453" i="3"/>
  <c r="K453" i="3" s="1"/>
  <c r="J374" i="3"/>
  <c r="K374" i="3" s="1"/>
  <c r="J694" i="3"/>
  <c r="K694" i="3" s="1"/>
  <c r="J942" i="3"/>
  <c r="K942" i="3" s="1"/>
  <c r="J95" i="3"/>
  <c r="K95" i="3" s="1"/>
  <c r="J263" i="3"/>
  <c r="K263" i="3" s="1"/>
  <c r="J439" i="3"/>
  <c r="K439" i="3" s="1"/>
  <c r="J607" i="3"/>
  <c r="K607" i="3" s="1"/>
  <c r="J42" i="3"/>
  <c r="K42" i="3" s="1"/>
  <c r="J218" i="3"/>
  <c r="K218" i="3" s="1"/>
  <c r="J386" i="3"/>
  <c r="K386" i="3" s="1"/>
  <c r="J554" i="3"/>
  <c r="K554" i="3" s="1"/>
  <c r="J730" i="3"/>
  <c r="K730" i="3" s="1"/>
  <c r="J898" i="3"/>
  <c r="K898" i="3" s="1"/>
  <c r="J139" i="3"/>
  <c r="K139" i="3" s="1"/>
  <c r="J315" i="3"/>
  <c r="K315" i="3" s="1"/>
  <c r="J483" i="3"/>
  <c r="K483" i="3" s="1"/>
  <c r="J651" i="3"/>
  <c r="K651" i="3" s="1"/>
  <c r="J827" i="3"/>
  <c r="K827" i="3" s="1"/>
  <c r="J923" i="3"/>
  <c r="K923" i="3" s="1"/>
  <c r="J193" i="3"/>
  <c r="K193" i="3" s="1"/>
  <c r="J364" i="3"/>
  <c r="K364" i="3" s="1"/>
  <c r="J536" i="3"/>
  <c r="K536" i="3" s="1"/>
  <c r="J673" i="3"/>
  <c r="K673" i="3" s="1"/>
  <c r="J776" i="3"/>
  <c r="K776" i="3" s="1"/>
  <c r="J879" i="3"/>
  <c r="K879" i="3" s="1"/>
  <c r="J217" i="3"/>
  <c r="K217" i="3" s="1"/>
  <c r="J388" i="3"/>
  <c r="K388" i="3" s="1"/>
  <c r="J560" i="3"/>
  <c r="K560" i="3" s="1"/>
  <c r="J688" i="3"/>
  <c r="K688" i="3" s="1"/>
  <c r="J791" i="3"/>
  <c r="K791" i="3" s="1"/>
  <c r="J893" i="3"/>
  <c r="K893" i="3" s="1"/>
  <c r="J984" i="3"/>
  <c r="K984" i="3" s="1"/>
  <c r="J1056" i="3"/>
  <c r="K1056" i="3" s="1"/>
  <c r="J1120" i="3"/>
  <c r="K1120" i="3" s="1"/>
  <c r="J1184" i="3"/>
  <c r="K1184" i="3" s="1"/>
  <c r="J1248" i="3"/>
  <c r="K1248" i="3" s="1"/>
  <c r="J1312" i="3"/>
  <c r="K1312" i="3" s="1"/>
  <c r="J1376" i="3"/>
  <c r="K1376" i="3" s="1"/>
  <c r="J241" i="3"/>
  <c r="K241" i="3" s="1"/>
  <c r="J412" i="3"/>
  <c r="K412" i="3" s="1"/>
  <c r="J584" i="3"/>
  <c r="K584" i="3" s="1"/>
  <c r="J703" i="3"/>
  <c r="K703" i="3" s="1"/>
  <c r="J805" i="3"/>
  <c r="K805" i="3" s="1"/>
  <c r="J52" i="3"/>
  <c r="K52" i="3" s="1"/>
  <c r="J265" i="3"/>
  <c r="K265" i="3" s="1"/>
  <c r="J436" i="3"/>
  <c r="K436" i="3" s="1"/>
  <c r="J608" i="3"/>
  <c r="K608" i="3" s="1"/>
  <c r="J717" i="3"/>
  <c r="K717" i="3" s="1"/>
  <c r="J820" i="3"/>
  <c r="K820" i="3" s="1"/>
  <c r="J921" i="3"/>
  <c r="K921" i="3" s="1"/>
  <c r="J1004" i="3"/>
  <c r="K1004" i="3" s="1"/>
  <c r="J1074" i="3"/>
  <c r="K1074" i="3" s="1"/>
  <c r="J1138" i="3"/>
  <c r="K1138" i="3" s="1"/>
  <c r="J1202" i="3"/>
  <c r="K1202" i="3" s="1"/>
  <c r="J1266" i="3"/>
  <c r="K1266" i="3" s="1"/>
  <c r="J1330" i="3"/>
  <c r="K1330" i="3" s="1"/>
  <c r="J1394" i="3"/>
  <c r="K1394" i="3" s="1"/>
  <c r="J1458" i="3"/>
  <c r="K1458" i="3" s="1"/>
  <c r="J1522" i="3"/>
  <c r="K1522" i="3" s="1"/>
  <c r="J89" i="3"/>
  <c r="K89" i="3" s="1"/>
  <c r="J289" i="3"/>
  <c r="K289" i="3" s="1"/>
  <c r="J460" i="3"/>
  <c r="K460" i="3" s="1"/>
  <c r="J629" i="3"/>
  <c r="K629" i="3" s="1"/>
  <c r="J732" i="3"/>
  <c r="K732" i="3" s="1"/>
  <c r="J833" i="3"/>
  <c r="K833" i="3" s="1"/>
  <c r="J936" i="3"/>
  <c r="K936" i="3" s="1"/>
  <c r="J1015" i="3"/>
  <c r="K1015" i="3" s="1"/>
  <c r="J1083" i="3"/>
  <c r="K1083" i="3" s="1"/>
  <c r="J1147" i="3"/>
  <c r="K1147" i="3" s="1"/>
  <c r="J1211" i="3"/>
  <c r="K1211" i="3" s="1"/>
  <c r="J1275" i="3"/>
  <c r="K1275" i="3" s="1"/>
  <c r="J1339" i="3"/>
  <c r="K1339" i="3" s="1"/>
  <c r="J1403" i="3"/>
  <c r="K1403" i="3" s="1"/>
  <c r="J1467" i="3"/>
  <c r="K1467" i="3" s="1"/>
  <c r="J1531" i="3"/>
  <c r="K1531" i="3" s="1"/>
  <c r="J228" i="3"/>
  <c r="K228" i="3" s="1"/>
  <c r="J400" i="3"/>
  <c r="K400" i="3" s="1"/>
  <c r="J569" i="3"/>
  <c r="K569" i="3" s="1"/>
  <c r="J695" i="3"/>
  <c r="K695" i="3" s="1"/>
  <c r="J797" i="3"/>
  <c r="K797" i="3" s="1"/>
  <c r="J900" i="3"/>
  <c r="K900" i="3" s="1"/>
  <c r="J988" i="3"/>
  <c r="K988" i="3" s="1"/>
  <c r="J1060" i="3"/>
  <c r="K1060" i="3" s="1"/>
  <c r="J1124" i="3"/>
  <c r="K1124" i="3" s="1"/>
  <c r="J1188" i="3"/>
  <c r="K1188" i="3" s="1"/>
  <c r="J1252" i="3"/>
  <c r="K1252" i="3" s="1"/>
  <c r="J1316" i="3"/>
  <c r="K1316" i="3" s="1"/>
  <c r="J1380" i="3"/>
  <c r="K1380" i="3" s="1"/>
  <c r="J1444" i="3"/>
  <c r="K1444" i="3" s="1"/>
  <c r="J616" i="3"/>
  <c r="K616" i="3" s="1"/>
  <c r="J961" i="3"/>
  <c r="K961" i="3" s="1"/>
  <c r="J1101" i="3"/>
  <c r="K1101" i="3" s="1"/>
  <c r="J532" i="3"/>
  <c r="K532" i="3" s="1"/>
  <c r="J941" i="3"/>
  <c r="K941" i="3" s="1"/>
  <c r="J1086" i="3"/>
  <c r="K1086" i="3" s="1"/>
  <c r="J1214" i="3"/>
  <c r="K1214" i="3" s="1"/>
  <c r="J1294" i="3"/>
  <c r="K1294" i="3" s="1"/>
  <c r="J1374" i="3"/>
  <c r="K1374" i="3" s="1"/>
  <c r="J1453" i="3"/>
  <c r="K1453" i="3" s="1"/>
  <c r="J1505" i="3"/>
  <c r="K1505" i="3" s="1"/>
  <c r="J1557" i="3"/>
  <c r="K1557" i="3" s="1"/>
  <c r="J1607" i="3"/>
  <c r="K1607" i="3" s="1"/>
  <c r="J1647" i="3"/>
  <c r="K1647" i="3" s="1"/>
  <c r="J1687" i="3"/>
  <c r="K1687" i="3" s="1"/>
  <c r="J1735" i="3"/>
  <c r="K1735" i="3" s="1"/>
  <c r="J1775" i="3"/>
  <c r="K1775" i="3" s="1"/>
  <c r="J1807" i="3"/>
  <c r="K1807" i="3" s="1"/>
  <c r="J1839" i="3"/>
  <c r="K1839" i="3" s="1"/>
  <c r="J1871" i="3"/>
  <c r="K1871" i="3" s="1"/>
  <c r="J1903" i="3"/>
  <c r="K1903" i="3" s="1"/>
  <c r="J1935" i="3"/>
  <c r="K1935" i="3" s="1"/>
  <c r="J1967" i="3"/>
  <c r="K1967" i="3" s="1"/>
  <c r="J1999" i="3"/>
  <c r="K1999" i="3" s="1"/>
  <c r="J2031" i="3"/>
  <c r="K2031" i="3" s="1"/>
  <c r="J296" i="3"/>
  <c r="K296" i="3" s="1"/>
  <c r="J632" i="3"/>
  <c r="K632" i="3" s="1"/>
  <c r="J837" i="3"/>
  <c r="K837" i="3" s="1"/>
  <c r="J964" i="3"/>
  <c r="K964" i="3" s="1"/>
  <c r="J1037" i="3"/>
  <c r="K1037" i="3" s="1"/>
  <c r="J1103" i="3"/>
  <c r="K1103" i="3" s="1"/>
  <c r="J1167" i="3"/>
  <c r="K1167" i="3" s="1"/>
  <c r="J1231" i="3"/>
  <c r="K1231" i="3" s="1"/>
  <c r="J1295" i="3"/>
  <c r="K1295" i="3" s="1"/>
  <c r="J1359" i="3"/>
  <c r="K1359" i="3" s="1"/>
  <c r="J1415" i="3"/>
  <c r="K1415" i="3" s="1"/>
  <c r="J1464" i="3"/>
  <c r="K1464" i="3" s="1"/>
  <c r="J1508" i="3"/>
  <c r="K1508" i="3" s="1"/>
  <c r="J1549" i="3"/>
  <c r="K1549" i="3" s="1"/>
  <c r="J1584" i="3"/>
  <c r="K1584" i="3" s="1"/>
  <c r="J1616" i="3"/>
  <c r="K1616" i="3" s="1"/>
  <c r="J1648" i="3"/>
  <c r="K1648" i="3" s="1"/>
  <c r="J1680" i="3"/>
  <c r="K1680" i="3" s="1"/>
  <c r="J1712" i="3"/>
  <c r="K1712" i="3" s="1"/>
  <c r="J1744" i="3"/>
  <c r="K1744" i="3" s="1"/>
  <c r="J1776" i="3"/>
  <c r="K1776" i="3" s="1"/>
  <c r="J1808" i="3"/>
  <c r="K1808" i="3" s="1"/>
  <c r="J1840" i="3"/>
  <c r="K1840" i="3" s="1"/>
  <c r="J1872" i="3"/>
  <c r="K1872" i="3" s="1"/>
  <c r="J1904" i="3"/>
  <c r="K1904" i="3" s="1"/>
  <c r="J1936" i="3"/>
  <c r="K1936" i="3" s="1"/>
  <c r="J1968" i="3"/>
  <c r="K1968" i="3" s="1"/>
  <c r="J2000" i="3"/>
  <c r="K2000" i="3" s="1"/>
  <c r="J2032" i="3"/>
  <c r="K2032" i="3" s="1"/>
  <c r="J2064" i="3"/>
  <c r="K2064" i="3" s="1"/>
  <c r="J2096" i="3"/>
  <c r="K2096" i="3" s="1"/>
  <c r="J2128" i="3"/>
  <c r="K2128" i="3" s="1"/>
  <c r="J384" i="3"/>
  <c r="K384" i="3" s="1"/>
  <c r="J685" i="3"/>
  <c r="K685" i="3" s="1"/>
  <c r="J889" i="3"/>
  <c r="K889" i="3" s="1"/>
  <c r="J985" i="3"/>
  <c r="K985" i="3" s="1"/>
  <c r="J1057" i="3"/>
  <c r="K1057" i="3" s="1"/>
  <c r="J1121" i="3"/>
  <c r="K1121" i="3" s="1"/>
  <c r="J316" i="3"/>
  <c r="K316" i="3" s="1"/>
  <c r="J645" i="3"/>
  <c r="K645" i="3" s="1"/>
  <c r="J849" i="3"/>
  <c r="K849" i="3" s="1"/>
  <c r="J971" i="3"/>
  <c r="K971" i="3" s="1"/>
  <c r="J1044" i="3"/>
  <c r="K1044" i="3" s="1"/>
  <c r="J1109" i="3"/>
  <c r="K1109" i="3" s="1"/>
  <c r="J1173" i="3"/>
  <c r="K1173" i="3" s="1"/>
  <c r="J1237" i="3"/>
  <c r="K1237" i="3" s="1"/>
  <c r="J1301" i="3"/>
  <c r="K1301" i="3" s="1"/>
  <c r="J1365" i="3"/>
  <c r="K1365" i="3" s="1"/>
  <c r="J1417" i="3"/>
  <c r="K1417" i="3" s="1"/>
  <c r="J1468" i="3"/>
  <c r="K1468" i="3" s="1"/>
  <c r="J1510" i="3"/>
  <c r="K1510" i="3" s="1"/>
  <c r="J1551" i="3"/>
  <c r="K1551" i="3" s="1"/>
  <c r="J1586" i="3"/>
  <c r="K1586" i="3" s="1"/>
  <c r="J1618" i="3"/>
  <c r="K1618" i="3" s="1"/>
  <c r="J1650" i="3"/>
  <c r="K1650" i="3" s="1"/>
  <c r="J1682" i="3"/>
  <c r="K1682" i="3" s="1"/>
  <c r="J1714" i="3"/>
  <c r="K1714" i="3" s="1"/>
  <c r="J1746" i="3"/>
  <c r="K1746" i="3" s="1"/>
  <c r="J1778" i="3"/>
  <c r="K1778" i="3" s="1"/>
  <c r="J1810" i="3"/>
  <c r="K1810" i="3" s="1"/>
  <c r="J1842" i="3"/>
  <c r="K1842" i="3" s="1"/>
  <c r="J1874" i="3"/>
  <c r="K1874" i="3" s="1"/>
  <c r="J1906" i="3"/>
  <c r="K1906" i="3" s="1"/>
  <c r="J1938" i="3"/>
  <c r="K1938" i="3" s="1"/>
  <c r="J1970" i="3"/>
  <c r="K1970" i="3" s="1"/>
  <c r="J2002" i="3"/>
  <c r="K2002" i="3" s="1"/>
  <c r="J2034" i="3"/>
  <c r="K2034" i="3" s="1"/>
  <c r="J2066" i="3"/>
  <c r="K2066" i="3" s="1"/>
  <c r="J2098" i="3"/>
  <c r="K2098" i="3" s="1"/>
  <c r="J2130" i="3"/>
  <c r="K2130" i="3" s="1"/>
  <c r="J404" i="3"/>
  <c r="K404" i="3" s="1"/>
  <c r="J697" i="3"/>
  <c r="K697" i="3" s="1"/>
  <c r="J903" i="3"/>
  <c r="K903" i="3" s="1"/>
  <c r="J991" i="3"/>
  <c r="K991" i="3" s="1"/>
  <c r="J1062" i="3"/>
  <c r="K1062" i="3" s="1"/>
  <c r="J1126" i="3"/>
  <c r="K1126" i="3" s="1"/>
  <c r="J1190" i="3"/>
  <c r="K1190" i="3" s="1"/>
  <c r="J1254" i="3"/>
  <c r="K1254" i="3" s="1"/>
  <c r="J1318" i="3"/>
  <c r="K1318" i="3" s="1"/>
  <c r="J1382" i="3"/>
  <c r="K1382" i="3" s="1"/>
  <c r="J1432" i="3"/>
  <c r="K1432" i="3" s="1"/>
  <c r="J1479" i="3"/>
  <c r="K1479" i="3" s="1"/>
  <c r="J1521" i="3"/>
  <c r="K1521" i="3" s="1"/>
  <c r="J1561" i="3"/>
  <c r="K1561" i="3" s="1"/>
  <c r="J1595" i="3"/>
  <c r="K1595" i="3" s="1"/>
  <c r="J1627" i="3"/>
  <c r="K1627" i="3" s="1"/>
  <c r="J1659" i="3"/>
  <c r="K1659" i="3" s="1"/>
  <c r="J1691" i="3"/>
  <c r="K1691" i="3" s="1"/>
  <c r="J1723" i="3"/>
  <c r="K1723" i="3" s="1"/>
  <c r="J1755" i="3"/>
  <c r="K1755" i="3" s="1"/>
  <c r="J1787" i="3"/>
  <c r="K1787" i="3" s="1"/>
  <c r="J1819" i="3"/>
  <c r="K1819" i="3" s="1"/>
  <c r="J1851" i="3"/>
  <c r="K1851" i="3" s="1"/>
  <c r="J1883" i="3"/>
  <c r="K1883" i="3" s="1"/>
  <c r="J1915" i="3"/>
  <c r="K1915" i="3" s="1"/>
  <c r="J1947" i="3"/>
  <c r="K1947" i="3" s="1"/>
  <c r="J1979" i="3"/>
  <c r="K1979" i="3" s="1"/>
  <c r="J2011" i="3"/>
  <c r="K2011" i="3" s="1"/>
  <c r="J2043" i="3"/>
  <c r="K2043" i="3" s="1"/>
  <c r="J2075" i="3"/>
  <c r="K2075" i="3" s="1"/>
  <c r="J508" i="3"/>
  <c r="K508" i="3" s="1"/>
  <c r="J1079" i="3"/>
  <c r="K1079" i="3" s="1"/>
  <c r="J1239" i="3"/>
  <c r="K1239" i="3" s="1"/>
  <c r="J1367" i="3"/>
  <c r="K1367" i="3" s="1"/>
  <c r="J1470" i="3"/>
  <c r="K1470" i="3" s="1"/>
  <c r="J1553" i="3"/>
  <c r="K1553" i="3" s="1"/>
  <c r="J1620" i="3"/>
  <c r="K1620" i="3" s="1"/>
  <c r="J1684" i="3"/>
  <c r="K1684" i="3" s="1"/>
  <c r="J1748" i="3"/>
  <c r="K1748" i="3" s="1"/>
  <c r="J1812" i="3"/>
  <c r="K1812" i="3" s="1"/>
  <c r="J1876" i="3"/>
  <c r="K1876" i="3" s="1"/>
  <c r="J1940" i="3"/>
  <c r="K1940" i="3" s="1"/>
  <c r="J2004" i="3"/>
  <c r="K2004" i="3" s="1"/>
  <c r="J2062" i="3"/>
  <c r="K2062" i="3" s="1"/>
  <c r="J2110" i="3"/>
  <c r="K2110" i="3" s="1"/>
  <c r="J2148" i="3"/>
  <c r="K2148" i="3" s="1"/>
  <c r="J2180" i="3"/>
  <c r="K2180" i="3" s="1"/>
  <c r="J2212" i="3"/>
  <c r="K2212" i="3" s="1"/>
  <c r="J2244" i="3"/>
  <c r="K2244" i="3" s="1"/>
  <c r="J2276" i="3"/>
  <c r="K2276" i="3" s="1"/>
  <c r="J69" i="3"/>
  <c r="K69" i="3" s="1"/>
  <c r="J581" i="3"/>
  <c r="K581" i="3" s="1"/>
  <c r="J502" i="3"/>
  <c r="K502" i="3" s="1"/>
  <c r="J758" i="3"/>
  <c r="K758" i="3" s="1"/>
  <c r="J982" i="3"/>
  <c r="K982" i="3" s="1"/>
  <c r="J135" i="3"/>
  <c r="K135" i="3" s="1"/>
  <c r="J311" i="3"/>
  <c r="K311" i="3" s="1"/>
  <c r="J479" i="3"/>
  <c r="K479" i="3" s="1"/>
  <c r="J56" i="3"/>
  <c r="K56" i="3" s="1"/>
  <c r="J90" i="3"/>
  <c r="K90" i="3" s="1"/>
  <c r="J258" i="3"/>
  <c r="K258" i="3" s="1"/>
  <c r="J426" i="3"/>
  <c r="K426" i="3" s="1"/>
  <c r="J602" i="3"/>
  <c r="K602" i="3" s="1"/>
  <c r="J770" i="3"/>
  <c r="K770" i="3" s="1"/>
  <c r="J938" i="3"/>
  <c r="K938" i="3" s="1"/>
  <c r="J187" i="3"/>
  <c r="K187" i="3" s="1"/>
  <c r="J355" i="3"/>
  <c r="K355" i="3" s="1"/>
  <c r="J523" i="3"/>
  <c r="K523" i="3" s="1"/>
  <c r="J699" i="3"/>
  <c r="K699" i="3" s="1"/>
  <c r="J859" i="3"/>
  <c r="K859" i="3" s="1"/>
  <c r="J939" i="3"/>
  <c r="K939" i="3" s="1"/>
  <c r="J236" i="3"/>
  <c r="K236" i="3" s="1"/>
  <c r="J408" i="3"/>
  <c r="K408" i="3" s="1"/>
  <c r="J577" i="3"/>
  <c r="K577" i="3" s="1"/>
  <c r="J700" i="3"/>
  <c r="K700" i="3" s="1"/>
  <c r="J801" i="3"/>
  <c r="K801" i="3" s="1"/>
  <c r="J44" i="3"/>
  <c r="K44" i="3" s="1"/>
  <c r="J260" i="3"/>
  <c r="K260" i="3" s="1"/>
  <c r="J432" i="3"/>
  <c r="K432" i="3" s="1"/>
  <c r="J601" i="3"/>
  <c r="K601" i="3" s="1"/>
  <c r="J713" i="3"/>
  <c r="K713" i="3" s="1"/>
  <c r="J816" i="3"/>
  <c r="K816" i="3" s="1"/>
  <c r="J919" i="3"/>
  <c r="K919" i="3" s="1"/>
  <c r="J1002" i="3"/>
  <c r="K1002" i="3" s="1"/>
  <c r="J1072" i="3"/>
  <c r="K1072" i="3" s="1"/>
  <c r="J1136" i="3"/>
  <c r="K1136" i="3" s="1"/>
  <c r="J1200" i="3"/>
  <c r="K1200" i="3" s="1"/>
  <c r="J1264" i="3"/>
  <c r="K1264" i="3" s="1"/>
  <c r="J1328" i="3"/>
  <c r="K1328" i="3" s="1"/>
  <c r="J81" i="3"/>
  <c r="K81" i="3" s="1"/>
  <c r="J284" i="3"/>
  <c r="K284" i="3" s="1"/>
  <c r="J456" i="3"/>
  <c r="K456" i="3" s="1"/>
  <c r="J625" i="3"/>
  <c r="K625" i="3" s="1"/>
  <c r="J728" i="3"/>
  <c r="K728" i="3" s="1"/>
  <c r="J831" i="3"/>
  <c r="K831" i="3" s="1"/>
  <c r="J116" i="3"/>
  <c r="K116" i="3" s="1"/>
  <c r="J308" i="3"/>
  <c r="K308" i="3" s="1"/>
  <c r="J480" i="3"/>
  <c r="K480" i="3" s="1"/>
  <c r="J640" i="3"/>
  <c r="K640" i="3" s="1"/>
  <c r="J743" i="3"/>
  <c r="K743" i="3" s="1"/>
  <c r="J845" i="3"/>
  <c r="K845" i="3" s="1"/>
  <c r="J947" i="3"/>
  <c r="K947" i="3" s="1"/>
  <c r="J1023" i="3"/>
  <c r="K1023" i="3" s="1"/>
  <c r="J1090" i="3"/>
  <c r="K1090" i="3" s="1"/>
  <c r="J1154" i="3"/>
  <c r="K1154" i="3" s="1"/>
  <c r="J1218" i="3"/>
  <c r="K1218" i="3" s="1"/>
  <c r="J1282" i="3"/>
  <c r="K1282" i="3" s="1"/>
  <c r="J1346" i="3"/>
  <c r="K1346" i="3" s="1"/>
  <c r="J1410" i="3"/>
  <c r="K1410" i="3" s="1"/>
  <c r="J1474" i="3"/>
  <c r="K1474" i="3" s="1"/>
  <c r="J1538" i="3"/>
  <c r="K1538" i="3" s="1"/>
  <c r="J153" i="3"/>
  <c r="K153" i="3" s="1"/>
  <c r="J332" i="3"/>
  <c r="K332" i="3" s="1"/>
  <c r="J504" i="3"/>
  <c r="K504" i="3" s="1"/>
  <c r="J655" i="3"/>
  <c r="K655" i="3" s="1"/>
  <c r="J757" i="3"/>
  <c r="K757" i="3" s="1"/>
  <c r="J860" i="3"/>
  <c r="K860" i="3" s="1"/>
  <c r="J959" i="3"/>
  <c r="K959" i="3" s="1"/>
  <c r="J1033" i="3"/>
  <c r="K1033" i="3" s="1"/>
  <c r="J1099" i="3"/>
  <c r="K1099" i="3" s="1"/>
  <c r="J1163" i="3"/>
  <c r="K1163" i="3" s="1"/>
  <c r="J1227" i="3"/>
  <c r="K1227" i="3" s="1"/>
  <c r="J1291" i="3"/>
  <c r="K1291" i="3" s="1"/>
  <c r="J1355" i="3"/>
  <c r="K1355" i="3" s="1"/>
  <c r="J1419" i="3"/>
  <c r="K1419" i="3" s="1"/>
  <c r="J1483" i="3"/>
  <c r="K1483" i="3" s="1"/>
  <c r="J60" i="3"/>
  <c r="K60" i="3" s="1"/>
  <c r="J272" i="3"/>
  <c r="K272" i="3" s="1"/>
  <c r="J441" i="3"/>
  <c r="K441" i="3" s="1"/>
  <c r="J612" i="3"/>
  <c r="K612" i="3" s="1"/>
  <c r="J720" i="3"/>
  <c r="K720" i="3" s="1"/>
  <c r="J823" i="3"/>
  <c r="K823" i="3" s="1"/>
  <c r="J925" i="3"/>
  <c r="K925" i="3" s="1"/>
  <c r="J1007" i="3"/>
  <c r="K1007" i="3" s="1"/>
  <c r="J1076" i="3"/>
  <c r="K1076" i="3" s="1"/>
  <c r="J1140" i="3"/>
  <c r="K1140" i="3" s="1"/>
  <c r="J1204" i="3"/>
  <c r="K1204" i="3" s="1"/>
  <c r="J1268" i="3"/>
  <c r="K1268" i="3" s="1"/>
  <c r="J1332" i="3"/>
  <c r="K1332" i="3" s="1"/>
  <c r="J1396" i="3"/>
  <c r="K1396" i="3" s="1"/>
  <c r="J65" i="3"/>
  <c r="K65" i="3" s="1"/>
  <c r="J721" i="3"/>
  <c r="K721" i="3" s="1"/>
  <c r="J999" i="3"/>
  <c r="K999" i="3" s="1"/>
  <c r="J1133" i="3"/>
  <c r="K1133" i="3" s="1"/>
  <c r="J672" i="3"/>
  <c r="K672" i="3" s="1"/>
  <c r="J981" i="3"/>
  <c r="K981" i="3" s="1"/>
  <c r="J1118" i="3"/>
  <c r="K1118" i="3" s="1"/>
  <c r="J1230" i="3"/>
  <c r="K1230" i="3" s="1"/>
  <c r="J1310" i="3"/>
  <c r="K1310" i="3" s="1"/>
  <c r="J1400" i="3"/>
  <c r="K1400" i="3" s="1"/>
  <c r="J1463" i="3"/>
  <c r="K1463" i="3" s="1"/>
  <c r="J1517" i="3"/>
  <c r="K1517" i="3" s="1"/>
  <c r="J1575" i="3"/>
  <c r="K1575" i="3" s="1"/>
  <c r="J1615" i="3"/>
  <c r="K1615" i="3" s="1"/>
  <c r="J1655" i="3"/>
  <c r="K1655" i="3" s="1"/>
  <c r="J1703" i="3"/>
  <c r="J1743" i="3"/>
  <c r="K1743" i="3" s="1"/>
  <c r="J1783" i="3"/>
  <c r="K1783" i="3" s="1"/>
  <c r="J1815" i="3"/>
  <c r="K1815" i="3" s="1"/>
  <c r="J1847" i="3"/>
  <c r="K1847" i="3" s="1"/>
  <c r="J1879" i="3"/>
  <c r="K1879" i="3" s="1"/>
  <c r="J1911" i="3"/>
  <c r="K1911" i="3" s="1"/>
  <c r="J1943" i="3"/>
  <c r="K1943" i="3" s="1"/>
  <c r="J1975" i="3"/>
  <c r="K1975" i="3" s="1"/>
  <c r="J2007" i="3"/>
  <c r="K2007" i="3" s="1"/>
  <c r="J2039" i="3"/>
  <c r="K2039" i="3" s="1"/>
  <c r="J380" i="3"/>
  <c r="K380" i="3" s="1"/>
  <c r="J684" i="3"/>
  <c r="K684" i="3" s="1"/>
  <c r="J888" i="3"/>
  <c r="K888" i="3" s="1"/>
  <c r="J983" i="3"/>
  <c r="K983" i="3" s="1"/>
  <c r="J1055" i="3"/>
  <c r="K1055" i="3" s="1"/>
  <c r="J1119" i="3"/>
  <c r="K1119" i="3" s="1"/>
  <c r="J1183" i="3"/>
  <c r="K1183" i="3" s="1"/>
  <c r="J1247" i="3"/>
  <c r="K1247" i="3" s="1"/>
  <c r="J1311" i="3"/>
  <c r="K1311" i="3" s="1"/>
  <c r="J1375" i="3"/>
  <c r="K1375" i="3" s="1"/>
  <c r="J1429" i="3"/>
  <c r="K1429" i="3" s="1"/>
  <c r="J1476" i="3"/>
  <c r="K1476" i="3" s="1"/>
  <c r="J1518" i="3"/>
  <c r="K1518" i="3" s="1"/>
  <c r="J1558" i="3"/>
  <c r="K1558" i="3" s="1"/>
  <c r="J1592" i="3"/>
  <c r="K1592" i="3" s="1"/>
  <c r="J1624" i="3"/>
  <c r="K1624" i="3" s="1"/>
  <c r="J1656" i="3"/>
  <c r="K1656" i="3" s="1"/>
  <c r="J1688" i="3"/>
  <c r="K1688" i="3" s="1"/>
  <c r="J1720" i="3"/>
  <c r="K1720" i="3" s="1"/>
  <c r="J1752" i="3"/>
  <c r="K1752" i="3" s="1"/>
  <c r="J1784" i="3"/>
  <c r="K1784" i="3" s="1"/>
  <c r="J1816" i="3"/>
  <c r="K1816" i="3" s="1"/>
  <c r="J1848" i="3"/>
  <c r="K1848" i="3" s="1"/>
  <c r="J1880" i="3"/>
  <c r="K1880" i="3" s="1"/>
  <c r="J1912" i="3"/>
  <c r="K1912" i="3" s="1"/>
  <c r="J1944" i="3"/>
  <c r="K1944" i="3" s="1"/>
  <c r="J1976" i="3"/>
  <c r="K1976" i="3" s="1"/>
  <c r="J2008" i="3"/>
  <c r="K2008" i="3" s="1"/>
  <c r="J2040" i="3"/>
  <c r="K2040" i="3" s="1"/>
  <c r="J2072" i="3"/>
  <c r="K2072" i="3" s="1"/>
  <c r="J2104" i="3"/>
  <c r="K2104" i="3" s="1"/>
  <c r="J100" i="3"/>
  <c r="K100" i="3" s="1"/>
  <c r="J468" i="3"/>
  <c r="K468" i="3" s="1"/>
  <c r="J736" i="3"/>
  <c r="K736" i="3" s="1"/>
  <c r="J920" i="3"/>
  <c r="K920" i="3" s="1"/>
  <c r="J1003" i="3"/>
  <c r="K1003" i="3" s="1"/>
  <c r="J1073" i="3"/>
  <c r="K1073" i="3" s="1"/>
  <c r="J1137" i="3"/>
  <c r="K1137" i="3" s="1"/>
  <c r="J401" i="3"/>
  <c r="K401" i="3" s="1"/>
  <c r="J696" i="3"/>
  <c r="K696" i="3" s="1"/>
  <c r="J901" i="3"/>
  <c r="K901" i="3" s="1"/>
  <c r="J989" i="3"/>
  <c r="K989" i="3" s="1"/>
  <c r="J1061" i="3"/>
  <c r="K1061" i="3" s="1"/>
  <c r="J1125" i="3"/>
  <c r="K1125" i="3" s="1"/>
  <c r="J1189" i="3"/>
  <c r="K1189" i="3" s="1"/>
  <c r="J1253" i="3"/>
  <c r="K1253" i="3" s="1"/>
  <c r="J1317" i="3"/>
  <c r="K1317" i="3" s="1"/>
  <c r="J1381" i="3"/>
  <c r="K1381" i="3" s="1"/>
  <c r="J1431" i="3"/>
  <c r="K1431" i="3" s="1"/>
  <c r="J1478" i="3"/>
  <c r="K1478" i="3" s="1"/>
  <c r="J1520" i="3"/>
  <c r="K1520" i="3" s="1"/>
  <c r="J1560" i="3"/>
  <c r="K1560" i="3" s="1"/>
  <c r="J1594" i="3"/>
  <c r="K1594" i="3" s="1"/>
  <c r="J1626" i="3"/>
  <c r="K1626" i="3" s="1"/>
  <c r="J1658" i="3"/>
  <c r="K1658" i="3" s="1"/>
  <c r="J1690" i="3"/>
  <c r="K1690" i="3" s="1"/>
  <c r="J1722" i="3"/>
  <c r="K1722" i="3" s="1"/>
  <c r="J1754" i="3"/>
  <c r="K1754" i="3" s="1"/>
  <c r="J1786" i="3"/>
  <c r="K1786" i="3" s="1"/>
  <c r="J1818" i="3"/>
  <c r="K1818" i="3" s="1"/>
  <c r="J1850" i="3"/>
  <c r="K1850" i="3" s="1"/>
  <c r="J1882" i="3"/>
  <c r="K1882" i="3" s="1"/>
  <c r="J1914" i="3"/>
  <c r="K1914" i="3" s="1"/>
  <c r="J1946" i="3"/>
  <c r="K1946" i="3" s="1"/>
  <c r="J1978" i="3"/>
  <c r="K1978" i="3" s="1"/>
  <c r="J2010" i="3"/>
  <c r="K2010" i="3" s="1"/>
  <c r="J2042" i="3"/>
  <c r="K2042" i="3" s="1"/>
  <c r="J2074" i="3"/>
  <c r="K2074" i="3" s="1"/>
  <c r="J2106" i="3"/>
  <c r="K2106" i="3" s="1"/>
  <c r="J132" i="3"/>
  <c r="K132" i="3" s="1"/>
  <c r="J489" i="3"/>
  <c r="K489" i="3" s="1"/>
  <c r="J749" i="3"/>
  <c r="K749" i="3" s="1"/>
  <c r="J928" i="3"/>
  <c r="K928" i="3" s="1"/>
  <c r="J1009" i="3"/>
  <c r="K1009" i="3" s="1"/>
  <c r="J1078" i="3"/>
  <c r="K1078" i="3" s="1"/>
  <c r="J1142" i="3"/>
  <c r="K1142" i="3" s="1"/>
  <c r="J1206" i="3"/>
  <c r="K1206" i="3" s="1"/>
  <c r="J1270" i="3"/>
  <c r="K1270" i="3" s="1"/>
  <c r="J1334" i="3"/>
  <c r="K1334" i="3" s="1"/>
  <c r="J1393" i="3"/>
  <c r="K1393" i="3" s="1"/>
  <c r="J1446" i="3"/>
  <c r="K1446" i="3" s="1"/>
  <c r="J1489" i="3"/>
  <c r="K1489" i="3" s="1"/>
  <c r="J1533" i="3"/>
  <c r="K1533" i="3" s="1"/>
  <c r="J1571" i="3"/>
  <c r="K1571" i="3" s="1"/>
  <c r="J1603" i="3"/>
  <c r="K1603" i="3" s="1"/>
  <c r="J1635" i="3"/>
  <c r="K1635" i="3" s="1"/>
  <c r="J1667" i="3"/>
  <c r="K1667" i="3" s="1"/>
  <c r="J1699" i="3"/>
  <c r="K1699" i="3" s="1"/>
  <c r="J1731" i="3"/>
  <c r="K1731" i="3" s="1"/>
  <c r="J1763" i="3"/>
  <c r="K1763" i="3" s="1"/>
  <c r="J1795" i="3"/>
  <c r="K1795" i="3" s="1"/>
  <c r="J1827" i="3"/>
  <c r="K1827" i="3" s="1"/>
  <c r="J1859" i="3"/>
  <c r="K1859" i="3" s="1"/>
  <c r="J1891" i="3"/>
  <c r="K1891" i="3" s="1"/>
  <c r="J1923" i="3"/>
  <c r="K1923" i="3" s="1"/>
  <c r="J1955" i="3"/>
  <c r="K1955" i="3" s="1"/>
  <c r="J1987" i="3"/>
  <c r="K1987" i="3" s="1"/>
  <c r="J2019" i="3"/>
  <c r="K2019" i="3" s="1"/>
  <c r="J2051" i="3"/>
  <c r="K2051" i="3" s="1"/>
  <c r="J2083" i="3"/>
  <c r="K2083" i="3" s="1"/>
  <c r="J760" i="3"/>
  <c r="K760" i="3" s="1"/>
  <c r="J1143" i="3"/>
  <c r="K1143" i="3" s="1"/>
  <c r="J1271" i="3"/>
  <c r="K1271" i="3" s="1"/>
  <c r="J1397" i="3"/>
  <c r="K1397" i="3" s="1"/>
  <c r="J1492" i="3"/>
  <c r="K1492" i="3" s="1"/>
  <c r="J1572" i="3"/>
  <c r="K1572" i="3" s="1"/>
  <c r="J1636" i="3"/>
  <c r="K1636" i="3" s="1"/>
  <c r="J1700" i="3"/>
  <c r="J1764" i="3"/>
  <c r="K1764" i="3" s="1"/>
  <c r="J1828" i="3"/>
  <c r="K1828" i="3" s="1"/>
  <c r="J1892" i="3"/>
  <c r="K1892" i="3" s="1"/>
  <c r="J1956" i="3"/>
  <c r="K1956" i="3" s="1"/>
  <c r="J2020" i="3"/>
  <c r="K2020" i="3" s="1"/>
  <c r="J2076" i="3"/>
  <c r="K2076" i="3" s="1"/>
  <c r="J2121" i="3"/>
  <c r="K2121" i="3" s="1"/>
  <c r="J2156" i="3"/>
  <c r="K2156" i="3" s="1"/>
  <c r="J2188" i="3"/>
  <c r="K2188" i="3" s="1"/>
  <c r="J2220" i="3"/>
  <c r="K2220" i="3" s="1"/>
  <c r="J2252" i="3"/>
  <c r="K2252" i="3" s="1"/>
  <c r="J2284" i="3"/>
  <c r="K2284" i="3" s="1"/>
  <c r="J2316" i="3"/>
  <c r="K2316" i="3" s="1"/>
  <c r="J2261" i="3"/>
  <c r="K2261" i="3" s="1"/>
  <c r="J2309" i="3"/>
  <c r="K2309" i="3" s="1"/>
  <c r="J1881" i="3"/>
  <c r="K1881" i="3" s="1"/>
  <c r="J2054" i="3"/>
  <c r="K2054" i="3" s="1"/>
  <c r="J2167" i="3"/>
  <c r="K2167" i="3" s="1"/>
  <c r="J2271" i="3"/>
  <c r="K2271" i="3" s="1"/>
  <c r="J1353" i="3"/>
  <c r="K1353" i="3" s="1"/>
  <c r="J1645" i="3"/>
  <c r="K1645" i="3" s="1"/>
  <c r="J1885" i="3"/>
  <c r="K1885" i="3" s="1"/>
  <c r="J2095" i="3"/>
  <c r="K2095" i="3" s="1"/>
  <c r="J2209" i="3"/>
  <c r="K2209" i="3" s="1"/>
  <c r="J933" i="3"/>
  <c r="K933" i="3" s="1"/>
  <c r="J1177" i="3"/>
  <c r="K1177" i="3" s="1"/>
  <c r="J1305" i="3"/>
  <c r="K1305" i="3" s="1"/>
  <c r="J1423" i="3"/>
  <c r="K1423" i="3" s="1"/>
  <c r="J1513" i="3"/>
  <c r="K1513" i="3" s="1"/>
  <c r="K1703" i="3"/>
  <c r="J197" i="3"/>
  <c r="K197" i="3" s="1"/>
  <c r="J118" i="3"/>
  <c r="K118" i="3" s="1"/>
  <c r="J566" i="3"/>
  <c r="K566" i="3" s="1"/>
  <c r="J822" i="3"/>
  <c r="K822" i="3" s="1"/>
  <c r="J1022" i="3"/>
  <c r="K1022" i="3" s="1"/>
  <c r="J183" i="3"/>
  <c r="K183" i="3" s="1"/>
  <c r="J351" i="3"/>
  <c r="K351" i="3" s="1"/>
  <c r="J519" i="3"/>
  <c r="K519" i="3" s="1"/>
  <c r="J104" i="3"/>
  <c r="K104" i="3" s="1"/>
  <c r="J130" i="3"/>
  <c r="K130" i="3" s="1"/>
  <c r="J298" i="3"/>
  <c r="K298" i="3" s="1"/>
  <c r="J474" i="3"/>
  <c r="K474" i="3" s="1"/>
  <c r="J642" i="3"/>
  <c r="K642" i="3" s="1"/>
  <c r="J810" i="3"/>
  <c r="K810" i="3" s="1"/>
  <c r="J59" i="3"/>
  <c r="K59" i="3" s="1"/>
  <c r="J227" i="3"/>
  <c r="K227" i="3" s="1"/>
  <c r="J395" i="3"/>
  <c r="K395" i="3" s="1"/>
  <c r="J571" i="3"/>
  <c r="K571" i="3" s="1"/>
  <c r="J739" i="3"/>
  <c r="K739" i="3" s="1"/>
  <c r="J891" i="3"/>
  <c r="K891" i="3" s="1"/>
  <c r="J73" i="3"/>
  <c r="K73" i="3" s="1"/>
  <c r="J280" i="3"/>
  <c r="K280" i="3" s="1"/>
  <c r="J449" i="3"/>
  <c r="K449" i="3" s="1"/>
  <c r="J620" i="3"/>
  <c r="K620" i="3" s="1"/>
  <c r="J725" i="3"/>
  <c r="K725" i="3" s="1"/>
  <c r="J828" i="3"/>
  <c r="K828" i="3" s="1"/>
  <c r="J108" i="3"/>
  <c r="K108" i="3" s="1"/>
  <c r="J304" i="3"/>
  <c r="K304" i="3" s="1"/>
  <c r="J473" i="3"/>
  <c r="K473" i="3" s="1"/>
  <c r="J637" i="3"/>
  <c r="K637" i="3" s="1"/>
  <c r="J740" i="3"/>
  <c r="K740" i="3" s="1"/>
  <c r="J841" i="3"/>
  <c r="K841" i="3" s="1"/>
  <c r="J944" i="3"/>
  <c r="K944" i="3" s="1"/>
  <c r="J1020" i="3"/>
  <c r="K1020" i="3" s="1"/>
  <c r="J1088" i="3"/>
  <c r="K1088" i="3" s="1"/>
  <c r="J1152" i="3"/>
  <c r="K1152" i="3" s="1"/>
  <c r="J1216" i="3"/>
  <c r="K1216" i="3" s="1"/>
  <c r="J1280" i="3"/>
  <c r="K1280" i="3" s="1"/>
  <c r="J1344" i="3"/>
  <c r="K1344" i="3" s="1"/>
  <c r="J145" i="3"/>
  <c r="K145" i="3" s="1"/>
  <c r="J328" i="3"/>
  <c r="K328" i="3" s="1"/>
  <c r="J497" i="3"/>
  <c r="K497" i="3" s="1"/>
  <c r="J652" i="3"/>
  <c r="K652" i="3" s="1"/>
  <c r="J753" i="3"/>
  <c r="K753" i="3" s="1"/>
  <c r="J856" i="3"/>
  <c r="K856" i="3" s="1"/>
  <c r="J180" i="3"/>
  <c r="K180" i="3" s="1"/>
  <c r="J352" i="3"/>
  <c r="K352" i="3" s="1"/>
  <c r="J521" i="3"/>
  <c r="K521" i="3" s="1"/>
  <c r="J665" i="3"/>
  <c r="K665" i="3" s="1"/>
  <c r="J768" i="3"/>
  <c r="K768" i="3" s="1"/>
  <c r="J871" i="3"/>
  <c r="K871" i="3" s="1"/>
  <c r="J968" i="3"/>
  <c r="K968" i="3" s="1"/>
  <c r="J1041" i="3"/>
  <c r="K1041" i="3" s="1"/>
  <c r="J1106" i="3"/>
  <c r="K1106" i="3" s="1"/>
  <c r="J1170" i="3"/>
  <c r="K1170" i="3" s="1"/>
  <c r="J1234" i="3"/>
  <c r="K1234" i="3" s="1"/>
  <c r="J1298" i="3"/>
  <c r="K1298" i="3" s="1"/>
  <c r="J1362" i="3"/>
  <c r="K1362" i="3" s="1"/>
  <c r="J1426" i="3"/>
  <c r="K1426" i="3" s="1"/>
  <c r="J1490" i="3"/>
  <c r="K1490" i="3" s="1"/>
  <c r="J1554" i="3"/>
  <c r="K1554" i="3" s="1"/>
  <c r="J204" i="3"/>
  <c r="K204" i="3" s="1"/>
  <c r="J376" i="3"/>
  <c r="K376" i="3" s="1"/>
  <c r="J545" i="3"/>
  <c r="K545" i="3" s="1"/>
  <c r="J680" i="3"/>
  <c r="K680" i="3" s="1"/>
  <c r="J783" i="3"/>
  <c r="K783" i="3" s="1"/>
  <c r="J885" i="3"/>
  <c r="K885" i="3" s="1"/>
  <c r="J978" i="3"/>
  <c r="K978" i="3" s="1"/>
  <c r="J1051" i="3"/>
  <c r="K1051" i="3" s="1"/>
  <c r="J1115" i="3"/>
  <c r="K1115" i="3" s="1"/>
  <c r="J1179" i="3"/>
  <c r="K1179" i="3" s="1"/>
  <c r="J1243" i="3"/>
  <c r="K1243" i="3" s="1"/>
  <c r="J1307" i="3"/>
  <c r="K1307" i="3" s="1"/>
  <c r="J1371" i="3"/>
  <c r="K1371" i="3" s="1"/>
  <c r="J1435" i="3"/>
  <c r="K1435" i="3" s="1"/>
  <c r="J1499" i="3"/>
  <c r="K1499" i="3" s="1"/>
  <c r="J124" i="3"/>
  <c r="K124" i="3" s="1"/>
  <c r="J313" i="3"/>
  <c r="K313" i="3" s="1"/>
  <c r="J484" i="3"/>
  <c r="K484" i="3" s="1"/>
  <c r="J644" i="3"/>
  <c r="K644" i="3" s="1"/>
  <c r="J745" i="3"/>
  <c r="K745" i="3" s="1"/>
  <c r="J848" i="3"/>
  <c r="K848" i="3" s="1"/>
  <c r="J949" i="3"/>
  <c r="K949" i="3" s="1"/>
  <c r="J1025" i="3"/>
  <c r="K1025" i="3" s="1"/>
  <c r="J1092" i="3"/>
  <c r="K1092" i="3" s="1"/>
  <c r="J1156" i="3"/>
  <c r="K1156" i="3" s="1"/>
  <c r="J1220" i="3"/>
  <c r="K1220" i="3" s="1"/>
  <c r="J1284" i="3"/>
  <c r="K1284" i="3" s="1"/>
  <c r="J1348" i="3"/>
  <c r="K1348" i="3" s="1"/>
  <c r="J1412" i="3"/>
  <c r="K1412" i="3" s="1"/>
  <c r="J273" i="3"/>
  <c r="K273" i="3" s="1"/>
  <c r="J824" i="3"/>
  <c r="K824" i="3" s="1"/>
  <c r="J1035" i="3"/>
  <c r="K1035" i="3" s="1"/>
  <c r="J192" i="3"/>
  <c r="K192" i="3" s="1"/>
  <c r="J775" i="3"/>
  <c r="K775" i="3" s="1"/>
  <c r="J1018" i="3"/>
  <c r="K1018" i="3" s="1"/>
  <c r="J1150" i="3"/>
  <c r="K1150" i="3" s="1"/>
  <c r="J1246" i="3"/>
  <c r="K1246" i="3" s="1"/>
  <c r="J1342" i="3"/>
  <c r="K1342" i="3" s="1"/>
  <c r="J1414" i="3"/>
  <c r="K1414" i="3" s="1"/>
  <c r="J1473" i="3"/>
  <c r="K1473" i="3" s="1"/>
  <c r="J1537" i="3"/>
  <c r="K1537" i="3" s="1"/>
  <c r="J1583" i="3"/>
  <c r="K1583" i="3" s="1"/>
  <c r="J1623" i="3"/>
  <c r="K1623" i="3" s="1"/>
  <c r="J1671" i="3"/>
  <c r="K1671" i="3" s="1"/>
  <c r="J1711" i="3"/>
  <c r="K1711" i="3" s="1"/>
  <c r="J1751" i="3"/>
  <c r="K1751" i="3" s="1"/>
  <c r="J1791" i="3"/>
  <c r="K1791" i="3" s="1"/>
  <c r="J1823" i="3"/>
  <c r="K1823" i="3" s="1"/>
  <c r="J1855" i="3"/>
  <c r="K1855" i="3" s="1"/>
  <c r="J1887" i="3"/>
  <c r="K1887" i="3" s="1"/>
  <c r="J1919" i="3"/>
  <c r="K1919" i="3" s="1"/>
  <c r="J1951" i="3"/>
  <c r="K1951" i="3" s="1"/>
  <c r="J1983" i="3"/>
  <c r="K1983" i="3" s="1"/>
  <c r="J2015" i="3"/>
  <c r="K2015" i="3" s="1"/>
  <c r="J97" i="3"/>
  <c r="K97" i="3" s="1"/>
  <c r="J465" i="3"/>
  <c r="K465" i="3" s="1"/>
  <c r="J735" i="3"/>
  <c r="K735" i="3" s="1"/>
  <c r="J917" i="3"/>
  <c r="K917" i="3" s="1"/>
  <c r="J1001" i="3"/>
  <c r="K1001" i="3" s="1"/>
  <c r="J1071" i="3"/>
  <c r="K1071" i="3" s="1"/>
  <c r="J1135" i="3"/>
  <c r="K1135" i="3" s="1"/>
  <c r="J1199" i="3"/>
  <c r="K1199" i="3" s="1"/>
  <c r="J1263" i="3"/>
  <c r="K1263" i="3" s="1"/>
  <c r="J1327" i="3"/>
  <c r="K1327" i="3" s="1"/>
  <c r="J1390" i="3"/>
  <c r="K1390" i="3" s="1"/>
  <c r="J1440" i="3"/>
  <c r="K1440" i="3" s="1"/>
  <c r="J1486" i="3"/>
  <c r="K1486" i="3" s="1"/>
  <c r="J1528" i="3"/>
  <c r="K1528" i="3" s="1"/>
  <c r="J1567" i="3"/>
  <c r="K1567" i="3" s="1"/>
  <c r="J1600" i="3"/>
  <c r="K1600" i="3" s="1"/>
  <c r="J1632" i="3"/>
  <c r="K1632" i="3" s="1"/>
  <c r="J1664" i="3"/>
  <c r="K1664" i="3" s="1"/>
  <c r="J1696" i="3"/>
  <c r="K1696" i="3" s="1"/>
  <c r="J1728" i="3"/>
  <c r="K1728" i="3" s="1"/>
  <c r="J1760" i="3"/>
  <c r="K1760" i="3" s="1"/>
  <c r="J1792" i="3"/>
  <c r="K1792" i="3" s="1"/>
  <c r="J1824" i="3"/>
  <c r="K1824" i="3" s="1"/>
  <c r="J1856" i="3"/>
  <c r="K1856" i="3" s="1"/>
  <c r="J1888" i="3"/>
  <c r="K1888" i="3" s="1"/>
  <c r="J1920" i="3"/>
  <c r="K1920" i="3" s="1"/>
  <c r="J1952" i="3"/>
  <c r="K1952" i="3" s="1"/>
  <c r="J1984" i="3"/>
  <c r="K1984" i="3" s="1"/>
  <c r="J2016" i="3"/>
  <c r="K2016" i="3" s="1"/>
  <c r="J2048" i="3"/>
  <c r="K2048" i="3" s="1"/>
  <c r="J2080" i="3"/>
  <c r="K2080" i="3" s="1"/>
  <c r="J2112" i="3"/>
  <c r="K2112" i="3" s="1"/>
  <c r="J212" i="3"/>
  <c r="K212" i="3" s="1"/>
  <c r="J553" i="3"/>
  <c r="K553" i="3" s="1"/>
  <c r="J788" i="3"/>
  <c r="K788" i="3" s="1"/>
  <c r="J945" i="3"/>
  <c r="K945" i="3" s="1"/>
  <c r="J1021" i="3"/>
  <c r="K1021" i="3" s="1"/>
  <c r="J1089" i="3"/>
  <c r="K1089" i="3" s="1"/>
  <c r="J129" i="3"/>
  <c r="K129" i="3" s="1"/>
  <c r="J488" i="3"/>
  <c r="K488" i="3" s="1"/>
  <c r="J748" i="3"/>
  <c r="K748" i="3" s="1"/>
  <c r="J927" i="3"/>
  <c r="K927" i="3" s="1"/>
  <c r="J1008" i="3"/>
  <c r="K1008" i="3" s="1"/>
  <c r="J1077" i="3"/>
  <c r="K1077" i="3" s="1"/>
  <c r="J1141" i="3"/>
  <c r="K1141" i="3" s="1"/>
  <c r="J1205" i="3"/>
  <c r="K1205" i="3" s="1"/>
  <c r="J1269" i="3"/>
  <c r="K1269" i="3" s="1"/>
  <c r="J1333" i="3"/>
  <c r="K1333" i="3" s="1"/>
  <c r="J1392" i="3"/>
  <c r="K1392" i="3" s="1"/>
  <c r="J1445" i="3"/>
  <c r="K1445" i="3" s="1"/>
  <c r="J1488" i="3"/>
  <c r="K1488" i="3" s="1"/>
  <c r="J1532" i="3"/>
  <c r="K1532" i="3" s="1"/>
  <c r="J1569" i="3"/>
  <c r="K1569" i="3" s="1"/>
  <c r="J1602" i="3"/>
  <c r="K1602" i="3" s="1"/>
  <c r="J1634" i="3"/>
  <c r="K1634" i="3" s="1"/>
  <c r="J1666" i="3"/>
  <c r="K1666" i="3" s="1"/>
  <c r="J1698" i="3"/>
  <c r="K1698" i="3" s="1"/>
  <c r="J1730" i="3"/>
  <c r="K1730" i="3" s="1"/>
  <c r="J1762" i="3"/>
  <c r="K1762" i="3" s="1"/>
  <c r="J1794" i="3"/>
  <c r="K1794" i="3" s="1"/>
  <c r="J1826" i="3"/>
  <c r="K1826" i="3" s="1"/>
  <c r="J1858" i="3"/>
  <c r="K1858" i="3" s="1"/>
  <c r="J1890" i="3"/>
  <c r="K1890" i="3" s="1"/>
  <c r="J1922" i="3"/>
  <c r="K1922" i="3" s="1"/>
  <c r="J1954" i="3"/>
  <c r="K1954" i="3" s="1"/>
  <c r="J1986" i="3"/>
  <c r="K1986" i="3" s="1"/>
  <c r="J2018" i="3"/>
  <c r="K2018" i="3" s="1"/>
  <c r="J2050" i="3"/>
  <c r="K2050" i="3" s="1"/>
  <c r="J2082" i="3"/>
  <c r="K2082" i="3" s="1"/>
  <c r="J2114" i="3"/>
  <c r="K2114" i="3" s="1"/>
  <c r="J233" i="3"/>
  <c r="K233" i="3" s="1"/>
  <c r="J576" i="3"/>
  <c r="K576" i="3" s="1"/>
  <c r="J800" i="3"/>
  <c r="K800" i="3" s="1"/>
  <c r="J952" i="3"/>
  <c r="K952" i="3" s="1"/>
  <c r="J1027" i="3"/>
  <c r="K1027" i="3" s="1"/>
  <c r="J1094" i="3"/>
  <c r="K1094" i="3" s="1"/>
  <c r="J1158" i="3"/>
  <c r="K1158" i="3" s="1"/>
  <c r="J1222" i="3"/>
  <c r="K1222" i="3" s="1"/>
  <c r="J1286" i="3"/>
  <c r="K1286" i="3" s="1"/>
  <c r="J1350" i="3"/>
  <c r="K1350" i="3" s="1"/>
  <c r="J1407" i="3"/>
  <c r="K1407" i="3" s="1"/>
  <c r="J1457" i="3"/>
  <c r="K1457" i="3" s="1"/>
  <c r="J1501" i="3"/>
  <c r="K1501" i="3" s="1"/>
  <c r="J1543" i="3"/>
  <c r="K1543" i="3" s="1"/>
  <c r="J1579" i="3"/>
  <c r="K1579" i="3" s="1"/>
  <c r="J1611" i="3"/>
  <c r="K1611" i="3" s="1"/>
  <c r="J1643" i="3"/>
  <c r="K1643" i="3" s="1"/>
  <c r="J1675" i="3"/>
  <c r="K1675" i="3" s="1"/>
  <c r="J1707" i="3"/>
  <c r="K1707" i="3" s="1"/>
  <c r="J1739" i="3"/>
  <c r="K1739" i="3" s="1"/>
  <c r="J1771" i="3"/>
  <c r="K1771" i="3" s="1"/>
  <c r="J1803" i="3"/>
  <c r="K1803" i="3" s="1"/>
  <c r="J1835" i="3"/>
  <c r="K1835" i="3" s="1"/>
  <c r="J1867" i="3"/>
  <c r="K1867" i="3" s="1"/>
  <c r="J1899" i="3"/>
  <c r="K1899" i="3" s="1"/>
  <c r="J1931" i="3"/>
  <c r="K1931" i="3" s="1"/>
  <c r="J1963" i="3"/>
  <c r="K1963" i="3" s="1"/>
  <c r="J1995" i="3"/>
  <c r="K1995" i="3" s="1"/>
  <c r="J2027" i="3"/>
  <c r="K2027" i="3" s="1"/>
  <c r="J2059" i="3"/>
  <c r="K2059" i="3" s="1"/>
  <c r="J2091" i="3"/>
  <c r="K2091" i="3" s="1"/>
  <c r="J929" i="3"/>
  <c r="K929" i="3" s="1"/>
  <c r="J1175" i="3"/>
  <c r="K1175" i="3" s="1"/>
  <c r="J1303" i="3"/>
  <c r="K1303" i="3" s="1"/>
  <c r="J1422" i="3"/>
  <c r="K1422" i="3" s="1"/>
  <c r="J1512" i="3"/>
  <c r="K1512" i="3" s="1"/>
  <c r="J1588" i="3"/>
  <c r="K1588" i="3" s="1"/>
  <c r="J1652" i="3"/>
  <c r="K1652" i="3" s="1"/>
  <c r="J1716" i="3"/>
  <c r="K1716" i="3" s="1"/>
  <c r="J1780" i="3"/>
  <c r="K1780" i="3" s="1"/>
  <c r="J1844" i="3"/>
  <c r="K1844" i="3" s="1"/>
  <c r="J1908" i="3"/>
  <c r="K1908" i="3" s="1"/>
  <c r="J1972" i="3"/>
  <c r="K1972" i="3" s="1"/>
  <c r="J2036" i="3"/>
  <c r="K2036" i="3" s="1"/>
  <c r="J2087" i="3"/>
  <c r="K2087" i="3" s="1"/>
  <c r="J2132" i="3"/>
  <c r="K2132" i="3" s="1"/>
  <c r="J2164" i="3"/>
  <c r="K2164" i="3" s="1"/>
  <c r="J2196" i="3"/>
  <c r="K2196" i="3" s="1"/>
  <c r="J2228" i="3"/>
  <c r="K2228" i="3" s="1"/>
  <c r="J2260" i="3"/>
  <c r="K2260" i="3" s="1"/>
  <c r="J2292" i="3"/>
  <c r="K2292" i="3" s="1"/>
  <c r="K1700" i="3"/>
  <c r="J325" i="3"/>
  <c r="K325" i="3" s="1"/>
  <c r="J246" i="3"/>
  <c r="K246" i="3" s="1"/>
  <c r="J630" i="3"/>
  <c r="K630" i="3" s="1"/>
  <c r="J886" i="3"/>
  <c r="K886" i="3" s="1"/>
  <c r="J55" i="3"/>
  <c r="K55" i="3" s="1"/>
  <c r="J223" i="3"/>
  <c r="K223" i="3" s="1"/>
  <c r="J391" i="3"/>
  <c r="K391" i="3" s="1"/>
  <c r="J567" i="3"/>
  <c r="K567" i="3" s="1"/>
  <c r="J144" i="3"/>
  <c r="K144" i="3" s="1"/>
  <c r="J170" i="3"/>
  <c r="K170" i="3" s="1"/>
  <c r="J346" i="3"/>
  <c r="K346" i="3" s="1"/>
  <c r="J514" i="3"/>
  <c r="K514" i="3" s="1"/>
  <c r="J682" i="3"/>
  <c r="K682" i="3" s="1"/>
  <c r="J858" i="3"/>
  <c r="K858" i="3" s="1"/>
  <c r="J99" i="3"/>
  <c r="K99" i="3" s="1"/>
  <c r="J267" i="3"/>
  <c r="K267" i="3" s="1"/>
  <c r="J443" i="3"/>
  <c r="K443" i="3" s="1"/>
  <c r="J611" i="3"/>
  <c r="K611" i="3" s="1"/>
  <c r="J779" i="3"/>
  <c r="K779" i="3" s="1"/>
  <c r="J907" i="3"/>
  <c r="K907" i="3" s="1"/>
  <c r="J137" i="3"/>
  <c r="K137" i="3" s="1"/>
  <c r="J321" i="3"/>
  <c r="K321" i="3" s="1"/>
  <c r="J492" i="3"/>
  <c r="K492" i="3" s="1"/>
  <c r="J648" i="3"/>
  <c r="K648" i="3" s="1"/>
  <c r="J751" i="3"/>
  <c r="K751" i="3" s="1"/>
  <c r="J853" i="3"/>
  <c r="K853" i="3" s="1"/>
  <c r="J172" i="3"/>
  <c r="K172" i="3" s="1"/>
  <c r="J345" i="3"/>
  <c r="K345" i="3" s="1"/>
  <c r="J516" i="3"/>
  <c r="K516" i="3" s="1"/>
  <c r="J663" i="3"/>
  <c r="K663" i="3" s="1"/>
  <c r="J765" i="3"/>
  <c r="K765" i="3" s="1"/>
  <c r="J868" i="3"/>
  <c r="K868" i="3" s="1"/>
  <c r="J965" i="3"/>
  <c r="K965" i="3" s="1"/>
  <c r="J1039" i="3"/>
  <c r="K1039" i="3" s="1"/>
  <c r="J1104" i="3"/>
  <c r="K1104" i="3" s="1"/>
  <c r="J1168" i="3"/>
  <c r="K1168" i="3" s="1"/>
  <c r="J1232" i="3"/>
  <c r="K1232" i="3" s="1"/>
  <c r="J1296" i="3"/>
  <c r="K1296" i="3" s="1"/>
  <c r="J1360" i="3"/>
  <c r="K1360" i="3" s="1"/>
  <c r="J200" i="3"/>
  <c r="K200" i="3" s="1"/>
  <c r="J369" i="3"/>
  <c r="K369" i="3" s="1"/>
  <c r="J540" i="3"/>
  <c r="K540" i="3" s="1"/>
  <c r="J677" i="3"/>
  <c r="K677" i="3" s="1"/>
  <c r="J780" i="3"/>
  <c r="K780" i="3" s="1"/>
  <c r="J881" i="3"/>
  <c r="K881" i="3" s="1"/>
  <c r="J224" i="3"/>
  <c r="K224" i="3" s="1"/>
  <c r="J393" i="3"/>
  <c r="K393" i="3" s="1"/>
  <c r="J564" i="3"/>
  <c r="K564" i="3" s="1"/>
  <c r="J692" i="3"/>
  <c r="K692" i="3" s="1"/>
  <c r="J793" i="3"/>
  <c r="K793" i="3" s="1"/>
  <c r="J896" i="3"/>
  <c r="K896" i="3" s="1"/>
  <c r="J986" i="3"/>
  <c r="K986" i="3" s="1"/>
  <c r="J1058" i="3"/>
  <c r="K1058" i="3" s="1"/>
  <c r="J1122" i="3"/>
  <c r="K1122" i="3" s="1"/>
  <c r="J1186" i="3"/>
  <c r="K1186" i="3" s="1"/>
  <c r="J1250" i="3"/>
  <c r="K1250" i="3" s="1"/>
  <c r="J1314" i="3"/>
  <c r="K1314" i="3" s="1"/>
  <c r="J1378" i="3"/>
  <c r="K1378" i="3" s="1"/>
  <c r="J1442" i="3"/>
  <c r="K1442" i="3" s="1"/>
  <c r="J1506" i="3"/>
  <c r="K1506" i="3" s="1"/>
  <c r="J1570" i="3"/>
  <c r="K1570" i="3" s="1"/>
  <c r="J248" i="3"/>
  <c r="K248" i="3" s="1"/>
  <c r="J417" i="3"/>
  <c r="K417" i="3" s="1"/>
  <c r="J588" i="3"/>
  <c r="K588" i="3" s="1"/>
  <c r="J705" i="3"/>
  <c r="K705" i="3" s="1"/>
  <c r="J808" i="3"/>
  <c r="K808" i="3" s="1"/>
  <c r="J911" i="3"/>
  <c r="K911" i="3" s="1"/>
  <c r="J996" i="3"/>
  <c r="K996" i="3" s="1"/>
  <c r="J1067" i="3"/>
  <c r="K1067" i="3" s="1"/>
  <c r="J1131" i="3"/>
  <c r="K1131" i="3" s="1"/>
  <c r="J1195" i="3"/>
  <c r="K1195" i="3" s="1"/>
  <c r="J1259" i="3"/>
  <c r="K1259" i="3" s="1"/>
  <c r="J1323" i="3"/>
  <c r="K1323" i="3" s="1"/>
  <c r="J1387" i="3"/>
  <c r="K1387" i="3" s="1"/>
  <c r="J1451" i="3"/>
  <c r="K1451" i="3" s="1"/>
  <c r="J1515" i="3"/>
  <c r="K1515" i="3" s="1"/>
  <c r="J185" i="3"/>
  <c r="K185" i="3" s="1"/>
  <c r="J356" i="3"/>
  <c r="K356" i="3" s="1"/>
  <c r="J528" i="3"/>
  <c r="K528" i="3" s="1"/>
  <c r="J669" i="3"/>
  <c r="K669" i="3" s="1"/>
  <c r="J772" i="3"/>
  <c r="K772" i="3" s="1"/>
  <c r="J873" i="3"/>
  <c r="K873" i="3" s="1"/>
  <c r="J970" i="3"/>
  <c r="K970" i="3" s="1"/>
  <c r="J1043" i="3"/>
  <c r="K1043" i="3" s="1"/>
  <c r="J1108" i="3"/>
  <c r="K1108" i="3" s="1"/>
  <c r="J1172" i="3"/>
  <c r="K1172" i="3" s="1"/>
  <c r="J1236" i="3"/>
  <c r="K1236" i="3" s="1"/>
  <c r="J1300" i="3"/>
  <c r="K1300" i="3" s="1"/>
  <c r="J1364" i="3"/>
  <c r="K1364" i="3" s="1"/>
  <c r="J1428" i="3"/>
  <c r="K1428" i="3" s="1"/>
  <c r="J444" i="3"/>
  <c r="K444" i="3" s="1"/>
  <c r="J913" i="3"/>
  <c r="K913" i="3" s="1"/>
  <c r="J1069" i="3"/>
  <c r="K1069" i="3" s="1"/>
  <c r="J361" i="3"/>
  <c r="K361" i="3" s="1"/>
  <c r="J877" i="3"/>
  <c r="K877" i="3" s="1"/>
  <c r="J1054" i="3"/>
  <c r="K1054" i="3" s="1"/>
  <c r="J1182" i="3"/>
  <c r="K1182" i="3" s="1"/>
  <c r="J1278" i="3"/>
  <c r="K1278" i="3" s="1"/>
  <c r="J1358" i="3"/>
  <c r="K1358" i="3" s="1"/>
  <c r="J1425" i="3"/>
  <c r="K1425" i="3" s="1"/>
  <c r="J1495" i="3"/>
  <c r="K1495" i="3" s="1"/>
  <c r="J1548" i="3"/>
  <c r="K1548" i="3" s="1"/>
  <c r="J1591" i="3"/>
  <c r="K1591" i="3" s="1"/>
  <c r="J1639" i="3"/>
  <c r="K1639" i="3" s="1"/>
  <c r="J1679" i="3"/>
  <c r="K1679" i="3" s="1"/>
  <c r="J1719" i="3"/>
  <c r="K1719" i="3" s="1"/>
  <c r="J1767" i="3"/>
  <c r="K1767" i="3" s="1"/>
  <c r="J1799" i="3"/>
  <c r="K1799" i="3" s="1"/>
  <c r="J1831" i="3"/>
  <c r="K1831" i="3" s="1"/>
  <c r="J1863" i="3"/>
  <c r="K1863" i="3" s="1"/>
  <c r="J1895" i="3"/>
  <c r="K1895" i="3" s="1"/>
  <c r="J1927" i="3"/>
  <c r="K1927" i="3" s="1"/>
  <c r="J1959" i="3"/>
  <c r="K1959" i="3" s="1"/>
  <c r="J1991" i="3"/>
  <c r="K1991" i="3" s="1"/>
  <c r="J2023" i="3"/>
  <c r="K2023" i="3" s="1"/>
  <c r="J209" i="3"/>
  <c r="K209" i="3" s="1"/>
  <c r="J552" i="3"/>
  <c r="K552" i="3" s="1"/>
  <c r="J785" i="3"/>
  <c r="K785" i="3" s="1"/>
  <c r="J943" i="3"/>
  <c r="K943" i="3" s="1"/>
  <c r="J1019" i="3"/>
  <c r="K1019" i="3" s="1"/>
  <c r="J1087" i="3"/>
  <c r="K1087" i="3" s="1"/>
  <c r="J1151" i="3"/>
  <c r="K1151" i="3" s="1"/>
  <c r="J1215" i="3"/>
  <c r="K1215" i="3" s="1"/>
  <c r="J1279" i="3"/>
  <c r="K1279" i="3" s="1"/>
  <c r="J1343" i="3"/>
  <c r="K1343" i="3" s="1"/>
  <c r="J1401" i="3"/>
  <c r="K1401" i="3" s="1"/>
  <c r="J1454" i="3"/>
  <c r="K1454" i="3" s="1"/>
  <c r="J1496" i="3"/>
  <c r="K1496" i="3" s="1"/>
  <c r="J1540" i="3"/>
  <c r="K1540" i="3" s="1"/>
  <c r="J1576" i="3"/>
  <c r="K1576" i="3" s="1"/>
  <c r="J1608" i="3"/>
  <c r="K1608" i="3" s="1"/>
  <c r="J1640" i="3"/>
  <c r="K1640" i="3" s="1"/>
  <c r="J1672" i="3"/>
  <c r="K1672" i="3" s="1"/>
  <c r="J1704" i="3"/>
  <c r="K1704" i="3" s="1"/>
  <c r="J1736" i="3"/>
  <c r="K1736" i="3" s="1"/>
  <c r="J1768" i="3"/>
  <c r="K1768" i="3" s="1"/>
  <c r="J1800" i="3"/>
  <c r="K1800" i="3" s="1"/>
  <c r="J1832" i="3"/>
  <c r="K1832" i="3" s="1"/>
  <c r="J1864" i="3"/>
  <c r="K1864" i="3" s="1"/>
  <c r="J1896" i="3"/>
  <c r="K1896" i="3" s="1"/>
  <c r="J1928" i="3"/>
  <c r="K1928" i="3" s="1"/>
  <c r="J1960" i="3"/>
  <c r="K1960" i="3" s="1"/>
  <c r="J1992" i="3"/>
  <c r="K1992" i="3" s="1"/>
  <c r="J2024" i="3"/>
  <c r="K2024" i="3" s="1"/>
  <c r="J2056" i="3"/>
  <c r="K2056" i="3" s="1"/>
  <c r="J2088" i="3"/>
  <c r="K2088" i="3" s="1"/>
  <c r="J2120" i="3"/>
  <c r="K2120" i="3" s="1"/>
  <c r="J297" i="3"/>
  <c r="K297" i="3" s="1"/>
  <c r="J633" i="3"/>
  <c r="K633" i="3" s="1"/>
  <c r="J839" i="3"/>
  <c r="K839" i="3" s="1"/>
  <c r="J967" i="3"/>
  <c r="K967" i="3" s="1"/>
  <c r="J1040" i="3"/>
  <c r="K1040" i="3" s="1"/>
  <c r="J1105" i="3"/>
  <c r="K1105" i="3" s="1"/>
  <c r="J232" i="3"/>
  <c r="K232" i="3" s="1"/>
  <c r="J572" i="3"/>
  <c r="K572" i="3" s="1"/>
  <c r="J799" i="3"/>
  <c r="K799" i="3" s="1"/>
  <c r="J951" i="3"/>
  <c r="K951" i="3" s="1"/>
  <c r="J1026" i="3"/>
  <c r="K1026" i="3" s="1"/>
  <c r="J1093" i="3"/>
  <c r="K1093" i="3" s="1"/>
  <c r="J1157" i="3"/>
  <c r="K1157" i="3" s="1"/>
  <c r="J1221" i="3"/>
  <c r="K1221" i="3" s="1"/>
  <c r="J1285" i="3"/>
  <c r="K1285" i="3" s="1"/>
  <c r="J1349" i="3"/>
  <c r="K1349" i="3" s="1"/>
  <c r="J1406" i="3"/>
  <c r="K1406" i="3" s="1"/>
  <c r="J1456" i="3"/>
  <c r="K1456" i="3" s="1"/>
  <c r="J1500" i="3"/>
  <c r="K1500" i="3" s="1"/>
  <c r="J1542" i="3"/>
  <c r="K1542" i="3" s="1"/>
  <c r="J1578" i="3"/>
  <c r="K1578" i="3" s="1"/>
  <c r="J1610" i="3"/>
  <c r="K1610" i="3" s="1"/>
  <c r="J1642" i="3"/>
  <c r="K1642" i="3" s="1"/>
  <c r="J1674" i="3"/>
  <c r="K1674" i="3" s="1"/>
  <c r="J1706" i="3"/>
  <c r="K1706" i="3" s="1"/>
  <c r="J1738" i="3"/>
  <c r="K1738" i="3" s="1"/>
  <c r="J1770" i="3"/>
  <c r="K1770" i="3" s="1"/>
  <c r="J1802" i="3"/>
  <c r="K1802" i="3" s="1"/>
  <c r="J1930" i="3"/>
  <c r="K1930" i="3" s="1"/>
  <c r="J2058" i="3"/>
  <c r="K2058" i="3" s="1"/>
  <c r="J647" i="3"/>
  <c r="K647" i="3" s="1"/>
  <c r="J1110" i="3"/>
  <c r="K1110" i="3" s="1"/>
  <c r="J1366" i="3"/>
  <c r="K1366" i="3" s="1"/>
  <c r="J1552" i="3"/>
  <c r="K1552" i="3" s="1"/>
  <c r="J1683" i="3"/>
  <c r="K1683" i="3" s="1"/>
  <c r="J1811" i="3"/>
  <c r="K1811" i="3" s="1"/>
  <c r="J1939" i="3"/>
  <c r="K1939" i="3" s="1"/>
  <c r="J2067" i="3"/>
  <c r="K2067" i="3" s="1"/>
  <c r="J1335" i="3"/>
  <c r="K1335" i="3" s="1"/>
  <c r="J1668" i="3"/>
  <c r="K1668" i="3" s="1"/>
  <c r="J1924" i="3"/>
  <c r="K1924" i="3" s="1"/>
  <c r="J2140" i="3"/>
  <c r="K2140" i="3" s="1"/>
  <c r="J2268" i="3"/>
  <c r="K2268" i="3" s="1"/>
  <c r="J2229" i="3"/>
  <c r="K2229" i="3" s="1"/>
  <c r="J2301" i="3"/>
  <c r="K2301" i="3" s="1"/>
  <c r="J1929" i="3"/>
  <c r="K1929" i="3" s="1"/>
  <c r="J2125" i="3"/>
  <c r="K2125" i="3" s="1"/>
  <c r="J2247" i="3"/>
  <c r="K2247" i="3" s="1"/>
  <c r="J1437" i="3"/>
  <c r="K1437" i="3" s="1"/>
  <c r="J1757" i="3"/>
  <c r="K1757" i="3" s="1"/>
  <c r="J2045" i="3"/>
  <c r="K2045" i="3" s="1"/>
  <c r="J164" i="3"/>
  <c r="K164" i="3" s="1"/>
  <c r="J1081" i="3"/>
  <c r="K1081" i="3" s="1"/>
  <c r="J1273" i="3"/>
  <c r="K1273" i="3" s="1"/>
  <c r="J1448" i="3"/>
  <c r="K1448" i="3" s="1"/>
  <c r="J1555" i="3"/>
  <c r="K1555" i="3" s="1"/>
  <c r="J1621" i="3"/>
  <c r="K1621" i="3" s="1"/>
  <c r="J1685" i="3"/>
  <c r="K1685" i="3" s="1"/>
  <c r="J1749" i="3"/>
  <c r="K1749" i="3" s="1"/>
  <c r="J1813" i="3"/>
  <c r="K1813" i="3" s="1"/>
  <c r="J1877" i="3"/>
  <c r="K1877" i="3" s="1"/>
  <c r="J1941" i="3"/>
  <c r="K1941" i="3" s="1"/>
  <c r="J2005" i="3"/>
  <c r="K2005" i="3" s="1"/>
  <c r="J2063" i="3"/>
  <c r="K2063" i="3" s="1"/>
  <c r="J2111" i="3"/>
  <c r="K2111" i="3" s="1"/>
  <c r="J2149" i="3"/>
  <c r="K2149" i="3" s="1"/>
  <c r="J2181" i="3"/>
  <c r="K2181" i="3" s="1"/>
  <c r="J2221" i="3"/>
  <c r="K2221" i="3" s="1"/>
  <c r="J2293" i="3"/>
  <c r="K2293" i="3" s="1"/>
  <c r="J1961" i="3"/>
  <c r="K1961" i="3" s="1"/>
  <c r="J2183" i="3"/>
  <c r="K2183" i="3" s="1"/>
  <c r="J2319" i="3"/>
  <c r="K2319" i="3" s="1"/>
  <c r="J953" i="3"/>
  <c r="K953" i="3" s="1"/>
  <c r="J1181" i="3"/>
  <c r="K1181" i="3" s="1"/>
  <c r="J1309" i="3"/>
  <c r="K1309" i="3" s="1"/>
  <c r="J1424" i="3"/>
  <c r="K1424" i="3" s="1"/>
  <c r="J1516" i="3"/>
  <c r="K1516" i="3" s="1"/>
  <c r="J1590" i="3"/>
  <c r="K1590" i="3" s="1"/>
  <c r="J1654" i="3"/>
  <c r="K1654" i="3" s="1"/>
  <c r="J1718" i="3"/>
  <c r="K1718" i="3" s="1"/>
  <c r="J1782" i="3"/>
  <c r="K1782" i="3" s="1"/>
  <c r="J1846" i="3"/>
  <c r="K1846" i="3" s="1"/>
  <c r="J1910" i="3"/>
  <c r="K1910" i="3" s="1"/>
  <c r="J1974" i="3"/>
  <c r="K1974" i="3" s="1"/>
  <c r="J2038" i="3"/>
  <c r="K2038" i="3" s="1"/>
  <c r="J2092" i="3"/>
  <c r="K2092" i="3" s="1"/>
  <c r="J2134" i="3"/>
  <c r="K2134" i="3" s="1"/>
  <c r="J2166" i="3"/>
  <c r="K2166" i="3" s="1"/>
  <c r="J2198" i="3"/>
  <c r="K2198" i="3" s="1"/>
  <c r="J2230" i="3"/>
  <c r="K2230" i="3" s="1"/>
  <c r="J2262" i="3"/>
  <c r="K2262" i="3" s="1"/>
  <c r="J2294" i="3"/>
  <c r="K2294" i="3" s="1"/>
  <c r="J1945" i="3"/>
  <c r="K1945" i="3" s="1"/>
  <c r="J2115" i="3"/>
  <c r="K2115" i="3" s="1"/>
  <c r="J2279" i="3"/>
  <c r="K2279" i="3" s="1"/>
  <c r="J1597" i="3"/>
  <c r="K1597" i="3" s="1"/>
  <c r="J1917" i="3"/>
  <c r="K1917" i="3" s="1"/>
  <c r="J2169" i="3"/>
  <c r="K2169" i="3" s="1"/>
  <c r="J596" i="3"/>
  <c r="K596" i="3" s="1"/>
  <c r="J1097" i="3"/>
  <c r="K1097" i="3" s="1"/>
  <c r="J1249" i="3"/>
  <c r="K1249" i="3" s="1"/>
  <c r="J1377" i="3"/>
  <c r="K1377" i="3" s="1"/>
  <c r="J1477" i="3"/>
  <c r="K1477" i="3" s="1"/>
  <c r="J1559" i="3"/>
  <c r="K1559" i="3" s="1"/>
  <c r="J1625" i="3"/>
  <c r="K1625" i="3" s="1"/>
  <c r="J1689" i="3"/>
  <c r="K1689" i="3" s="1"/>
  <c r="J1753" i="3"/>
  <c r="K1753" i="3" s="1"/>
  <c r="J337" i="3"/>
  <c r="K337" i="3" s="1"/>
  <c r="J1047" i="3"/>
  <c r="K1047" i="3" s="1"/>
  <c r="J1223" i="3"/>
  <c r="K1223" i="3" s="1"/>
  <c r="J1351" i="3"/>
  <c r="K1351" i="3" s="1"/>
  <c r="J1460" i="3"/>
  <c r="K1460" i="3" s="1"/>
  <c r="J1544" i="3"/>
  <c r="K1544" i="3" s="1"/>
  <c r="J1612" i="3"/>
  <c r="K1612" i="3" s="1"/>
  <c r="J1676" i="3"/>
  <c r="K1676" i="3" s="1"/>
  <c r="J1740" i="3"/>
  <c r="K1740" i="3" s="1"/>
  <c r="J1804" i="3"/>
  <c r="K1804" i="3" s="1"/>
  <c r="J1868" i="3"/>
  <c r="K1868" i="3" s="1"/>
  <c r="J1932" i="3"/>
  <c r="K1932" i="3" s="1"/>
  <c r="J1996" i="3"/>
  <c r="K1996" i="3" s="1"/>
  <c r="J2055" i="3"/>
  <c r="K2055" i="3" s="1"/>
  <c r="J2105" i="3"/>
  <c r="K2105" i="3" s="1"/>
  <c r="J2144" i="3"/>
  <c r="K2144" i="3" s="1"/>
  <c r="J2176" i="3"/>
  <c r="K2176" i="3" s="1"/>
  <c r="J2208" i="3"/>
  <c r="K2208" i="3" s="1"/>
  <c r="J2240" i="3"/>
  <c r="K2240" i="3" s="1"/>
  <c r="J2272" i="3"/>
  <c r="K2272" i="3" s="1"/>
  <c r="J2304" i="3"/>
  <c r="K2304" i="3" s="1"/>
  <c r="J1113" i="3"/>
  <c r="K1113" i="3" s="1"/>
  <c r="J1321" i="3"/>
  <c r="K1321" i="3" s="1"/>
  <c r="J1661" i="3"/>
  <c r="K1661" i="3" s="1"/>
  <c r="J1901" i="3"/>
  <c r="K1901" i="3" s="1"/>
  <c r="J2161" i="3"/>
  <c r="K2161" i="3" s="1"/>
  <c r="J908" i="3"/>
  <c r="K908" i="3" s="1"/>
  <c r="J1169" i="3"/>
  <c r="K1169" i="3" s="1"/>
  <c r="J1297" i="3"/>
  <c r="K1297" i="3" s="1"/>
  <c r="J1416" i="3"/>
  <c r="K1416" i="3" s="1"/>
  <c r="J1509" i="3"/>
  <c r="K1509" i="3" s="1"/>
  <c r="J1585" i="3"/>
  <c r="K1585" i="3" s="1"/>
  <c r="J1649" i="3"/>
  <c r="K1649" i="3" s="1"/>
  <c r="J1713" i="3"/>
  <c r="K1713" i="3" s="1"/>
  <c r="J1777" i="3"/>
  <c r="K1777" i="3" s="1"/>
  <c r="J1841" i="3"/>
  <c r="K1841" i="3" s="1"/>
  <c r="J1905" i="3"/>
  <c r="K1905" i="3" s="1"/>
  <c r="J1969" i="3"/>
  <c r="K1969" i="3" s="1"/>
  <c r="J2033" i="3"/>
  <c r="K2033" i="3" s="1"/>
  <c r="J2086" i="3"/>
  <c r="K2086" i="3" s="1"/>
  <c r="J2131" i="3"/>
  <c r="K2131" i="3" s="1"/>
  <c r="J2163" i="3"/>
  <c r="K2163" i="3" s="1"/>
  <c r="J2195" i="3"/>
  <c r="K2195" i="3" s="1"/>
  <c r="J2227" i="3"/>
  <c r="K2227" i="3" s="1"/>
  <c r="J2259" i="3"/>
  <c r="K2259" i="3" s="1"/>
  <c r="J2291" i="3"/>
  <c r="K2291" i="3" s="1"/>
  <c r="J1865" i="3"/>
  <c r="K1865" i="3" s="1"/>
  <c r="J2199" i="3"/>
  <c r="K2199" i="3" s="1"/>
  <c r="J864" i="3"/>
  <c r="K864" i="3" s="1"/>
  <c r="J1525" i="3"/>
  <c r="K1525" i="3" s="1"/>
  <c r="J1741" i="3"/>
  <c r="K1741" i="3" s="1"/>
  <c r="J1981" i="3"/>
  <c r="K1981" i="3" s="1"/>
  <c r="J2153" i="3"/>
  <c r="K2153" i="3" s="1"/>
  <c r="J424" i="3"/>
  <c r="K424" i="3" s="1"/>
  <c r="J1726" i="3"/>
  <c r="K1726" i="3" s="1"/>
  <c r="J2170" i="3"/>
  <c r="K2170" i="3" s="1"/>
  <c r="J2305" i="3"/>
  <c r="K2305" i="3" s="1"/>
  <c r="J2274" i="3"/>
  <c r="K2274" i="3" s="1"/>
  <c r="J1950" i="3"/>
  <c r="K1950" i="3" s="1"/>
  <c r="J709" i="3"/>
  <c r="K709" i="3" s="1"/>
  <c r="J1742" i="3"/>
  <c r="K1742" i="3" s="1"/>
  <c r="J2178" i="3"/>
  <c r="K2178" i="3" s="1"/>
  <c r="J2118" i="3"/>
  <c r="K2118" i="3" s="1"/>
  <c r="J1385" i="3"/>
  <c r="K1385" i="3" s="1"/>
  <c r="J904" i="3"/>
  <c r="K904" i="3" s="1"/>
  <c r="J2218" i="3"/>
  <c r="K2218" i="3" s="1"/>
  <c r="J1293" i="3"/>
  <c r="K1293" i="3" s="1"/>
  <c r="J1902" i="3"/>
  <c r="K1902" i="3" s="1"/>
  <c r="J2249" i="3"/>
  <c r="K2249" i="3" s="1"/>
  <c r="J1325" i="3"/>
  <c r="K1325" i="3" s="1"/>
  <c r="J1918" i="3"/>
  <c r="K1918" i="3" s="1"/>
  <c r="J1822" i="3"/>
  <c r="K1822" i="3" s="1"/>
  <c r="J2314" i="3"/>
  <c r="K2314" i="3" s="1"/>
  <c r="J1357" i="3"/>
  <c r="K1357" i="3" s="1"/>
  <c r="J1934" i="3"/>
  <c r="K1934" i="3" s="1"/>
  <c r="J2071" i="3"/>
  <c r="K2071" i="3" s="1"/>
  <c r="J24" i="3"/>
  <c r="K24" i="3" s="1"/>
  <c r="J35" i="3"/>
  <c r="K35" i="3" s="1"/>
  <c r="J19" i="3"/>
  <c r="K19" i="3" s="1"/>
  <c r="J7" i="3"/>
  <c r="J34" i="3"/>
  <c r="K34" i="3" s="1"/>
  <c r="J16" i="3"/>
  <c r="K16" i="3" s="1"/>
  <c r="J1834" i="3"/>
  <c r="K1834" i="3" s="1"/>
  <c r="J1962" i="3"/>
  <c r="K1962" i="3" s="1"/>
  <c r="J2090" i="3"/>
  <c r="K2090" i="3" s="1"/>
  <c r="J852" i="3"/>
  <c r="K852" i="3" s="1"/>
  <c r="J1174" i="3"/>
  <c r="K1174" i="3" s="1"/>
  <c r="J1421" i="3"/>
  <c r="K1421" i="3" s="1"/>
  <c r="J1587" i="3"/>
  <c r="K1587" i="3" s="1"/>
  <c r="J1715" i="3"/>
  <c r="K1715" i="3" s="1"/>
  <c r="J1843" i="3"/>
  <c r="K1843" i="3" s="1"/>
  <c r="J1971" i="3"/>
  <c r="K1971" i="3" s="1"/>
  <c r="J161" i="3"/>
  <c r="K161" i="3" s="1"/>
  <c r="J1447" i="3"/>
  <c r="K1447" i="3" s="1"/>
  <c r="J1732" i="3"/>
  <c r="K1732" i="3" s="1"/>
  <c r="J1988" i="3"/>
  <c r="K1988" i="3" s="1"/>
  <c r="J2172" i="3"/>
  <c r="K2172" i="3" s="1"/>
  <c r="J2300" i="3"/>
  <c r="K2300" i="3" s="1"/>
  <c r="J2245" i="3"/>
  <c r="K2245" i="3" s="1"/>
  <c r="J2302" i="3"/>
  <c r="K2302" i="3" s="1"/>
  <c r="J1977" i="3"/>
  <c r="K1977" i="3" s="1"/>
  <c r="J2143" i="3"/>
  <c r="K2143" i="3" s="1"/>
  <c r="J2303" i="3"/>
  <c r="K2303" i="3" s="1"/>
  <c r="J1545" i="3"/>
  <c r="K1545" i="3" s="1"/>
  <c r="J1821" i="3"/>
  <c r="K1821" i="3" s="1"/>
  <c r="J2117" i="3"/>
  <c r="K2117" i="3" s="1"/>
  <c r="J512" i="3"/>
  <c r="K512" i="3" s="1"/>
  <c r="J1145" i="3"/>
  <c r="K1145" i="3" s="1"/>
  <c r="J1337" i="3"/>
  <c r="K1337" i="3" s="1"/>
  <c r="J1471" i="3"/>
  <c r="K1471" i="3" s="1"/>
  <c r="J1573" i="3"/>
  <c r="K1573" i="3" s="1"/>
  <c r="J1637" i="3"/>
  <c r="K1637" i="3" s="1"/>
  <c r="J1701" i="3"/>
  <c r="K1701" i="3" s="1"/>
  <c r="J1765" i="3"/>
  <c r="K1765" i="3" s="1"/>
  <c r="J1829" i="3"/>
  <c r="K1829" i="3" s="1"/>
  <c r="J1893" i="3"/>
  <c r="K1893" i="3" s="1"/>
  <c r="J1957" i="3"/>
  <c r="K1957" i="3" s="1"/>
  <c r="J2021" i="3"/>
  <c r="K2021" i="3" s="1"/>
  <c r="J2077" i="3"/>
  <c r="K2077" i="3" s="1"/>
  <c r="J2123" i="3"/>
  <c r="K2123" i="3" s="1"/>
  <c r="J2157" i="3"/>
  <c r="K2157" i="3" s="1"/>
  <c r="J2189" i="3"/>
  <c r="K2189" i="3" s="1"/>
  <c r="J2237" i="3"/>
  <c r="K2237" i="3" s="1"/>
  <c r="J2317" i="3"/>
  <c r="K2317" i="3" s="1"/>
  <c r="J2025" i="3"/>
  <c r="K2025" i="3" s="1"/>
  <c r="J2215" i="3"/>
  <c r="K2215" i="3" s="1"/>
  <c r="J252" i="3"/>
  <c r="K252" i="3" s="1"/>
  <c r="J1028" i="3"/>
  <c r="K1028" i="3" s="1"/>
  <c r="J1213" i="3"/>
  <c r="K1213" i="3" s="1"/>
  <c r="J1341" i="3"/>
  <c r="K1341" i="3" s="1"/>
  <c r="J1449" i="3"/>
  <c r="K1449" i="3" s="1"/>
  <c r="J1536" i="3"/>
  <c r="K1536" i="3" s="1"/>
  <c r="J1606" i="3"/>
  <c r="K1606" i="3" s="1"/>
  <c r="J1670" i="3"/>
  <c r="K1670" i="3" s="1"/>
  <c r="J1734" i="3"/>
  <c r="K1734" i="3" s="1"/>
  <c r="J1798" i="3"/>
  <c r="K1798" i="3" s="1"/>
  <c r="J1862" i="3"/>
  <c r="K1862" i="3" s="1"/>
  <c r="J1926" i="3"/>
  <c r="K1926" i="3" s="1"/>
  <c r="J1990" i="3"/>
  <c r="K1990" i="3" s="1"/>
  <c r="J2053" i="3"/>
  <c r="K2053" i="3" s="1"/>
  <c r="J2102" i="3"/>
  <c r="K2102" i="3" s="1"/>
  <c r="J2142" i="3"/>
  <c r="K2142" i="3" s="1"/>
  <c r="J2174" i="3"/>
  <c r="K2174" i="3" s="1"/>
  <c r="J2206" i="3"/>
  <c r="K2206" i="3" s="1"/>
  <c r="J2238" i="3"/>
  <c r="K2238" i="3" s="1"/>
  <c r="J2270" i="3"/>
  <c r="K2270" i="3" s="1"/>
  <c r="J2310" i="3"/>
  <c r="K2310" i="3" s="1"/>
  <c r="J1993" i="3"/>
  <c r="K1993" i="3" s="1"/>
  <c r="J2159" i="3"/>
  <c r="K2159" i="3" s="1"/>
  <c r="J2311" i="3"/>
  <c r="K2311" i="3" s="1"/>
  <c r="J1693" i="3"/>
  <c r="K1693" i="3" s="1"/>
  <c r="J2013" i="3"/>
  <c r="K2013" i="3" s="1"/>
  <c r="J2193" i="3"/>
  <c r="K2193" i="3" s="1"/>
  <c r="J813" i="3"/>
  <c r="K813" i="3" s="1"/>
  <c r="J1153" i="3"/>
  <c r="K1153" i="3" s="1"/>
  <c r="J1281" i="3"/>
  <c r="K1281" i="3" s="1"/>
  <c r="J1405" i="3"/>
  <c r="K1405" i="3" s="1"/>
  <c r="J1497" i="3"/>
  <c r="K1497" i="3" s="1"/>
  <c r="J1577" i="3"/>
  <c r="K1577" i="3" s="1"/>
  <c r="J1641" i="3"/>
  <c r="K1641" i="3" s="1"/>
  <c r="J1705" i="3"/>
  <c r="K1705" i="3" s="1"/>
  <c r="J1769" i="3"/>
  <c r="K1769" i="3" s="1"/>
  <c r="J657" i="3"/>
  <c r="K657" i="3" s="1"/>
  <c r="J1111" i="3"/>
  <c r="K1111" i="3" s="1"/>
  <c r="J1255" i="3"/>
  <c r="K1255" i="3" s="1"/>
  <c r="J1383" i="3"/>
  <c r="K1383" i="3" s="1"/>
  <c r="J1480" i="3"/>
  <c r="K1480" i="3" s="1"/>
  <c r="J1563" i="3"/>
  <c r="K1563" i="3" s="1"/>
  <c r="J1628" i="3"/>
  <c r="K1628" i="3" s="1"/>
  <c r="J1692" i="3"/>
  <c r="K1692" i="3" s="1"/>
  <c r="J1756" i="3"/>
  <c r="K1756" i="3" s="1"/>
  <c r="J1820" i="3"/>
  <c r="K1820" i="3" s="1"/>
  <c r="J1884" i="3"/>
  <c r="K1884" i="3" s="1"/>
  <c r="J1948" i="3"/>
  <c r="K1948" i="3" s="1"/>
  <c r="J2012" i="3"/>
  <c r="K2012" i="3" s="1"/>
  <c r="J2069" i="3"/>
  <c r="K2069" i="3" s="1"/>
  <c r="J2116" i="3"/>
  <c r="K2116" i="3" s="1"/>
  <c r="J2152" i="3"/>
  <c r="K2152" i="3" s="1"/>
  <c r="J2184" i="3"/>
  <c r="K2184" i="3" s="1"/>
  <c r="J2216" i="3"/>
  <c r="K2216" i="3" s="1"/>
  <c r="J2248" i="3"/>
  <c r="K2248" i="3" s="1"/>
  <c r="J2280" i="3"/>
  <c r="K2280" i="3" s="1"/>
  <c r="J2312" i="3"/>
  <c r="K2312" i="3" s="1"/>
  <c r="J1161" i="3"/>
  <c r="K1161" i="3" s="1"/>
  <c r="J1409" i="3"/>
  <c r="K1409" i="3" s="1"/>
  <c r="J1725" i="3"/>
  <c r="K1725" i="3" s="1"/>
  <c r="J1965" i="3"/>
  <c r="K1965" i="3" s="1"/>
  <c r="J2201" i="3"/>
  <c r="K2201" i="3" s="1"/>
  <c r="J994" i="3"/>
  <c r="K994" i="3" s="1"/>
  <c r="J1201" i="3"/>
  <c r="K1201" i="3" s="1"/>
  <c r="J1329" i="3"/>
  <c r="K1329" i="3" s="1"/>
  <c r="J1441" i="3"/>
  <c r="K1441" i="3" s="1"/>
  <c r="J1529" i="3"/>
  <c r="K1529" i="3" s="1"/>
  <c r="J1601" i="3"/>
  <c r="K1601" i="3" s="1"/>
  <c r="J1665" i="3"/>
  <c r="K1665" i="3" s="1"/>
  <c r="J1729" i="3"/>
  <c r="K1729" i="3" s="1"/>
  <c r="J1793" i="3"/>
  <c r="K1793" i="3" s="1"/>
  <c r="J1857" i="3"/>
  <c r="K1857" i="3" s="1"/>
  <c r="J1921" i="3"/>
  <c r="K1921" i="3" s="1"/>
  <c r="J1985" i="3"/>
  <c r="K1985" i="3" s="1"/>
  <c r="J2047" i="3"/>
  <c r="K2047" i="3" s="1"/>
  <c r="J2099" i="3"/>
  <c r="K2099" i="3" s="1"/>
  <c r="J2139" i="3"/>
  <c r="K2139" i="3" s="1"/>
  <c r="J2171" i="3"/>
  <c r="K2171" i="3" s="1"/>
  <c r="J2203" i="3"/>
  <c r="K2203" i="3" s="1"/>
  <c r="J2235" i="3"/>
  <c r="K2235" i="3" s="1"/>
  <c r="J2267" i="3"/>
  <c r="K2267" i="3" s="1"/>
  <c r="J2299" i="3"/>
  <c r="K2299" i="3" s="1"/>
  <c r="J2079" i="3"/>
  <c r="K2079" i="3" s="1"/>
  <c r="J2231" i="3"/>
  <c r="K2231" i="3" s="1"/>
  <c r="J1257" i="3"/>
  <c r="K1257" i="3" s="1"/>
  <c r="J1581" i="3"/>
  <c r="K1581" i="3" s="1"/>
  <c r="J1805" i="3"/>
  <c r="K1805" i="3" s="1"/>
  <c r="J2029" i="3"/>
  <c r="K2029" i="3" s="1"/>
  <c r="J2177" i="3"/>
  <c r="K2177" i="3" s="1"/>
  <c r="J1197" i="3"/>
  <c r="K1197" i="3" s="1"/>
  <c r="J1854" i="3"/>
  <c r="K1854" i="3" s="1"/>
  <c r="J2234" i="3"/>
  <c r="K2234" i="3" s="1"/>
  <c r="J1630" i="3"/>
  <c r="K1630" i="3" s="1"/>
  <c r="J2046" i="3"/>
  <c r="K2046" i="3" s="1"/>
  <c r="J2290" i="3"/>
  <c r="K2290" i="3" s="1"/>
  <c r="J1229" i="3"/>
  <c r="K1229" i="3" s="1"/>
  <c r="J1870" i="3"/>
  <c r="K1870" i="3" s="1"/>
  <c r="J2241" i="3"/>
  <c r="K2241" i="3" s="1"/>
  <c r="J2242" i="3"/>
  <c r="K2242" i="3" s="1"/>
  <c r="J2154" i="3"/>
  <c r="K2154" i="3" s="1"/>
  <c r="J1261" i="3"/>
  <c r="K1261" i="3" s="1"/>
  <c r="J1710" i="3"/>
  <c r="K1710" i="3" s="1"/>
  <c r="J1504" i="3"/>
  <c r="K1504" i="3" s="1"/>
  <c r="J2030" i="3"/>
  <c r="K2030" i="3" s="1"/>
  <c r="J2281" i="3"/>
  <c r="K2281" i="3" s="1"/>
  <c r="J1526" i="3"/>
  <c r="K1526" i="3" s="1"/>
  <c r="J2138" i="3"/>
  <c r="K2138" i="3" s="1"/>
  <c r="J2258" i="3"/>
  <c r="K2258" i="3" s="1"/>
  <c r="J1413" i="3"/>
  <c r="K1413" i="3" s="1"/>
  <c r="J1547" i="3"/>
  <c r="K1547" i="3" s="1"/>
  <c r="J2060" i="3"/>
  <c r="K2060" i="3" s="1"/>
  <c r="J2289" i="3"/>
  <c r="K2289" i="3" s="1"/>
  <c r="J1838" i="3"/>
  <c r="K1838" i="3" s="1"/>
  <c r="J32" i="3"/>
  <c r="K32" i="3" s="1"/>
  <c r="J25" i="3"/>
  <c r="K25" i="3" s="1"/>
  <c r="J29" i="3"/>
  <c r="K29" i="3" s="1"/>
  <c r="J5" i="3"/>
  <c r="K5" i="3" s="1"/>
  <c r="J9" i="3"/>
  <c r="K9" i="3" s="1"/>
  <c r="J1866" i="3"/>
  <c r="K1866" i="3" s="1"/>
  <c r="J1994" i="3"/>
  <c r="K1994" i="3" s="1"/>
  <c r="J2122" i="3"/>
  <c r="K2122" i="3" s="1"/>
  <c r="J972" i="3"/>
  <c r="K972" i="3" s="1"/>
  <c r="J1238" i="3"/>
  <c r="K1238" i="3" s="1"/>
  <c r="J1469" i="3"/>
  <c r="K1469" i="3" s="1"/>
  <c r="J1619" i="3"/>
  <c r="K1619" i="3" s="1"/>
  <c r="J1747" i="3"/>
  <c r="K1747" i="3" s="1"/>
  <c r="J1875" i="3"/>
  <c r="K1875" i="3" s="1"/>
  <c r="J2003" i="3"/>
  <c r="K2003" i="3" s="1"/>
  <c r="J1010" i="3"/>
  <c r="K1010" i="3" s="1"/>
  <c r="J1534" i="3"/>
  <c r="K1534" i="3" s="1"/>
  <c r="J1796" i="3"/>
  <c r="K1796" i="3" s="1"/>
  <c r="J2049" i="3"/>
  <c r="K2049" i="3" s="1"/>
  <c r="J2204" i="3"/>
  <c r="K2204" i="3" s="1"/>
  <c r="J2308" i="3"/>
  <c r="K2308" i="3" s="1"/>
  <c r="J2269" i="3"/>
  <c r="K2269" i="3" s="1"/>
  <c r="J2318" i="3"/>
  <c r="K2318" i="3" s="1"/>
  <c r="J2009" i="3"/>
  <c r="K2009" i="3" s="1"/>
  <c r="J2191" i="3"/>
  <c r="K2191" i="3" s="1"/>
  <c r="J660" i="3"/>
  <c r="K660" i="3" s="1"/>
  <c r="J1613" i="3"/>
  <c r="K1613" i="3" s="1"/>
  <c r="J1949" i="3"/>
  <c r="K1949" i="3" s="1"/>
  <c r="J2145" i="3"/>
  <c r="K2145" i="3" s="1"/>
  <c r="J761" i="3"/>
  <c r="K761" i="3" s="1"/>
  <c r="J1209" i="3"/>
  <c r="K1209" i="3" s="1"/>
  <c r="J1369" i="3"/>
  <c r="K1369" i="3" s="1"/>
  <c r="J1493" i="3"/>
  <c r="K1493" i="3" s="1"/>
  <c r="J1589" i="3"/>
  <c r="K1589" i="3" s="1"/>
  <c r="J1653" i="3"/>
  <c r="K1653" i="3" s="1"/>
  <c r="J1717" i="3"/>
  <c r="K1717" i="3" s="1"/>
  <c r="J1781" i="3"/>
  <c r="K1781" i="3" s="1"/>
  <c r="J1845" i="3"/>
  <c r="K1845" i="3" s="1"/>
  <c r="J1909" i="3"/>
  <c r="K1909" i="3" s="1"/>
  <c r="J1973" i="3"/>
  <c r="K1973" i="3" s="1"/>
  <c r="J2037" i="3"/>
  <c r="K2037" i="3" s="1"/>
  <c r="J2089" i="3"/>
  <c r="K2089" i="3" s="1"/>
  <c r="J2133" i="3"/>
  <c r="K2133" i="3" s="1"/>
  <c r="J2165" i="3"/>
  <c r="K2165" i="3" s="1"/>
  <c r="J2205" i="3"/>
  <c r="K2205" i="3" s="1"/>
  <c r="J2253" i="3"/>
  <c r="K2253" i="3" s="1"/>
  <c r="J1817" i="3"/>
  <c r="K1817" i="3" s="1"/>
  <c r="J2103" i="3"/>
  <c r="K2103" i="3" s="1"/>
  <c r="J2255" i="3"/>
  <c r="K2255" i="3" s="1"/>
  <c r="J593" i="3"/>
  <c r="K593" i="3" s="1"/>
  <c r="J1095" i="3"/>
  <c r="K1095" i="3" s="1"/>
  <c r="J1245" i="3"/>
  <c r="K1245" i="3" s="1"/>
  <c r="J1373" i="3"/>
  <c r="K1373" i="3" s="1"/>
  <c r="J1472" i="3"/>
  <c r="K1472" i="3" s="1"/>
  <c r="J1556" i="3"/>
  <c r="K1556" i="3" s="1"/>
  <c r="J1622" i="3"/>
  <c r="K1622" i="3" s="1"/>
  <c r="J1686" i="3"/>
  <c r="K1686" i="3" s="1"/>
  <c r="J1750" i="3"/>
  <c r="K1750" i="3" s="1"/>
  <c r="J1814" i="3"/>
  <c r="K1814" i="3" s="1"/>
  <c r="J1878" i="3"/>
  <c r="K1878" i="3" s="1"/>
  <c r="J1942" i="3"/>
  <c r="K1942" i="3" s="1"/>
  <c r="J2006" i="3"/>
  <c r="K2006" i="3" s="1"/>
  <c r="J2065" i="3"/>
  <c r="K2065" i="3" s="1"/>
  <c r="J2113" i="3"/>
  <c r="K2113" i="3" s="1"/>
  <c r="J2150" i="3"/>
  <c r="K2150" i="3" s="1"/>
  <c r="J2182" i="3"/>
  <c r="K2182" i="3" s="1"/>
  <c r="J2214" i="3"/>
  <c r="K2214" i="3" s="1"/>
  <c r="J2246" i="3"/>
  <c r="K2246" i="3" s="1"/>
  <c r="J2278" i="3"/>
  <c r="K2278" i="3" s="1"/>
  <c r="J1849" i="3"/>
  <c r="K1849" i="3" s="1"/>
  <c r="J2041" i="3"/>
  <c r="K2041" i="3" s="1"/>
  <c r="J2207" i="3"/>
  <c r="K2207" i="3" s="1"/>
  <c r="J976" i="3"/>
  <c r="K976" i="3" s="1"/>
  <c r="J1773" i="3"/>
  <c r="K1773" i="3" s="1"/>
  <c r="J2070" i="3"/>
  <c r="K2070" i="3" s="1"/>
  <c r="J2225" i="3"/>
  <c r="K2225" i="3" s="1"/>
  <c r="J956" i="3"/>
  <c r="K956" i="3" s="1"/>
  <c r="J1185" i="3"/>
  <c r="K1185" i="3" s="1"/>
  <c r="J1313" i="3"/>
  <c r="K1313" i="3" s="1"/>
  <c r="J1430" i="3"/>
  <c r="K1430" i="3" s="1"/>
  <c r="J1519" i="3"/>
  <c r="K1519" i="3" s="1"/>
  <c r="J1593" i="3"/>
  <c r="K1593" i="3" s="1"/>
  <c r="J1657" i="3"/>
  <c r="K1657" i="3" s="1"/>
  <c r="J1721" i="3"/>
  <c r="K1721" i="3" s="1"/>
  <c r="J1785" i="3"/>
  <c r="K1785" i="3" s="1"/>
  <c r="J863" i="3"/>
  <c r="K863" i="3" s="1"/>
  <c r="J1159" i="3"/>
  <c r="K1159" i="3" s="1"/>
  <c r="J1287" i="3"/>
  <c r="K1287" i="3" s="1"/>
  <c r="J1408" i="3"/>
  <c r="K1408" i="3" s="1"/>
  <c r="J1502" i="3"/>
  <c r="K1502" i="3" s="1"/>
  <c r="J1580" i="3"/>
  <c r="K1580" i="3" s="1"/>
  <c r="J1644" i="3"/>
  <c r="K1644" i="3" s="1"/>
  <c r="J1708" i="3"/>
  <c r="K1708" i="3" s="1"/>
  <c r="J1772" i="3"/>
  <c r="K1772" i="3" s="1"/>
  <c r="J1836" i="3"/>
  <c r="K1836" i="3" s="1"/>
  <c r="J1900" i="3"/>
  <c r="K1900" i="3" s="1"/>
  <c r="J1964" i="3"/>
  <c r="K1964" i="3" s="1"/>
  <c r="J2028" i="3"/>
  <c r="K2028" i="3" s="1"/>
  <c r="J2081" i="3"/>
  <c r="K2081" i="3" s="1"/>
  <c r="J2126" i="3"/>
  <c r="K2126" i="3" s="1"/>
  <c r="J2160" i="3"/>
  <c r="K2160" i="3" s="1"/>
  <c r="J2192" i="3"/>
  <c r="K2192" i="3" s="1"/>
  <c r="J2224" i="3"/>
  <c r="K2224" i="3" s="1"/>
  <c r="J2256" i="3"/>
  <c r="K2256" i="3" s="1"/>
  <c r="J2288" i="3"/>
  <c r="K2288" i="3" s="1"/>
  <c r="J2320" i="3"/>
  <c r="K2320" i="3" s="1"/>
  <c r="J1193" i="3"/>
  <c r="K1193" i="3" s="1"/>
  <c r="J1503" i="3"/>
  <c r="K1503" i="3" s="1"/>
  <c r="J1789" i="3"/>
  <c r="K1789" i="3" s="1"/>
  <c r="J2057" i="3"/>
  <c r="K2057" i="3" s="1"/>
  <c r="J425" i="3"/>
  <c r="K425" i="3" s="1"/>
  <c r="J1065" i="3"/>
  <c r="K1065" i="3" s="1"/>
  <c r="J1233" i="3"/>
  <c r="K1233" i="3" s="1"/>
  <c r="J1361" i="3"/>
  <c r="K1361" i="3" s="1"/>
  <c r="J1465" i="3"/>
  <c r="K1465" i="3" s="1"/>
  <c r="J1550" i="3"/>
  <c r="K1550" i="3" s="1"/>
  <c r="J1617" i="3"/>
  <c r="K1617" i="3" s="1"/>
  <c r="J1681" i="3"/>
  <c r="K1681" i="3" s="1"/>
  <c r="J1745" i="3"/>
  <c r="K1745" i="3" s="1"/>
  <c r="J1809" i="3"/>
  <c r="K1809" i="3" s="1"/>
  <c r="J1873" i="3"/>
  <c r="K1873" i="3" s="1"/>
  <c r="J1937" i="3"/>
  <c r="K1937" i="3" s="1"/>
  <c r="J2001" i="3"/>
  <c r="K2001" i="3" s="1"/>
  <c r="J2061" i="3"/>
  <c r="K2061" i="3" s="1"/>
  <c r="J2109" i="3"/>
  <c r="K2109" i="3" s="1"/>
  <c r="J2147" i="3"/>
  <c r="K2147" i="3" s="1"/>
  <c r="J2179" i="3"/>
  <c r="K2179" i="3" s="1"/>
  <c r="J2211" i="3"/>
  <c r="K2211" i="3" s="1"/>
  <c r="J2243" i="3"/>
  <c r="K2243" i="3" s="1"/>
  <c r="J2275" i="3"/>
  <c r="K2275" i="3" s="1"/>
  <c r="J2307" i="3"/>
  <c r="K2307" i="3" s="1"/>
  <c r="J2135" i="3"/>
  <c r="K2135" i="3" s="1"/>
  <c r="J2263" i="3"/>
  <c r="K2263" i="3" s="1"/>
  <c r="J1384" i="3"/>
  <c r="K1384" i="3" s="1"/>
  <c r="J1629" i="3"/>
  <c r="K1629" i="3" s="1"/>
  <c r="J1869" i="3"/>
  <c r="K1869" i="3" s="1"/>
  <c r="J2084" i="3"/>
  <c r="K2084" i="3" s="1"/>
  <c r="J2217" i="3"/>
  <c r="K2217" i="3" s="1"/>
  <c r="J1438" i="3"/>
  <c r="K1438" i="3" s="1"/>
  <c r="J1982" i="3"/>
  <c r="K1982" i="3" s="1"/>
  <c r="J2266" i="3"/>
  <c r="K2266" i="3" s="1"/>
  <c r="J2014" i="3"/>
  <c r="K2014" i="3" s="1"/>
  <c r="J2250" i="3"/>
  <c r="K2250" i="3" s="1"/>
  <c r="J1582" i="3"/>
  <c r="K1582" i="3" s="1"/>
  <c r="J1462" i="3"/>
  <c r="K1462" i="3" s="1"/>
  <c r="J1998" i="3"/>
  <c r="K1998" i="3" s="1"/>
  <c r="J2273" i="3"/>
  <c r="K2273" i="3" s="1"/>
  <c r="J2306" i="3"/>
  <c r="K2306" i="3" s="1"/>
  <c r="J2322" i="3"/>
  <c r="K2322" i="3" s="1"/>
  <c r="J1484" i="3"/>
  <c r="K1484" i="3" s="1"/>
  <c r="J2265" i="3"/>
  <c r="K2265" i="3" s="1"/>
  <c r="J1646" i="3"/>
  <c r="K1646" i="3" s="1"/>
  <c r="J2129" i="3"/>
  <c r="K2129" i="3" s="1"/>
  <c r="J2313" i="3"/>
  <c r="K2313" i="3" s="1"/>
  <c r="J1662" i="3"/>
  <c r="K1662" i="3" s="1"/>
  <c r="J2282" i="3"/>
  <c r="K2282" i="3" s="1"/>
  <c r="J1165" i="3"/>
  <c r="K1165" i="3" s="1"/>
  <c r="J2297" i="3"/>
  <c r="K2297" i="3" s="1"/>
  <c r="J1678" i="3"/>
  <c r="K1678" i="3" s="1"/>
  <c r="J2146" i="3"/>
  <c r="K2146" i="3" s="1"/>
  <c r="J2321" i="3"/>
  <c r="K2321" i="3" s="1"/>
  <c r="J2085" i="3"/>
  <c r="K2085" i="3" s="1"/>
  <c r="J23" i="3"/>
  <c r="K23" i="3" s="1"/>
  <c r="J33" i="3"/>
  <c r="K33" i="3" s="1"/>
  <c r="J36" i="3"/>
  <c r="K36" i="3" s="1"/>
  <c r="J13" i="3"/>
  <c r="K13" i="3" s="1"/>
  <c r="J20" i="3"/>
  <c r="K20" i="3" s="1"/>
  <c r="J6" i="3"/>
  <c r="K6" i="3" s="1"/>
  <c r="J1898" i="3"/>
  <c r="K1898" i="3" s="1"/>
  <c r="J2026" i="3"/>
  <c r="K2026" i="3" s="1"/>
  <c r="J320" i="3"/>
  <c r="K320" i="3" s="1"/>
  <c r="J1045" i="3"/>
  <c r="K1045" i="3" s="1"/>
  <c r="J1302" i="3"/>
  <c r="K1302" i="3" s="1"/>
  <c r="J1511" i="3"/>
  <c r="K1511" i="3" s="1"/>
  <c r="J1651" i="3"/>
  <c r="K1651" i="3" s="1"/>
  <c r="J1779" i="3"/>
  <c r="K1779" i="3" s="1"/>
  <c r="J1907" i="3"/>
  <c r="K1907" i="3" s="1"/>
  <c r="J2035" i="3"/>
  <c r="K2035" i="3" s="1"/>
  <c r="J1207" i="3"/>
  <c r="K1207" i="3" s="1"/>
  <c r="J1604" i="3"/>
  <c r="K1604" i="3" s="1"/>
  <c r="J1860" i="3"/>
  <c r="K1860" i="3" s="1"/>
  <c r="J2100" i="3"/>
  <c r="K2100" i="3" s="1"/>
  <c r="J2236" i="3"/>
  <c r="K2236" i="3" s="1"/>
  <c r="J2197" i="3"/>
  <c r="K2197" i="3" s="1"/>
  <c r="J2285" i="3"/>
  <c r="K2285" i="3" s="1"/>
  <c r="J1833" i="3"/>
  <c r="K1833" i="3" s="1"/>
  <c r="J2093" i="3"/>
  <c r="K2093" i="3" s="1"/>
  <c r="J2223" i="3"/>
  <c r="K2223" i="3" s="1"/>
  <c r="J1225" i="3"/>
  <c r="K1225" i="3" s="1"/>
  <c r="J1709" i="3"/>
  <c r="K1709" i="3" s="1"/>
  <c r="J1997" i="3"/>
  <c r="K1997" i="3" s="1"/>
  <c r="J2185" i="3"/>
  <c r="K2185" i="3" s="1"/>
  <c r="J1012" i="3"/>
  <c r="K1012" i="3" s="1"/>
  <c r="J1241" i="3"/>
  <c r="K1241" i="3" s="1"/>
  <c r="J1398" i="3"/>
  <c r="K1398" i="3" s="1"/>
  <c r="J1535" i="3"/>
  <c r="K1535" i="3" s="1"/>
  <c r="J1605" i="3"/>
  <c r="K1605" i="3" s="1"/>
  <c r="J1669" i="3"/>
  <c r="K1669" i="3" s="1"/>
  <c r="J1733" i="3"/>
  <c r="K1733" i="3" s="1"/>
  <c r="J1797" i="3"/>
  <c r="K1797" i="3" s="1"/>
  <c r="J1861" i="3"/>
  <c r="K1861" i="3" s="1"/>
  <c r="J1925" i="3"/>
  <c r="K1925" i="3" s="1"/>
  <c r="J1989" i="3"/>
  <c r="K1989" i="3" s="1"/>
  <c r="J2052" i="3"/>
  <c r="K2052" i="3" s="1"/>
  <c r="J2101" i="3"/>
  <c r="K2101" i="3" s="1"/>
  <c r="J2141" i="3"/>
  <c r="K2141" i="3" s="1"/>
  <c r="J2173" i="3"/>
  <c r="K2173" i="3" s="1"/>
  <c r="J2213" i="3"/>
  <c r="K2213" i="3" s="1"/>
  <c r="J2277" i="3"/>
  <c r="K2277" i="3" s="1"/>
  <c r="J1897" i="3"/>
  <c r="K1897" i="3" s="1"/>
  <c r="J2151" i="3"/>
  <c r="K2151" i="3" s="1"/>
  <c r="J2287" i="3"/>
  <c r="K2287" i="3" s="1"/>
  <c r="J812" i="3"/>
  <c r="K812" i="3" s="1"/>
  <c r="J1149" i="3"/>
  <c r="K1149" i="3" s="1"/>
  <c r="J1277" i="3"/>
  <c r="K1277" i="3" s="1"/>
  <c r="J1399" i="3"/>
  <c r="K1399" i="3" s="1"/>
  <c r="J1494" i="3"/>
  <c r="K1494" i="3" s="1"/>
  <c r="J1574" i="3"/>
  <c r="K1574" i="3" s="1"/>
  <c r="J1638" i="3"/>
  <c r="K1638" i="3" s="1"/>
  <c r="J1702" i="3"/>
  <c r="K1702" i="3" s="1"/>
  <c r="J1766" i="3"/>
  <c r="K1766" i="3" s="1"/>
  <c r="J1830" i="3"/>
  <c r="K1830" i="3" s="1"/>
  <c r="J1894" i="3"/>
  <c r="K1894" i="3" s="1"/>
  <c r="J1958" i="3"/>
  <c r="K1958" i="3" s="1"/>
  <c r="J2022" i="3"/>
  <c r="K2022" i="3" s="1"/>
  <c r="J2078" i="3"/>
  <c r="K2078" i="3" s="1"/>
  <c r="J2124" i="3"/>
  <c r="K2124" i="3" s="1"/>
  <c r="J2158" i="3"/>
  <c r="K2158" i="3" s="1"/>
  <c r="J2190" i="3"/>
  <c r="K2190" i="3" s="1"/>
  <c r="J2222" i="3"/>
  <c r="K2222" i="3" s="1"/>
  <c r="J2254" i="3"/>
  <c r="K2254" i="3" s="1"/>
  <c r="J2286" i="3"/>
  <c r="K2286" i="3" s="1"/>
  <c r="J1913" i="3"/>
  <c r="K1913" i="3" s="1"/>
  <c r="J2068" i="3"/>
  <c r="K2068" i="3" s="1"/>
  <c r="J2239" i="3"/>
  <c r="K2239" i="3" s="1"/>
  <c r="J1481" i="3"/>
  <c r="K1481" i="3" s="1"/>
  <c r="J1837" i="3"/>
  <c r="K1837" i="3" s="1"/>
  <c r="J2137" i="3"/>
  <c r="K2137" i="3" s="1"/>
  <c r="J256" i="3"/>
  <c r="K256" i="3" s="1"/>
  <c r="J1031" i="3"/>
  <c r="K1031" i="3" s="1"/>
  <c r="J1217" i="3"/>
  <c r="K1217" i="3" s="1"/>
  <c r="J1345" i="3"/>
  <c r="K1345" i="3" s="1"/>
  <c r="J1455" i="3"/>
  <c r="K1455" i="3" s="1"/>
  <c r="J1541" i="3"/>
  <c r="K1541" i="3" s="1"/>
  <c r="J1609" i="3"/>
  <c r="K1609" i="3" s="1"/>
  <c r="J1673" i="3"/>
  <c r="K1673" i="3" s="1"/>
  <c r="J1737" i="3"/>
  <c r="K1737" i="3" s="1"/>
  <c r="J1801" i="3"/>
  <c r="K1801" i="3" s="1"/>
  <c r="J973" i="3"/>
  <c r="K973" i="3" s="1"/>
  <c r="J1191" i="3"/>
  <c r="K1191" i="3" s="1"/>
  <c r="J1319" i="3"/>
  <c r="K1319" i="3" s="1"/>
  <c r="J1433" i="3"/>
  <c r="K1433" i="3" s="1"/>
  <c r="J1524" i="3"/>
  <c r="K1524" i="3" s="1"/>
  <c r="J1596" i="3"/>
  <c r="K1596" i="3" s="1"/>
  <c r="J1660" i="3"/>
  <c r="K1660" i="3" s="1"/>
  <c r="J1724" i="3"/>
  <c r="K1724" i="3" s="1"/>
  <c r="J1788" i="3"/>
  <c r="K1788" i="3" s="1"/>
  <c r="J1852" i="3"/>
  <c r="K1852" i="3" s="1"/>
  <c r="J1916" i="3"/>
  <c r="K1916" i="3" s="1"/>
  <c r="J1980" i="3"/>
  <c r="K1980" i="3" s="1"/>
  <c r="J2044" i="3"/>
  <c r="K2044" i="3" s="1"/>
  <c r="J2094" i="3"/>
  <c r="K2094" i="3" s="1"/>
  <c r="J2136" i="3"/>
  <c r="K2136" i="3" s="1"/>
  <c r="J2168" i="3"/>
  <c r="K2168" i="3" s="1"/>
  <c r="J2200" i="3"/>
  <c r="K2200" i="3" s="1"/>
  <c r="J2232" i="3"/>
  <c r="K2232" i="3" s="1"/>
  <c r="J2264" i="3"/>
  <c r="K2264" i="3" s="1"/>
  <c r="J2296" i="3"/>
  <c r="K2296" i="3" s="1"/>
  <c r="J340" i="3"/>
  <c r="K340" i="3" s="1"/>
  <c r="J1289" i="3"/>
  <c r="K1289" i="3" s="1"/>
  <c r="J1564" i="3"/>
  <c r="K1564" i="3" s="1"/>
  <c r="J1853" i="3"/>
  <c r="K1853" i="3" s="1"/>
  <c r="J2107" i="3"/>
  <c r="K2107" i="3" s="1"/>
  <c r="J711" i="3"/>
  <c r="K711" i="3" s="1"/>
  <c r="J1129" i="3"/>
  <c r="K1129" i="3" s="1"/>
  <c r="J1265" i="3"/>
  <c r="K1265" i="3" s="1"/>
  <c r="J1391" i="3"/>
  <c r="K1391" i="3" s="1"/>
  <c r="J1487" i="3"/>
  <c r="K1487" i="3" s="1"/>
  <c r="J1568" i="3"/>
  <c r="K1568" i="3" s="1"/>
  <c r="J1633" i="3"/>
  <c r="K1633" i="3" s="1"/>
  <c r="J1697" i="3"/>
  <c r="K1697" i="3" s="1"/>
  <c r="J1761" i="3"/>
  <c r="K1761" i="3" s="1"/>
  <c r="J1825" i="3"/>
  <c r="K1825" i="3" s="1"/>
  <c r="J1889" i="3"/>
  <c r="K1889" i="3" s="1"/>
  <c r="J1953" i="3"/>
  <c r="K1953" i="3" s="1"/>
  <c r="J2017" i="3"/>
  <c r="K2017" i="3" s="1"/>
  <c r="J2073" i="3"/>
  <c r="K2073" i="3" s="1"/>
  <c r="J2119" i="3"/>
  <c r="K2119" i="3" s="1"/>
  <c r="J2155" i="3"/>
  <c r="K2155" i="3" s="1"/>
  <c r="J2187" i="3"/>
  <c r="K2187" i="3" s="1"/>
  <c r="J2219" i="3"/>
  <c r="K2219" i="3" s="1"/>
  <c r="J2251" i="3"/>
  <c r="K2251" i="3" s="1"/>
  <c r="J2283" i="3"/>
  <c r="K2283" i="3" s="1"/>
  <c r="J2315" i="3"/>
  <c r="K2315" i="3" s="1"/>
  <c r="J2175" i="3"/>
  <c r="K2175" i="3" s="1"/>
  <c r="J2295" i="3"/>
  <c r="K2295" i="3" s="1"/>
  <c r="J1461" i="3"/>
  <c r="K1461" i="3" s="1"/>
  <c r="J1677" i="3"/>
  <c r="K1677" i="3" s="1"/>
  <c r="J1933" i="3"/>
  <c r="K1933" i="3" s="1"/>
  <c r="J2127" i="3"/>
  <c r="K2127" i="3" s="1"/>
  <c r="J2233" i="3"/>
  <c r="K2233" i="3" s="1"/>
  <c r="J1598" i="3"/>
  <c r="K1598" i="3" s="1"/>
  <c r="J2097" i="3"/>
  <c r="K2097" i="3" s="1"/>
  <c r="J2298" i="3"/>
  <c r="K2298" i="3" s="1"/>
  <c r="J2186" i="3"/>
  <c r="K2186" i="3" s="1"/>
  <c r="J1565" i="3"/>
  <c r="K1565" i="3" s="1"/>
  <c r="J2162" i="3"/>
  <c r="K2162" i="3" s="1"/>
  <c r="J1614" i="3"/>
  <c r="K1614" i="3" s="1"/>
  <c r="J2108" i="3"/>
  <c r="K2108" i="3" s="1"/>
  <c r="J1758" i="3"/>
  <c r="K1758" i="3" s="1"/>
  <c r="J2202" i="3"/>
  <c r="K2202" i="3" s="1"/>
  <c r="J1966" i="3"/>
  <c r="K1966" i="3" s="1"/>
  <c r="J1886" i="3"/>
  <c r="K1886" i="3" s="1"/>
  <c r="J992" i="3"/>
  <c r="K992" i="3" s="1"/>
  <c r="J1774" i="3"/>
  <c r="K1774" i="3" s="1"/>
  <c r="J2194" i="3"/>
  <c r="K2194" i="3" s="1"/>
  <c r="J1049" i="3"/>
  <c r="K1049" i="3" s="1"/>
  <c r="J1790" i="3"/>
  <c r="K1790" i="3" s="1"/>
  <c r="J1694" i="3"/>
  <c r="K1694" i="3" s="1"/>
  <c r="J2226" i="3"/>
  <c r="K2226" i="3" s="1"/>
  <c r="J1063" i="3"/>
  <c r="K1063" i="3" s="1"/>
  <c r="J1806" i="3"/>
  <c r="K1806" i="3" s="1"/>
  <c r="J2210" i="3"/>
  <c r="K2210" i="3" s="1"/>
  <c r="J1127" i="3"/>
  <c r="K1127" i="3" s="1"/>
  <c r="J22" i="3"/>
  <c r="K22" i="3" s="1"/>
  <c r="J31" i="3"/>
  <c r="K31" i="3" s="1"/>
  <c r="J28" i="3"/>
  <c r="K28" i="3" s="1"/>
  <c r="J27" i="3"/>
  <c r="K27" i="3" s="1"/>
  <c r="J21" i="3"/>
  <c r="K21" i="3" s="1"/>
  <c r="J15" i="3"/>
  <c r="K15" i="3" s="1"/>
  <c r="J18" i="3"/>
  <c r="K18" i="3" s="1"/>
  <c r="J4" i="3"/>
  <c r="K4" i="3" s="1"/>
  <c r="J10" i="3"/>
  <c r="K10" i="3" s="1"/>
  <c r="J2257" i="3"/>
  <c r="K2257" i="3" s="1"/>
  <c r="J30" i="3"/>
  <c r="K30" i="3" s="1"/>
  <c r="J26" i="3"/>
  <c r="K26" i="3" s="1"/>
  <c r="J12" i="3"/>
  <c r="K12" i="3" s="1"/>
  <c r="J11" i="3"/>
  <c r="K11" i="3" s="1"/>
  <c r="J3" i="3"/>
  <c r="K3" i="3" s="1"/>
  <c r="J14" i="3"/>
  <c r="K14" i="3" s="1"/>
  <c r="J8" i="3"/>
  <c r="K8" i="3" s="1"/>
  <c r="J17" i="3"/>
  <c r="K17" i="3" s="1"/>
  <c r="I20" i="1"/>
  <c r="I52" i="1"/>
  <c r="I84" i="1"/>
  <c r="I116" i="1"/>
  <c r="I148" i="1"/>
  <c r="I180" i="1"/>
  <c r="I212" i="1"/>
  <c r="I244" i="1"/>
  <c r="I276" i="1"/>
  <c r="I308" i="1"/>
  <c r="I340" i="1"/>
  <c r="I13" i="1"/>
  <c r="I45" i="1"/>
  <c r="I77" i="1"/>
  <c r="I109" i="1"/>
  <c r="I141" i="1"/>
  <c r="I173" i="1"/>
  <c r="I205" i="1"/>
  <c r="I237" i="1"/>
  <c r="I269" i="1"/>
  <c r="I301" i="1"/>
  <c r="I333" i="1"/>
  <c r="I365" i="1"/>
  <c r="I397" i="1"/>
  <c r="I429" i="1"/>
  <c r="I461" i="1"/>
  <c r="I493" i="1"/>
  <c r="I525" i="1"/>
  <c r="I557" i="1"/>
  <c r="I589" i="1"/>
  <c r="I621" i="1"/>
  <c r="I653" i="1"/>
  <c r="I685" i="1"/>
  <c r="I717" i="1"/>
  <c r="I749" i="1"/>
  <c r="I781" i="1"/>
  <c r="I30" i="1"/>
  <c r="I62" i="1"/>
  <c r="I94" i="1"/>
  <c r="I126" i="1"/>
  <c r="I158" i="1"/>
  <c r="I190" i="1"/>
  <c r="I222" i="1"/>
  <c r="I254" i="1"/>
  <c r="I286" i="1"/>
  <c r="I318" i="1"/>
  <c r="I350" i="1"/>
  <c r="I382" i="1"/>
  <c r="I414" i="1"/>
  <c r="I446" i="1"/>
  <c r="I478" i="1"/>
  <c r="I510" i="1"/>
  <c r="I542" i="1"/>
  <c r="I574" i="1"/>
  <c r="I606" i="1"/>
  <c r="I638" i="1"/>
  <c r="I670" i="1"/>
  <c r="I702" i="1"/>
  <c r="I734" i="1"/>
  <c r="I766" i="1"/>
  <c r="I798" i="1"/>
  <c r="I830" i="1"/>
  <c r="I862" i="1"/>
  <c r="I894" i="1"/>
  <c r="I7" i="1"/>
  <c r="I39" i="1"/>
  <c r="I71" i="1"/>
  <c r="I103" i="1"/>
  <c r="I135" i="1"/>
  <c r="I167" i="1"/>
  <c r="I199" i="1"/>
  <c r="I231" i="1"/>
  <c r="I263" i="1"/>
  <c r="I295" i="1"/>
  <c r="I327" i="1"/>
  <c r="I359" i="1"/>
  <c r="I391" i="1"/>
  <c r="I423" i="1"/>
  <c r="I455" i="1"/>
  <c r="I487" i="1"/>
  <c r="I519" i="1"/>
  <c r="I551" i="1"/>
  <c r="I583" i="1"/>
  <c r="I615" i="1"/>
  <c r="I647" i="1"/>
  <c r="I679" i="1"/>
  <c r="I711" i="1"/>
  <c r="I743" i="1"/>
  <c r="I775" i="1"/>
  <c r="I807" i="1"/>
  <c r="I839" i="1"/>
  <c r="I871" i="1"/>
  <c r="I903" i="1"/>
  <c r="I16" i="1"/>
  <c r="I48" i="1"/>
  <c r="I80" i="1"/>
  <c r="I112" i="1"/>
  <c r="I144" i="1"/>
  <c r="I176" i="1"/>
  <c r="I208" i="1"/>
  <c r="I240" i="1"/>
  <c r="I272" i="1"/>
  <c r="I304" i="1"/>
  <c r="I336" i="1"/>
  <c r="I368" i="1"/>
  <c r="I400" i="1"/>
  <c r="I432" i="1"/>
  <c r="I464" i="1"/>
  <c r="I496" i="1"/>
  <c r="I528" i="1"/>
  <c r="I560" i="1"/>
  <c r="I592" i="1"/>
  <c r="I624" i="1"/>
  <c r="I656" i="1"/>
  <c r="I688" i="1"/>
  <c r="I720" i="1"/>
  <c r="I752" i="1"/>
  <c r="I784" i="1"/>
  <c r="I816" i="1"/>
  <c r="I848" i="1"/>
  <c r="I880" i="1"/>
  <c r="I912" i="1"/>
  <c r="I944" i="1"/>
  <c r="I976" i="1"/>
  <c r="I1008" i="1"/>
  <c r="I25" i="1"/>
  <c r="I57" i="1"/>
  <c r="I89" i="1"/>
  <c r="I121" i="1"/>
  <c r="I153" i="1"/>
  <c r="I185" i="1"/>
  <c r="I217" i="1"/>
  <c r="I249" i="1"/>
  <c r="I106" i="1"/>
  <c r="I234" i="1"/>
  <c r="I323" i="1"/>
  <c r="I396" i="1"/>
  <c r="I460" i="1"/>
  <c r="I524" i="1"/>
  <c r="I588" i="1"/>
  <c r="I652" i="1"/>
  <c r="I716" i="1"/>
  <c r="I780" i="1"/>
  <c r="I834" i="1"/>
  <c r="I884" i="1"/>
  <c r="I932" i="1"/>
  <c r="I969" i="1"/>
  <c r="I1005" i="1"/>
  <c r="I1039" i="1"/>
  <c r="I43" i="1"/>
  <c r="I171" i="1"/>
  <c r="I283" i="1"/>
  <c r="I369" i="1"/>
  <c r="I433" i="1"/>
  <c r="I497" i="1"/>
  <c r="I561" i="1"/>
  <c r="I625" i="1"/>
  <c r="I689" i="1"/>
  <c r="I753" i="1"/>
  <c r="I810" i="1"/>
  <c r="I860" i="1"/>
  <c r="I913" i="1"/>
  <c r="I951" i="1"/>
  <c r="I988" i="1"/>
  <c r="I1024" i="1"/>
  <c r="I1056" i="1"/>
  <c r="I1088" i="1"/>
  <c r="I1120" i="1"/>
  <c r="I1152" i="1"/>
  <c r="I1184" i="1"/>
  <c r="I1216" i="1"/>
  <c r="I1248" i="1"/>
  <c r="I1280" i="1"/>
  <c r="I1312" i="1"/>
  <c r="I1344" i="1"/>
  <c r="I1376" i="1"/>
  <c r="I1408" i="1"/>
  <c r="I1440" i="1"/>
  <c r="I1472" i="1"/>
  <c r="I1504" i="1"/>
  <c r="I18" i="1"/>
  <c r="I146" i="1"/>
  <c r="I266" i="1"/>
  <c r="I353" i="1"/>
  <c r="I418" i="1"/>
  <c r="I482" i="1"/>
  <c r="I546" i="1"/>
  <c r="I610" i="1"/>
  <c r="I674" i="1"/>
  <c r="I738" i="1"/>
  <c r="I797" i="1"/>
  <c r="I850" i="1"/>
  <c r="I900" i="1"/>
  <c r="I943" i="1"/>
  <c r="I980" i="1"/>
  <c r="I1017" i="1"/>
  <c r="I1049" i="1"/>
  <c r="I1081" i="1"/>
  <c r="I1113" i="1"/>
  <c r="I1145" i="1"/>
  <c r="I1177" i="1"/>
  <c r="I1209" i="1"/>
  <c r="I1241" i="1"/>
  <c r="I1273" i="1"/>
  <c r="I1305" i="1"/>
  <c r="I1337" i="1"/>
  <c r="I1369" i="1"/>
  <c r="I1401" i="1"/>
  <c r="I1433" i="1"/>
  <c r="I1465" i="1"/>
  <c r="I1497" i="1"/>
  <c r="I1529" i="1"/>
  <c r="I51" i="1"/>
  <c r="I179" i="1"/>
  <c r="I290" i="1"/>
  <c r="I371" i="1"/>
  <c r="I435" i="1"/>
  <c r="I499" i="1"/>
  <c r="I563" i="1"/>
  <c r="I627" i="1"/>
  <c r="I691" i="1"/>
  <c r="I755" i="1"/>
  <c r="I812" i="1"/>
  <c r="I865" i="1"/>
  <c r="I915" i="1"/>
  <c r="I954" i="1"/>
  <c r="I990" i="1"/>
  <c r="I1026" i="1"/>
  <c r="I1058" i="1"/>
  <c r="I1090" i="1"/>
  <c r="I1122" i="1"/>
  <c r="I1154" i="1"/>
  <c r="I1186" i="1"/>
  <c r="I1218" i="1"/>
  <c r="I1250" i="1"/>
  <c r="I1282" i="1"/>
  <c r="I1314" i="1"/>
  <c r="I1346" i="1"/>
  <c r="I1378" i="1"/>
  <c r="I1410" i="1"/>
  <c r="I1442" i="1"/>
  <c r="I1474" i="1"/>
  <c r="I130" i="1"/>
  <c r="I257" i="1"/>
  <c r="I339" i="1"/>
  <c r="I410" i="1"/>
  <c r="I474" i="1"/>
  <c r="I538" i="1"/>
  <c r="I602" i="1"/>
  <c r="I666" i="1"/>
  <c r="I730" i="1"/>
  <c r="I793" i="1"/>
  <c r="I28" i="1"/>
  <c r="I60" i="1"/>
  <c r="I92" i="1"/>
  <c r="I124" i="1"/>
  <c r="I156" i="1"/>
  <c r="I188" i="1"/>
  <c r="I220" i="1"/>
  <c r="I252" i="1"/>
  <c r="I284" i="1"/>
  <c r="I316" i="1"/>
  <c r="I348" i="1"/>
  <c r="I21" i="1"/>
  <c r="I53" i="1"/>
  <c r="I85" i="1"/>
  <c r="I117" i="1"/>
  <c r="I149" i="1"/>
  <c r="I181" i="1"/>
  <c r="I213" i="1"/>
  <c r="I245" i="1"/>
  <c r="I277" i="1"/>
  <c r="I309" i="1"/>
  <c r="I341" i="1"/>
  <c r="I373" i="1"/>
  <c r="I405" i="1"/>
  <c r="I437" i="1"/>
  <c r="I469" i="1"/>
  <c r="I501" i="1"/>
  <c r="I533" i="1"/>
  <c r="I565" i="1"/>
  <c r="I597" i="1"/>
  <c r="I629" i="1"/>
  <c r="I661" i="1"/>
  <c r="I693" i="1"/>
  <c r="I725" i="1"/>
  <c r="I757" i="1"/>
  <c r="I6" i="1"/>
  <c r="I38" i="1"/>
  <c r="I70" i="1"/>
  <c r="I102" i="1"/>
  <c r="I134" i="1"/>
  <c r="I166" i="1"/>
  <c r="I198" i="1"/>
  <c r="I230" i="1"/>
  <c r="I262" i="1"/>
  <c r="I294" i="1"/>
  <c r="I326" i="1"/>
  <c r="I358" i="1"/>
  <c r="I390" i="1"/>
  <c r="I422" i="1"/>
  <c r="I454" i="1"/>
  <c r="I486" i="1"/>
  <c r="I518" i="1"/>
  <c r="I550" i="1"/>
  <c r="I582" i="1"/>
  <c r="I614" i="1"/>
  <c r="I646" i="1"/>
  <c r="I678" i="1"/>
  <c r="I710" i="1"/>
  <c r="I742" i="1"/>
  <c r="I774" i="1"/>
  <c r="I806" i="1"/>
  <c r="I838" i="1"/>
  <c r="I870" i="1"/>
  <c r="I902" i="1"/>
  <c r="I15" i="1"/>
  <c r="I47" i="1"/>
  <c r="I79" i="1"/>
  <c r="I111" i="1"/>
  <c r="I143" i="1"/>
  <c r="I175" i="1"/>
  <c r="I207" i="1"/>
  <c r="I239" i="1"/>
  <c r="I271" i="1"/>
  <c r="I303" i="1"/>
  <c r="I335" i="1"/>
  <c r="I367" i="1"/>
  <c r="I399" i="1"/>
  <c r="I431" i="1"/>
  <c r="I463" i="1"/>
  <c r="I495" i="1"/>
  <c r="I527" i="1"/>
  <c r="I559" i="1"/>
  <c r="I591" i="1"/>
  <c r="I623" i="1"/>
  <c r="I655" i="1"/>
  <c r="I687" i="1"/>
  <c r="I719" i="1"/>
  <c r="I751" i="1"/>
  <c r="I783" i="1"/>
  <c r="I815" i="1"/>
  <c r="I847" i="1"/>
  <c r="I879" i="1"/>
  <c r="I911" i="1"/>
  <c r="I24" i="1"/>
  <c r="I56" i="1"/>
  <c r="I88" i="1"/>
  <c r="I120" i="1"/>
  <c r="I152" i="1"/>
  <c r="I184" i="1"/>
  <c r="I216" i="1"/>
  <c r="I248" i="1"/>
  <c r="I280" i="1"/>
  <c r="I312" i="1"/>
  <c r="I344" i="1"/>
  <c r="I376" i="1"/>
  <c r="I408" i="1"/>
  <c r="I440" i="1"/>
  <c r="I472" i="1"/>
  <c r="I504" i="1"/>
  <c r="I536" i="1"/>
  <c r="I568" i="1"/>
  <c r="I600" i="1"/>
  <c r="I632" i="1"/>
  <c r="I664" i="1"/>
  <c r="I696" i="1"/>
  <c r="I728" i="1"/>
  <c r="I760" i="1"/>
  <c r="I792" i="1"/>
  <c r="I824" i="1"/>
  <c r="I856" i="1"/>
  <c r="I888" i="1"/>
  <c r="I920" i="1"/>
  <c r="I952" i="1"/>
  <c r="I984" i="1"/>
  <c r="I1016" i="1"/>
  <c r="I33" i="1"/>
  <c r="I65" i="1"/>
  <c r="I97" i="1"/>
  <c r="I129" i="1"/>
  <c r="I161" i="1"/>
  <c r="I193" i="1"/>
  <c r="I225" i="1"/>
  <c r="I10" i="1"/>
  <c r="I138" i="1"/>
  <c r="I259" i="1"/>
  <c r="I346" i="1"/>
  <c r="I412" i="1"/>
  <c r="I476" i="1"/>
  <c r="I540" i="1"/>
  <c r="I604" i="1"/>
  <c r="I668" i="1"/>
  <c r="I732" i="1"/>
  <c r="I795" i="1"/>
  <c r="I845" i="1"/>
  <c r="I898" i="1"/>
  <c r="I941" i="1"/>
  <c r="I978" i="1"/>
  <c r="I1014" i="1"/>
  <c r="I1047" i="1"/>
  <c r="I75" i="1"/>
  <c r="I203" i="1"/>
  <c r="I306" i="1"/>
  <c r="I385" i="1"/>
  <c r="I449" i="1"/>
  <c r="I513" i="1"/>
  <c r="I577" i="1"/>
  <c r="I641" i="1"/>
  <c r="I705" i="1"/>
  <c r="I769" i="1"/>
  <c r="I821" i="1"/>
  <c r="I874" i="1"/>
  <c r="I924" i="1"/>
  <c r="I961" i="1"/>
  <c r="I997" i="1"/>
  <c r="I1032" i="1"/>
  <c r="I1064" i="1"/>
  <c r="I1096" i="1"/>
  <c r="I1128" i="1"/>
  <c r="I1160" i="1"/>
  <c r="I1192" i="1"/>
  <c r="I1224" i="1"/>
  <c r="I1256" i="1"/>
  <c r="I1288" i="1"/>
  <c r="I1320" i="1"/>
  <c r="I1352" i="1"/>
  <c r="I1384" i="1"/>
  <c r="I1416" i="1"/>
  <c r="I1448" i="1"/>
  <c r="I1480" i="1"/>
  <c r="I1512" i="1"/>
  <c r="I50" i="1"/>
  <c r="I178" i="1"/>
  <c r="I289" i="1"/>
  <c r="I370" i="1"/>
  <c r="I434" i="1"/>
  <c r="I498" i="1"/>
  <c r="I562" i="1"/>
  <c r="I626" i="1"/>
  <c r="I690" i="1"/>
  <c r="I754" i="1"/>
  <c r="I811" i="1"/>
  <c r="I861" i="1"/>
  <c r="I914" i="1"/>
  <c r="I953" i="1"/>
  <c r="I989" i="1"/>
  <c r="I1025" i="1"/>
  <c r="I1057" i="1"/>
  <c r="I1089" i="1"/>
  <c r="I1121" i="1"/>
  <c r="I1153" i="1"/>
  <c r="I1185" i="1"/>
  <c r="I1217" i="1"/>
  <c r="I1249" i="1"/>
  <c r="I1281" i="1"/>
  <c r="I1313" i="1"/>
  <c r="I1345" i="1"/>
  <c r="I1377" i="1"/>
  <c r="I1409" i="1"/>
  <c r="I1441" i="1"/>
  <c r="I1473" i="1"/>
  <c r="I1505" i="1"/>
  <c r="I1537" i="1"/>
  <c r="I83" i="1"/>
  <c r="I211" i="1"/>
  <c r="I313" i="1"/>
  <c r="I387" i="1"/>
  <c r="I451" i="1"/>
  <c r="I515" i="1"/>
  <c r="I579" i="1"/>
  <c r="I643" i="1"/>
  <c r="I707" i="1"/>
  <c r="I771" i="1"/>
  <c r="I826" i="1"/>
  <c r="I876" i="1"/>
  <c r="I926" i="1"/>
  <c r="I963" i="1"/>
  <c r="I999" i="1"/>
  <c r="I1034" i="1"/>
  <c r="I1066" i="1"/>
  <c r="I1098" i="1"/>
  <c r="I1130" i="1"/>
  <c r="I1162" i="1"/>
  <c r="I1194" i="1"/>
  <c r="I1226" i="1"/>
  <c r="I1258" i="1"/>
  <c r="I1290" i="1"/>
  <c r="I1322" i="1"/>
  <c r="I1354" i="1"/>
  <c r="I1386" i="1"/>
  <c r="I1418" i="1"/>
  <c r="I1450" i="1"/>
  <c r="I34" i="1"/>
  <c r="I162" i="1"/>
  <c r="I275" i="1"/>
  <c r="I362" i="1"/>
  <c r="I426" i="1"/>
  <c r="I490" i="1"/>
  <c r="I554" i="1"/>
  <c r="I618" i="1"/>
  <c r="I682" i="1"/>
  <c r="I746" i="1"/>
  <c r="I804" i="1"/>
  <c r="I4" i="1"/>
  <c r="I36" i="1"/>
  <c r="I68" i="1"/>
  <c r="I100" i="1"/>
  <c r="I132" i="1"/>
  <c r="I164" i="1"/>
  <c r="I196" i="1"/>
  <c r="I228" i="1"/>
  <c r="I260" i="1"/>
  <c r="I292" i="1"/>
  <c r="I324" i="1"/>
  <c r="I356" i="1"/>
  <c r="I29" i="1"/>
  <c r="I61" i="1"/>
  <c r="I93" i="1"/>
  <c r="I125" i="1"/>
  <c r="I157" i="1"/>
  <c r="I189" i="1"/>
  <c r="I221" i="1"/>
  <c r="I253" i="1"/>
  <c r="I285" i="1"/>
  <c r="I317" i="1"/>
  <c r="I349" i="1"/>
  <c r="I381" i="1"/>
  <c r="I413" i="1"/>
  <c r="I445" i="1"/>
  <c r="I477" i="1"/>
  <c r="I509" i="1"/>
  <c r="I541" i="1"/>
  <c r="I573" i="1"/>
  <c r="I605" i="1"/>
  <c r="I637" i="1"/>
  <c r="I669" i="1"/>
  <c r="I701" i="1"/>
  <c r="I733" i="1"/>
  <c r="I765" i="1"/>
  <c r="I14" i="1"/>
  <c r="I46" i="1"/>
  <c r="I78" i="1"/>
  <c r="I110" i="1"/>
  <c r="I142" i="1"/>
  <c r="I174" i="1"/>
  <c r="I206" i="1"/>
  <c r="I238" i="1"/>
  <c r="I270" i="1"/>
  <c r="I302" i="1"/>
  <c r="I334" i="1"/>
  <c r="I366" i="1"/>
  <c r="I398" i="1"/>
  <c r="I430" i="1"/>
  <c r="I462" i="1"/>
  <c r="I494" i="1"/>
  <c r="I526" i="1"/>
  <c r="I558" i="1"/>
  <c r="I590" i="1"/>
  <c r="I622" i="1"/>
  <c r="I654" i="1"/>
  <c r="I686" i="1"/>
  <c r="I718" i="1"/>
  <c r="I750" i="1"/>
  <c r="I782" i="1"/>
  <c r="I814" i="1"/>
  <c r="I846" i="1"/>
  <c r="I878" i="1"/>
  <c r="I910" i="1"/>
  <c r="I23" i="1"/>
  <c r="I55" i="1"/>
  <c r="I87" i="1"/>
  <c r="I119" i="1"/>
  <c r="I151" i="1"/>
  <c r="I183" i="1"/>
  <c r="I215" i="1"/>
  <c r="I247" i="1"/>
  <c r="I279" i="1"/>
  <c r="I311" i="1"/>
  <c r="I343" i="1"/>
  <c r="I375" i="1"/>
  <c r="I407" i="1"/>
  <c r="I439" i="1"/>
  <c r="I471" i="1"/>
  <c r="I503" i="1"/>
  <c r="I535" i="1"/>
  <c r="I567" i="1"/>
  <c r="I599" i="1"/>
  <c r="I631" i="1"/>
  <c r="I663" i="1"/>
  <c r="I695" i="1"/>
  <c r="I727" i="1"/>
  <c r="I759" i="1"/>
  <c r="I791" i="1"/>
  <c r="I823" i="1"/>
  <c r="I855" i="1"/>
  <c r="I887" i="1"/>
  <c r="I919" i="1"/>
  <c r="I32" i="1"/>
  <c r="I64" i="1"/>
  <c r="I96" i="1"/>
  <c r="I128" i="1"/>
  <c r="I160" i="1"/>
  <c r="I192" i="1"/>
  <c r="I224" i="1"/>
  <c r="I256" i="1"/>
  <c r="I288" i="1"/>
  <c r="I320" i="1"/>
  <c r="I352" i="1"/>
  <c r="I384" i="1"/>
  <c r="I416" i="1"/>
  <c r="I448" i="1"/>
  <c r="I480" i="1"/>
  <c r="I512" i="1"/>
  <c r="I544" i="1"/>
  <c r="I576" i="1"/>
  <c r="I608" i="1"/>
  <c r="I640" i="1"/>
  <c r="I672" i="1"/>
  <c r="I704" i="1"/>
  <c r="I736" i="1"/>
  <c r="I768" i="1"/>
  <c r="I800" i="1"/>
  <c r="I832" i="1"/>
  <c r="I864" i="1"/>
  <c r="I896" i="1"/>
  <c r="I928" i="1"/>
  <c r="I960" i="1"/>
  <c r="I992" i="1"/>
  <c r="I9" i="1"/>
  <c r="I41" i="1"/>
  <c r="I73" i="1"/>
  <c r="I105" i="1"/>
  <c r="I137" i="1"/>
  <c r="I169" i="1"/>
  <c r="I201" i="1"/>
  <c r="I233" i="1"/>
  <c r="I42" i="1"/>
  <c r="I170" i="1"/>
  <c r="I282" i="1"/>
  <c r="I364" i="1"/>
  <c r="I428" i="1"/>
  <c r="I492" i="1"/>
  <c r="I556" i="1"/>
  <c r="I620" i="1"/>
  <c r="I684" i="1"/>
  <c r="I748" i="1"/>
  <c r="I809" i="1"/>
  <c r="I859" i="1"/>
  <c r="I909" i="1"/>
  <c r="I950" i="1"/>
  <c r="I987" i="1"/>
  <c r="I1023" i="1"/>
  <c r="I1055" i="1"/>
  <c r="I107" i="1"/>
  <c r="I235" i="1"/>
  <c r="I329" i="1"/>
  <c r="I401" i="1"/>
  <c r="I465" i="1"/>
  <c r="I529" i="1"/>
  <c r="I593" i="1"/>
  <c r="I657" i="1"/>
  <c r="I721" i="1"/>
  <c r="I785" i="1"/>
  <c r="I835" i="1"/>
  <c r="I885" i="1"/>
  <c r="I933" i="1"/>
  <c r="I970" i="1"/>
  <c r="I1006" i="1"/>
  <c r="I1040" i="1"/>
  <c r="I1072" i="1"/>
  <c r="I1104" i="1"/>
  <c r="I1136" i="1"/>
  <c r="I1168" i="1"/>
  <c r="I1200" i="1"/>
  <c r="I1232" i="1"/>
  <c r="I1264" i="1"/>
  <c r="I1296" i="1"/>
  <c r="I1328" i="1"/>
  <c r="I1360" i="1"/>
  <c r="I1392" i="1"/>
  <c r="I1424" i="1"/>
  <c r="I1456" i="1"/>
  <c r="I1488" i="1"/>
  <c r="I1520" i="1"/>
  <c r="I82" i="1"/>
  <c r="I210" i="1"/>
  <c r="I307" i="1"/>
  <c r="I386" i="1"/>
  <c r="I450" i="1"/>
  <c r="I514" i="1"/>
  <c r="I578" i="1"/>
  <c r="I642" i="1"/>
  <c r="I706" i="1"/>
  <c r="I770" i="1"/>
  <c r="I825" i="1"/>
  <c r="I875" i="1"/>
  <c r="I925" i="1"/>
  <c r="I962" i="1"/>
  <c r="I998" i="1"/>
  <c r="I1033" i="1"/>
  <c r="I1065" i="1"/>
  <c r="I1097" i="1"/>
  <c r="I1129" i="1"/>
  <c r="I1161" i="1"/>
  <c r="I1193" i="1"/>
  <c r="I1225" i="1"/>
  <c r="I1257" i="1"/>
  <c r="I1289" i="1"/>
  <c r="I1321" i="1"/>
  <c r="I1353" i="1"/>
  <c r="I1385" i="1"/>
  <c r="I1417" i="1"/>
  <c r="I1449" i="1"/>
  <c r="I1481" i="1"/>
  <c r="I1513" i="1"/>
  <c r="I1545" i="1"/>
  <c r="I115" i="1"/>
  <c r="I243" i="1"/>
  <c r="I331" i="1"/>
  <c r="I403" i="1"/>
  <c r="I467" i="1"/>
  <c r="I531" i="1"/>
  <c r="I595" i="1"/>
  <c r="I659" i="1"/>
  <c r="I723" i="1"/>
  <c r="I787" i="1"/>
  <c r="I837" i="1"/>
  <c r="I890" i="1"/>
  <c r="I935" i="1"/>
  <c r="I972" i="1"/>
  <c r="I1009" i="1"/>
  <c r="I1042" i="1"/>
  <c r="I1074" i="1"/>
  <c r="I1106" i="1"/>
  <c r="I1138" i="1"/>
  <c r="I1170" i="1"/>
  <c r="I1202" i="1"/>
  <c r="I1234" i="1"/>
  <c r="I1266" i="1"/>
  <c r="I1298" i="1"/>
  <c r="I1330" i="1"/>
  <c r="I1362" i="1"/>
  <c r="I1394" i="1"/>
  <c r="I1426" i="1"/>
  <c r="I1458" i="1"/>
  <c r="I66" i="1"/>
  <c r="I194" i="1"/>
  <c r="I298" i="1"/>
  <c r="I378" i="1"/>
  <c r="I442" i="1"/>
  <c r="I506" i="1"/>
  <c r="I570" i="1"/>
  <c r="I634" i="1"/>
  <c r="I12" i="1"/>
  <c r="I44" i="1"/>
  <c r="I76" i="1"/>
  <c r="I108" i="1"/>
  <c r="I140" i="1"/>
  <c r="I172" i="1"/>
  <c r="I204" i="1"/>
  <c r="I236" i="1"/>
  <c r="I268" i="1"/>
  <c r="I300" i="1"/>
  <c r="I332" i="1"/>
  <c r="I5" i="1"/>
  <c r="I37" i="1"/>
  <c r="I69" i="1"/>
  <c r="I101" i="1"/>
  <c r="I133" i="1"/>
  <c r="I165" i="1"/>
  <c r="I197" i="1"/>
  <c r="I229" i="1"/>
  <c r="I261" i="1"/>
  <c r="I293" i="1"/>
  <c r="I325" i="1"/>
  <c r="I357" i="1"/>
  <c r="I389" i="1"/>
  <c r="I421" i="1"/>
  <c r="I453" i="1"/>
  <c r="I485" i="1"/>
  <c r="I517" i="1"/>
  <c r="I549" i="1"/>
  <c r="I581" i="1"/>
  <c r="I613" i="1"/>
  <c r="I645" i="1"/>
  <c r="I677" i="1"/>
  <c r="I709" i="1"/>
  <c r="I741" i="1"/>
  <c r="I773" i="1"/>
  <c r="I22" i="1"/>
  <c r="I54" i="1"/>
  <c r="I86" i="1"/>
  <c r="I118" i="1"/>
  <c r="I150" i="1"/>
  <c r="I182" i="1"/>
  <c r="I214" i="1"/>
  <c r="I246" i="1"/>
  <c r="I278" i="1"/>
  <c r="I310" i="1"/>
  <c r="I342" i="1"/>
  <c r="I374" i="1"/>
  <c r="I406" i="1"/>
  <c r="I438" i="1"/>
  <c r="I470" i="1"/>
  <c r="I502" i="1"/>
  <c r="I534" i="1"/>
  <c r="I566" i="1"/>
  <c r="I598" i="1"/>
  <c r="I630" i="1"/>
  <c r="I662" i="1"/>
  <c r="I694" i="1"/>
  <c r="I726" i="1"/>
  <c r="I758" i="1"/>
  <c r="I790" i="1"/>
  <c r="I822" i="1"/>
  <c r="I854" i="1"/>
  <c r="I886" i="1"/>
  <c r="I918" i="1"/>
  <c r="I31" i="1"/>
  <c r="I63" i="1"/>
  <c r="I95" i="1"/>
  <c r="I127" i="1"/>
  <c r="I159" i="1"/>
  <c r="I191" i="1"/>
  <c r="I223" i="1"/>
  <c r="I255" i="1"/>
  <c r="I287" i="1"/>
  <c r="I319" i="1"/>
  <c r="I351" i="1"/>
  <c r="I383" i="1"/>
  <c r="I415" i="1"/>
  <c r="I447" i="1"/>
  <c r="I479" i="1"/>
  <c r="I511" i="1"/>
  <c r="I543" i="1"/>
  <c r="I575" i="1"/>
  <c r="I607" i="1"/>
  <c r="I639" i="1"/>
  <c r="I671" i="1"/>
  <c r="I703" i="1"/>
  <c r="I735" i="1"/>
  <c r="I767" i="1"/>
  <c r="I799" i="1"/>
  <c r="I831" i="1"/>
  <c r="I863" i="1"/>
  <c r="I895" i="1"/>
  <c r="I8" i="1"/>
  <c r="I40" i="1"/>
  <c r="I72" i="1"/>
  <c r="I104" i="1"/>
  <c r="I136" i="1"/>
  <c r="I168" i="1"/>
  <c r="I200" i="1"/>
  <c r="I232" i="1"/>
  <c r="I264" i="1"/>
  <c r="I296" i="1"/>
  <c r="I328" i="1"/>
  <c r="I360" i="1"/>
  <c r="I392" i="1"/>
  <c r="I424" i="1"/>
  <c r="I456" i="1"/>
  <c r="I488" i="1"/>
  <c r="I520" i="1"/>
  <c r="I552" i="1"/>
  <c r="I584" i="1"/>
  <c r="I616" i="1"/>
  <c r="I648" i="1"/>
  <c r="I680" i="1"/>
  <c r="I712" i="1"/>
  <c r="I744" i="1"/>
  <c r="I776" i="1"/>
  <c r="I808" i="1"/>
  <c r="I840" i="1"/>
  <c r="I872" i="1"/>
  <c r="I904" i="1"/>
  <c r="I936" i="1"/>
  <c r="I968" i="1"/>
  <c r="I1000" i="1"/>
  <c r="I17" i="1"/>
  <c r="I49" i="1"/>
  <c r="I81" i="1"/>
  <c r="I113" i="1"/>
  <c r="I145" i="1"/>
  <c r="I177" i="1"/>
  <c r="I209" i="1"/>
  <c r="I241" i="1"/>
  <c r="I74" i="1"/>
  <c r="I202" i="1"/>
  <c r="I305" i="1"/>
  <c r="I380" i="1"/>
  <c r="I444" i="1"/>
  <c r="I508" i="1"/>
  <c r="I572" i="1"/>
  <c r="I636" i="1"/>
  <c r="I700" i="1"/>
  <c r="I764" i="1"/>
  <c r="I820" i="1"/>
  <c r="I873" i="1"/>
  <c r="I923" i="1"/>
  <c r="I959" i="1"/>
  <c r="I996" i="1"/>
  <c r="I1031" i="1"/>
  <c r="I11" i="1"/>
  <c r="I139" i="1"/>
  <c r="I265" i="1"/>
  <c r="I347" i="1"/>
  <c r="I417" i="1"/>
  <c r="I481" i="1"/>
  <c r="I545" i="1"/>
  <c r="I609" i="1"/>
  <c r="I673" i="1"/>
  <c r="I737" i="1"/>
  <c r="I796" i="1"/>
  <c r="I849" i="1"/>
  <c r="I899" i="1"/>
  <c r="I942" i="1"/>
  <c r="I979" i="1"/>
  <c r="I1015" i="1"/>
  <c r="I1048" i="1"/>
  <c r="I1080" i="1"/>
  <c r="I1112" i="1"/>
  <c r="I1144" i="1"/>
  <c r="I1176" i="1"/>
  <c r="I1208" i="1"/>
  <c r="I1240" i="1"/>
  <c r="I1272" i="1"/>
  <c r="I1304" i="1"/>
  <c r="I1336" i="1"/>
  <c r="I1368" i="1"/>
  <c r="I1400" i="1"/>
  <c r="I1432" i="1"/>
  <c r="I1464" i="1"/>
  <c r="I1496" i="1"/>
  <c r="I1528" i="1"/>
  <c r="I114" i="1"/>
  <c r="I242" i="1"/>
  <c r="I330" i="1"/>
  <c r="I402" i="1"/>
  <c r="I466" i="1"/>
  <c r="I530" i="1"/>
  <c r="I594" i="1"/>
  <c r="I658" i="1"/>
  <c r="I722" i="1"/>
  <c r="I786" i="1"/>
  <c r="I836" i="1"/>
  <c r="I889" i="1"/>
  <c r="I934" i="1"/>
  <c r="I971" i="1"/>
  <c r="I1007" i="1"/>
  <c r="I1041" i="1"/>
  <c r="I1073" i="1"/>
  <c r="I1105" i="1"/>
  <c r="I1137" i="1"/>
  <c r="I1169" i="1"/>
  <c r="I1201" i="1"/>
  <c r="I1233" i="1"/>
  <c r="I1265" i="1"/>
  <c r="I1297" i="1"/>
  <c r="I1329" i="1"/>
  <c r="I1361" i="1"/>
  <c r="I1393" i="1"/>
  <c r="I1425" i="1"/>
  <c r="I1457" i="1"/>
  <c r="I1489" i="1"/>
  <c r="I1521" i="1"/>
  <c r="I19" i="1"/>
  <c r="I147" i="1"/>
  <c r="I267" i="1"/>
  <c r="I354" i="1"/>
  <c r="I419" i="1"/>
  <c r="I483" i="1"/>
  <c r="I547" i="1"/>
  <c r="I611" i="1"/>
  <c r="I675" i="1"/>
  <c r="I739" i="1"/>
  <c r="I801" i="1"/>
  <c r="I851" i="1"/>
  <c r="I901" i="1"/>
  <c r="I945" i="1"/>
  <c r="I981" i="1"/>
  <c r="I1018" i="1"/>
  <c r="I1050" i="1"/>
  <c r="I1082" i="1"/>
  <c r="I1114" i="1"/>
  <c r="I1146" i="1"/>
  <c r="I1178" i="1"/>
  <c r="I1210" i="1"/>
  <c r="I1242" i="1"/>
  <c r="I1274" i="1"/>
  <c r="I1306" i="1"/>
  <c r="I1338" i="1"/>
  <c r="I1370" i="1"/>
  <c r="I1402" i="1"/>
  <c r="I1434" i="1"/>
  <c r="I1466" i="1"/>
  <c r="I98" i="1"/>
  <c r="I226" i="1"/>
  <c r="I321" i="1"/>
  <c r="I394" i="1"/>
  <c r="I458" i="1"/>
  <c r="I522" i="1"/>
  <c r="I586" i="1"/>
  <c r="I650" i="1"/>
  <c r="I698" i="1"/>
  <c r="I818" i="1"/>
  <c r="I868" i="1"/>
  <c r="I921" i="1"/>
  <c r="I957" i="1"/>
  <c r="I994" i="1"/>
  <c r="I1029" i="1"/>
  <c r="I1061" i="1"/>
  <c r="I1093" i="1"/>
  <c r="I1125" i="1"/>
  <c r="I1157" i="1"/>
  <c r="I1189" i="1"/>
  <c r="I1221" i="1"/>
  <c r="I1253" i="1"/>
  <c r="I1285" i="1"/>
  <c r="I1317" i="1"/>
  <c r="I1349" i="1"/>
  <c r="I1381" i="1"/>
  <c r="I1413" i="1"/>
  <c r="I1445" i="1"/>
  <c r="I1477" i="1"/>
  <c r="I1509" i="1"/>
  <c r="I1541" i="1"/>
  <c r="I186" i="1"/>
  <c r="I411" i="1"/>
  <c r="I585" i="1"/>
  <c r="I756" i="1"/>
  <c r="I897" i="1"/>
  <c r="I1002" i="1"/>
  <c r="I1083" i="1"/>
  <c r="I1147" i="1"/>
  <c r="I1211" i="1"/>
  <c r="I1275" i="1"/>
  <c r="I1339" i="1"/>
  <c r="I1403" i="1"/>
  <c r="I1467" i="1"/>
  <c r="I1519" i="1"/>
  <c r="I1561" i="1"/>
  <c r="I1593" i="1"/>
  <c r="I1625" i="1"/>
  <c r="I99" i="1"/>
  <c r="I377" i="1"/>
  <c r="I548" i="1"/>
  <c r="I715" i="1"/>
  <c r="I867" i="1"/>
  <c r="I982" i="1"/>
  <c r="I1068" i="1"/>
  <c r="I1132" i="1"/>
  <c r="I1196" i="1"/>
  <c r="I1260" i="1"/>
  <c r="I1324" i="1"/>
  <c r="I1388" i="1"/>
  <c r="I1452" i="1"/>
  <c r="I1508" i="1"/>
  <c r="I1554" i="1"/>
  <c r="I1586" i="1"/>
  <c r="I1618" i="1"/>
  <c r="I27" i="1"/>
  <c r="I337" i="1"/>
  <c r="I507" i="1"/>
  <c r="I681" i="1"/>
  <c r="I841" i="1"/>
  <c r="I958" i="1"/>
  <c r="I1052" i="1"/>
  <c r="I1118" i="1"/>
  <c r="I1182" i="1"/>
  <c r="I1246" i="1"/>
  <c r="I1310" i="1"/>
  <c r="I1374" i="1"/>
  <c r="I1438" i="1"/>
  <c r="I1498" i="1"/>
  <c r="I1546" i="1"/>
  <c r="I1579" i="1"/>
  <c r="I1611" i="1"/>
  <c r="I1643" i="1"/>
  <c r="I1675" i="1"/>
  <c r="I1707" i="1"/>
  <c r="I1739" i="1"/>
  <c r="I1771" i="1"/>
  <c r="I1803" i="1"/>
  <c r="I1835" i="1"/>
  <c r="I1867" i="1"/>
  <c r="I1899" i="1"/>
  <c r="I1931" i="1"/>
  <c r="I1963" i="1"/>
  <c r="I1995" i="1"/>
  <c r="I2027" i="1"/>
  <c r="I2059" i="1"/>
  <c r="I2091" i="1"/>
  <c r="I123" i="1"/>
  <c r="I388" i="1"/>
  <c r="I555" i="1"/>
  <c r="I729" i="1"/>
  <c r="I877" i="1"/>
  <c r="I986" i="1"/>
  <c r="I1071" i="1"/>
  <c r="I1135" i="1"/>
  <c r="I1199" i="1"/>
  <c r="I1263" i="1"/>
  <c r="I1327" i="1"/>
  <c r="I1391" i="1"/>
  <c r="I1455" i="1"/>
  <c r="I1511" i="1"/>
  <c r="I1556" i="1"/>
  <c r="I1588" i="1"/>
  <c r="I1620" i="1"/>
  <c r="I1652" i="1"/>
  <c r="I1684" i="1"/>
  <c r="I1716" i="1"/>
  <c r="I1748" i="1"/>
  <c r="I1780" i="1"/>
  <c r="I219" i="1"/>
  <c r="I436" i="1"/>
  <c r="I603" i="1"/>
  <c r="I777" i="1"/>
  <c r="I916" i="1"/>
  <c r="I1013" i="1"/>
  <c r="I1091" i="1"/>
  <c r="I1155" i="1"/>
  <c r="I1219" i="1"/>
  <c r="I1283" i="1"/>
  <c r="I1347" i="1"/>
  <c r="I1411" i="1"/>
  <c r="I1475" i="1"/>
  <c r="I1526" i="1"/>
  <c r="I1565" i="1"/>
  <c r="I1597" i="1"/>
  <c r="I1629" i="1"/>
  <c r="I1661" i="1"/>
  <c r="I1693" i="1"/>
  <c r="I1725" i="1"/>
  <c r="I1757" i="1"/>
  <c r="I1789" i="1"/>
  <c r="I1821" i="1"/>
  <c r="I1853" i="1"/>
  <c r="I1885" i="1"/>
  <c r="I1917" i="1"/>
  <c r="I1949" i="1"/>
  <c r="I1981" i="1"/>
  <c r="I314" i="1"/>
  <c r="I491" i="1"/>
  <c r="I665" i="1"/>
  <c r="I827" i="1"/>
  <c r="I949" i="1"/>
  <c r="I1044" i="1"/>
  <c r="I1111" i="1"/>
  <c r="I1175" i="1"/>
  <c r="I1239" i="1"/>
  <c r="I1303" i="1"/>
  <c r="I1367" i="1"/>
  <c r="I1431" i="1"/>
  <c r="I1492" i="1"/>
  <c r="I1542" i="1"/>
  <c r="I1576" i="1"/>
  <c r="I1608" i="1"/>
  <c r="I1640" i="1"/>
  <c r="I1672" i="1"/>
  <c r="I1704" i="1"/>
  <c r="I1736" i="1"/>
  <c r="I1768" i="1"/>
  <c r="I1800" i="1"/>
  <c r="I1832" i="1"/>
  <c r="I1864" i="1"/>
  <c r="I1896" i="1"/>
  <c r="I1928" i="1"/>
  <c r="I1960" i="1"/>
  <c r="I59" i="1"/>
  <c r="I852" i="1"/>
  <c r="I1188" i="1"/>
  <c r="I1444" i="1"/>
  <c r="I1614" i="1"/>
  <c r="I1694" i="1"/>
  <c r="I1758" i="1"/>
  <c r="I1815" i="1"/>
  <c r="I1866" i="1"/>
  <c r="I1918" i="1"/>
  <c r="I1969" i="1"/>
  <c r="I2010" i="1"/>
  <c r="I2056" i="1"/>
  <c r="I2093" i="1"/>
  <c r="I361" i="1"/>
  <c r="I973" i="1"/>
  <c r="I1254" i="1"/>
  <c r="I1503" i="1"/>
  <c r="I1647" i="1"/>
  <c r="I1711" i="1"/>
  <c r="I1775" i="1"/>
  <c r="I1830" i="1"/>
  <c r="I1881" i="1"/>
  <c r="I1932" i="1"/>
  <c r="I1983" i="1"/>
  <c r="I2021" i="1"/>
  <c r="I2057" i="1"/>
  <c r="I2094" i="1"/>
  <c r="I569" i="1"/>
  <c r="I1076" i="1"/>
  <c r="I1332" i="1"/>
  <c r="I1558" i="1"/>
  <c r="I1665" i="1"/>
  <c r="I1729" i="1"/>
  <c r="I1793" i="1"/>
  <c r="I1844" i="1"/>
  <c r="I1895" i="1"/>
  <c r="I1946" i="1"/>
  <c r="I1994" i="1"/>
  <c r="I2031" i="1"/>
  <c r="I2068" i="1"/>
  <c r="I2104" i="1"/>
  <c r="I2137" i="1"/>
  <c r="I2169" i="1"/>
  <c r="I2201" i="1"/>
  <c r="I2233" i="1"/>
  <c r="I2265" i="1"/>
  <c r="I2297" i="1"/>
  <c r="I2329" i="1"/>
  <c r="I2361" i="1"/>
  <c r="I2393" i="1"/>
  <c r="I2425" i="1"/>
  <c r="I2457" i="1"/>
  <c r="I2489" i="1"/>
  <c r="I2521" i="1"/>
  <c r="I2553" i="1"/>
  <c r="I2585" i="1"/>
  <c r="I2617" i="1"/>
  <c r="I2649" i="1"/>
  <c r="I2681" i="1"/>
  <c r="I2643" i="1"/>
  <c r="I404" i="1"/>
  <c r="I995" i="1"/>
  <c r="I1270" i="1"/>
  <c r="I1516" i="1"/>
  <c r="I1650" i="1"/>
  <c r="I1714" i="1"/>
  <c r="I1778" i="1"/>
  <c r="I1833" i="1"/>
  <c r="I1884" i="1"/>
  <c r="I1935" i="1"/>
  <c r="I1986" i="1"/>
  <c r="I2023" i="1"/>
  <c r="I2060" i="1"/>
  <c r="I2096" i="1"/>
  <c r="I2130" i="1"/>
  <c r="I2162" i="1"/>
  <c r="I2194" i="1"/>
  <c r="I2226" i="1"/>
  <c r="I2258" i="1"/>
  <c r="I2290" i="1"/>
  <c r="I2322" i="1"/>
  <c r="I2354" i="1"/>
  <c r="I2386" i="1"/>
  <c r="I2418" i="1"/>
  <c r="I2450" i="1"/>
  <c r="I2482" i="1"/>
  <c r="I2514" i="1"/>
  <c r="I2546" i="1"/>
  <c r="I2578" i="1"/>
  <c r="I2610" i="1"/>
  <c r="I2642" i="1"/>
  <c r="I2674" i="1"/>
  <c r="I2571" i="1"/>
  <c r="I2635" i="1"/>
  <c r="I441" i="1"/>
  <c r="I1019" i="1"/>
  <c r="I1284" i="1"/>
  <c r="I1527" i="1"/>
  <c r="I1654" i="1"/>
  <c r="I1718" i="1"/>
  <c r="I1782" i="1"/>
  <c r="I1834" i="1"/>
  <c r="I1886" i="1"/>
  <c r="I1937" i="1"/>
  <c r="I1988" i="1"/>
  <c r="I2024" i="1"/>
  <c r="I2061" i="1"/>
  <c r="I2097" i="1"/>
  <c r="I2131" i="1"/>
  <c r="I2163" i="1"/>
  <c r="I2195" i="1"/>
  <c r="I2227" i="1"/>
  <c r="I2259" i="1"/>
  <c r="I2291" i="1"/>
  <c r="I2323" i="1"/>
  <c r="I2355" i="1"/>
  <c r="I2387" i="1"/>
  <c r="I2419" i="1"/>
  <c r="I2451" i="1"/>
  <c r="I2483" i="1"/>
  <c r="I2515" i="1"/>
  <c r="I2555" i="1"/>
  <c r="I2651" i="1"/>
  <c r="I660" i="1"/>
  <c r="I1110" i="1"/>
  <c r="I1366" i="1"/>
  <c r="I1575" i="1"/>
  <c r="I1674" i="1"/>
  <c r="I1738" i="1"/>
  <c r="I1801" i="1"/>
  <c r="I1852" i="1"/>
  <c r="I1903" i="1"/>
  <c r="I1954" i="1"/>
  <c r="I2000" i="1"/>
  <c r="I2037" i="1"/>
  <c r="I2073" i="1"/>
  <c r="I2110" i="1"/>
  <c r="I2142" i="1"/>
  <c r="I2174" i="1"/>
  <c r="I2206" i="1"/>
  <c r="I2238" i="1"/>
  <c r="I2270" i="1"/>
  <c r="I2302" i="1"/>
  <c r="I2334" i="1"/>
  <c r="I2366" i="1"/>
  <c r="I2398" i="1"/>
  <c r="I2430" i="1"/>
  <c r="I2462" i="1"/>
  <c r="I2494" i="1"/>
  <c r="I2526" i="1"/>
  <c r="I2558" i="1"/>
  <c r="I2590" i="1"/>
  <c r="I2622" i="1"/>
  <c r="I2654" i="1"/>
  <c r="I2686" i="1"/>
  <c r="I1631" i="1"/>
  <c r="I1977" i="1"/>
  <c r="I2180" i="1"/>
  <c r="I2324" i="1"/>
  <c r="I2516" i="1"/>
  <c r="I2613" i="1"/>
  <c r="I1490" i="1"/>
  <c r="I1825" i="1"/>
  <c r="I2017" i="1"/>
  <c r="I2133" i="1"/>
  <c r="I2197" i="1"/>
  <c r="I2261" i="1"/>
  <c r="I2325" i="1"/>
  <c r="I2485" i="1"/>
  <c r="I1020" i="1"/>
  <c r="I1719" i="1"/>
  <c r="I1938" i="1"/>
  <c r="I2090" i="1"/>
  <c r="I2167" i="1"/>
  <c r="I2231" i="1"/>
  <c r="I2295" i="1"/>
  <c r="I2359" i="1"/>
  <c r="I2423" i="1"/>
  <c r="I2487" i="1"/>
  <c r="I2551" i="1"/>
  <c r="I2615" i="1"/>
  <c r="I2679" i="1"/>
  <c r="I1687" i="1"/>
  <c r="I2303" i="1"/>
  <c r="I2607" i="1"/>
  <c r="I2453" i="1"/>
  <c r="I1300" i="1"/>
  <c r="I1785" i="1"/>
  <c r="I1990" i="1"/>
  <c r="I2120" i="1"/>
  <c r="I2184" i="1"/>
  <c r="I2248" i="1"/>
  <c r="I2312" i="1"/>
  <c r="I2376" i="1"/>
  <c r="I2440" i="1"/>
  <c r="I2504" i="1"/>
  <c r="I2568" i="1"/>
  <c r="I2632" i="1"/>
  <c r="I1158" i="1"/>
  <c r="I2159" i="1"/>
  <c r="I2415" i="1"/>
  <c r="I2639" i="1"/>
  <c r="I2373" i="1"/>
  <c r="I1350" i="1"/>
  <c r="I1798" i="1"/>
  <c r="I1998" i="1"/>
  <c r="I2124" i="1"/>
  <c r="I2188" i="1"/>
  <c r="I2252" i="1"/>
  <c r="I2316" i="1"/>
  <c r="I2380" i="1"/>
  <c r="I2444" i="1"/>
  <c r="I2508" i="1"/>
  <c r="I2572" i="1"/>
  <c r="I2652" i="1"/>
  <c r="I2007" i="1"/>
  <c r="I2271" i="1"/>
  <c r="I2495" i="1"/>
  <c r="I2452" i="1"/>
  <c r="I2661" i="1"/>
  <c r="I1574" i="1"/>
  <c r="I1850" i="1"/>
  <c r="I2034" i="1"/>
  <c r="I2141" i="1"/>
  <c r="I2205" i="1"/>
  <c r="I2269" i="1"/>
  <c r="I2333" i="1"/>
  <c r="I2397" i="1"/>
  <c r="I2461" i="1"/>
  <c r="I2525" i="1"/>
  <c r="I2589" i="1"/>
  <c r="I2653" i="1"/>
  <c r="I1862" i="1"/>
  <c r="I2255" i="1"/>
  <c r="I2511" i="1"/>
  <c r="I2532" i="1"/>
  <c r="I2533" i="1"/>
  <c r="I1428" i="1"/>
  <c r="I1812" i="1"/>
  <c r="I2008" i="1"/>
  <c r="I2128" i="1"/>
  <c r="I2192" i="1"/>
  <c r="I2256" i="1"/>
  <c r="I2320" i="1"/>
  <c r="I2384" i="1"/>
  <c r="I2448" i="1"/>
  <c r="I2512" i="1"/>
  <c r="I2576" i="1"/>
  <c r="I2640" i="1"/>
  <c r="I250" i="1"/>
  <c r="I2081" i="1"/>
  <c r="I2212" i="1"/>
  <c r="I2340" i="1"/>
  <c r="I2548" i="1"/>
  <c r="I2517" i="1"/>
  <c r="I1953" i="1"/>
  <c r="I2429" i="1"/>
  <c r="I2621" i="1"/>
  <c r="I2399" i="1"/>
  <c r="I817" i="1"/>
  <c r="I1689" i="1"/>
  <c r="I2160" i="1"/>
  <c r="I2352" i="1"/>
  <c r="I2544" i="1"/>
  <c r="I2672" i="1"/>
  <c r="I2276" i="1"/>
  <c r="I1966" i="1"/>
  <c r="I2304" i="1"/>
  <c r="I2560" i="1"/>
  <c r="I2196" i="1"/>
  <c r="I714" i="1"/>
  <c r="I829" i="1"/>
  <c r="I882" i="1"/>
  <c r="I930" i="1"/>
  <c r="I966" i="1"/>
  <c r="I1003" i="1"/>
  <c r="I1037" i="1"/>
  <c r="I1069" i="1"/>
  <c r="I1101" i="1"/>
  <c r="I1133" i="1"/>
  <c r="I1165" i="1"/>
  <c r="I1197" i="1"/>
  <c r="I1229" i="1"/>
  <c r="I1261" i="1"/>
  <c r="I1293" i="1"/>
  <c r="I1325" i="1"/>
  <c r="I1357" i="1"/>
  <c r="I1389" i="1"/>
  <c r="I1421" i="1"/>
  <c r="I1453" i="1"/>
  <c r="I1485" i="1"/>
  <c r="I1517" i="1"/>
  <c r="I1549" i="1"/>
  <c r="I258" i="1"/>
  <c r="I457" i="1"/>
  <c r="I628" i="1"/>
  <c r="I794" i="1"/>
  <c r="I929" i="1"/>
  <c r="I1027" i="1"/>
  <c r="I1099" i="1"/>
  <c r="I1163" i="1"/>
  <c r="I1227" i="1"/>
  <c r="I1291" i="1"/>
  <c r="I1355" i="1"/>
  <c r="I1419" i="1"/>
  <c r="I1482" i="1"/>
  <c r="I1532" i="1"/>
  <c r="I1569" i="1"/>
  <c r="I1601" i="1"/>
  <c r="I1633" i="1"/>
  <c r="I187" i="1"/>
  <c r="I420" i="1"/>
  <c r="I587" i="1"/>
  <c r="I761" i="1"/>
  <c r="I905" i="1"/>
  <c r="I1004" i="1"/>
  <c r="I1084" i="1"/>
  <c r="I1148" i="1"/>
  <c r="I1212" i="1"/>
  <c r="I1276" i="1"/>
  <c r="I1340" i="1"/>
  <c r="I1404" i="1"/>
  <c r="I1468" i="1"/>
  <c r="I1522" i="1"/>
  <c r="I1562" i="1"/>
  <c r="I1594" i="1"/>
  <c r="I1626" i="1"/>
  <c r="I122" i="1"/>
  <c r="I379" i="1"/>
  <c r="I553" i="1"/>
  <c r="I724" i="1"/>
  <c r="I869" i="1"/>
  <c r="I983" i="1"/>
  <c r="I1070" i="1"/>
  <c r="I1134" i="1"/>
  <c r="I1198" i="1"/>
  <c r="I1262" i="1"/>
  <c r="I1326" i="1"/>
  <c r="I1390" i="1"/>
  <c r="I1454" i="1"/>
  <c r="I1510" i="1"/>
  <c r="I1555" i="1"/>
  <c r="I1587" i="1"/>
  <c r="I1619" i="1"/>
  <c r="I1651" i="1"/>
  <c r="I1683" i="1"/>
  <c r="I1715" i="1"/>
  <c r="I1747" i="1"/>
  <c r="I1779" i="1"/>
  <c r="I1811" i="1"/>
  <c r="I1843" i="1"/>
  <c r="I1875" i="1"/>
  <c r="I1907" i="1"/>
  <c r="I1939" i="1"/>
  <c r="I1971" i="1"/>
  <c r="I2003" i="1"/>
  <c r="I2035" i="1"/>
  <c r="I2067" i="1"/>
  <c r="I2099" i="1"/>
  <c r="I218" i="1"/>
  <c r="I427" i="1"/>
  <c r="I601" i="1"/>
  <c r="I772" i="1"/>
  <c r="I908" i="1"/>
  <c r="I1011" i="1"/>
  <c r="I1087" i="1"/>
  <c r="I1151" i="1"/>
  <c r="I1215" i="1"/>
  <c r="I1279" i="1"/>
  <c r="I1343" i="1"/>
  <c r="I1407" i="1"/>
  <c r="I1471" i="1"/>
  <c r="I1524" i="1"/>
  <c r="I1564" i="1"/>
  <c r="I1596" i="1"/>
  <c r="I1628" i="1"/>
  <c r="I1660" i="1"/>
  <c r="I1692" i="1"/>
  <c r="I1724" i="1"/>
  <c r="I1756" i="1"/>
  <c r="I1788" i="1"/>
  <c r="I291" i="1"/>
  <c r="I475" i="1"/>
  <c r="I649" i="1"/>
  <c r="I813" i="1"/>
  <c r="I940" i="1"/>
  <c r="I1036" i="1"/>
  <c r="I1107" i="1"/>
  <c r="I1171" i="1"/>
  <c r="I1235" i="1"/>
  <c r="I1299" i="1"/>
  <c r="I1363" i="1"/>
  <c r="I1427" i="1"/>
  <c r="I1487" i="1"/>
  <c r="I1538" i="1"/>
  <c r="I1573" i="1"/>
  <c r="I1605" i="1"/>
  <c r="I1637" i="1"/>
  <c r="I1669" i="1"/>
  <c r="I1701" i="1"/>
  <c r="I1733" i="1"/>
  <c r="I1765" i="1"/>
  <c r="I1797" i="1"/>
  <c r="I1829" i="1"/>
  <c r="I1861" i="1"/>
  <c r="I1893" i="1"/>
  <c r="I1925" i="1"/>
  <c r="I1957" i="1"/>
  <c r="I90" i="1"/>
  <c r="I363" i="1"/>
  <c r="I537" i="1"/>
  <c r="I708" i="1"/>
  <c r="I858" i="1"/>
  <c r="I974" i="1"/>
  <c r="I1063" i="1"/>
  <c r="I1127" i="1"/>
  <c r="I1191" i="1"/>
  <c r="I1255" i="1"/>
  <c r="I1319" i="1"/>
  <c r="I1383" i="1"/>
  <c r="I1447" i="1"/>
  <c r="I1506" i="1"/>
  <c r="I1552" i="1"/>
  <c r="I1584" i="1"/>
  <c r="I1616" i="1"/>
  <c r="I1648" i="1"/>
  <c r="I1680" i="1"/>
  <c r="I1712" i="1"/>
  <c r="I1744" i="1"/>
  <c r="I1776" i="1"/>
  <c r="I1808" i="1"/>
  <c r="I1840" i="1"/>
  <c r="I1872" i="1"/>
  <c r="I1904" i="1"/>
  <c r="I1936" i="1"/>
  <c r="I1968" i="1"/>
  <c r="I355" i="1"/>
  <c r="I967" i="1"/>
  <c r="I1252" i="1"/>
  <c r="I1502" i="1"/>
  <c r="I1646" i="1"/>
  <c r="I1710" i="1"/>
  <c r="I1774" i="1"/>
  <c r="I1828" i="1"/>
  <c r="I1879" i="1"/>
  <c r="I1930" i="1"/>
  <c r="I1982" i="1"/>
  <c r="I2029" i="1"/>
  <c r="I2065" i="1"/>
  <c r="I2102" i="1"/>
  <c r="I532" i="1"/>
  <c r="I1062" i="1"/>
  <c r="I1318" i="1"/>
  <c r="I1551" i="1"/>
  <c r="I1663" i="1"/>
  <c r="I1727" i="1"/>
  <c r="I1791" i="1"/>
  <c r="I1842" i="1"/>
  <c r="I1894" i="1"/>
  <c r="I1945" i="1"/>
  <c r="I1993" i="1"/>
  <c r="I2030" i="1"/>
  <c r="I2066" i="1"/>
  <c r="I2103" i="1"/>
  <c r="I740" i="1"/>
  <c r="I1140" i="1"/>
  <c r="I1396" i="1"/>
  <c r="I1590" i="1"/>
  <c r="I1681" i="1"/>
  <c r="I1745" i="1"/>
  <c r="I1806" i="1"/>
  <c r="I1857" i="1"/>
  <c r="I1908" i="1"/>
  <c r="I1959" i="1"/>
  <c r="I2004" i="1"/>
  <c r="I2040" i="1"/>
  <c r="I2077" i="1"/>
  <c r="I2113" i="1"/>
  <c r="I2145" i="1"/>
  <c r="I2177" i="1"/>
  <c r="I2209" i="1"/>
  <c r="I2241" i="1"/>
  <c r="I2273" i="1"/>
  <c r="I2305" i="1"/>
  <c r="I2337" i="1"/>
  <c r="I2369" i="1"/>
  <c r="I2401" i="1"/>
  <c r="I2433" i="1"/>
  <c r="I2465" i="1"/>
  <c r="I2497" i="1"/>
  <c r="I2529" i="1"/>
  <c r="I2561" i="1"/>
  <c r="I2593" i="1"/>
  <c r="I2625" i="1"/>
  <c r="I2657" i="1"/>
  <c r="I2689" i="1"/>
  <c r="I2667" i="1"/>
  <c r="I571" i="1"/>
  <c r="I1078" i="1"/>
  <c r="I1334" i="1"/>
  <c r="I1559" i="1"/>
  <c r="I1666" i="1"/>
  <c r="I1730" i="1"/>
  <c r="I1794" i="1"/>
  <c r="I1846" i="1"/>
  <c r="I1897" i="1"/>
  <c r="I1948" i="1"/>
  <c r="I1996" i="1"/>
  <c r="I2032" i="1"/>
  <c r="I2069" i="1"/>
  <c r="I2105" i="1"/>
  <c r="I2138" i="1"/>
  <c r="I2170" i="1"/>
  <c r="I2202" i="1"/>
  <c r="I2234" i="1"/>
  <c r="I2266" i="1"/>
  <c r="I2298" i="1"/>
  <c r="I2330" i="1"/>
  <c r="I2362" i="1"/>
  <c r="I2394" i="1"/>
  <c r="I2426" i="1"/>
  <c r="I2458" i="1"/>
  <c r="I2490" i="1"/>
  <c r="I2522" i="1"/>
  <c r="I2554" i="1"/>
  <c r="I2586" i="1"/>
  <c r="I2618" i="1"/>
  <c r="I2650" i="1"/>
  <c r="I2682" i="1"/>
  <c r="I2595" i="1"/>
  <c r="I2659" i="1"/>
  <c r="I612" i="1"/>
  <c r="I1092" i="1"/>
  <c r="I1348" i="1"/>
  <c r="I1566" i="1"/>
  <c r="I1670" i="1"/>
  <c r="I1734" i="1"/>
  <c r="I1796" i="1"/>
  <c r="I1847" i="1"/>
  <c r="I1898" i="1"/>
  <c r="I1950" i="1"/>
  <c r="I1997" i="1"/>
  <c r="I2033" i="1"/>
  <c r="I2070" i="1"/>
  <c r="I2106" i="1"/>
  <c r="I2139" i="1"/>
  <c r="I2171" i="1"/>
  <c r="I2203" i="1"/>
  <c r="I2235" i="1"/>
  <c r="I2267" i="1"/>
  <c r="I2299" i="1"/>
  <c r="I2331" i="1"/>
  <c r="I2363" i="1"/>
  <c r="I2395" i="1"/>
  <c r="I2427" i="1"/>
  <c r="I2459" i="1"/>
  <c r="I2491" i="1"/>
  <c r="I2523" i="1"/>
  <c r="I2563" i="1"/>
  <c r="I2675" i="1"/>
  <c r="I819" i="1"/>
  <c r="I1174" i="1"/>
  <c r="I1430" i="1"/>
  <c r="I1607" i="1"/>
  <c r="I1690" i="1"/>
  <c r="I1754" i="1"/>
  <c r="I1814" i="1"/>
  <c r="I1865" i="1"/>
  <c r="I1916" i="1"/>
  <c r="I1967" i="1"/>
  <c r="I2009" i="1"/>
  <c r="I2046" i="1"/>
  <c r="I2082" i="1"/>
  <c r="I2118" i="1"/>
  <c r="I2150" i="1"/>
  <c r="I2182" i="1"/>
  <c r="I2214" i="1"/>
  <c r="I2246" i="1"/>
  <c r="I2278" i="1"/>
  <c r="I2310" i="1"/>
  <c r="I2342" i="1"/>
  <c r="I2374" i="1"/>
  <c r="I2406" i="1"/>
  <c r="I2438" i="1"/>
  <c r="I2470" i="1"/>
  <c r="I2502" i="1"/>
  <c r="I2534" i="1"/>
  <c r="I2566" i="1"/>
  <c r="I2598" i="1"/>
  <c r="I2630" i="1"/>
  <c r="I2662" i="1"/>
  <c r="I922" i="1"/>
  <c r="I1703" i="1"/>
  <c r="I2045" i="1"/>
  <c r="I2228" i="1"/>
  <c r="I2356" i="1"/>
  <c r="I2628" i="1"/>
  <c r="I297" i="1"/>
  <c r="I1638" i="1"/>
  <c r="I1876" i="1"/>
  <c r="I2053" i="1"/>
  <c r="I2149" i="1"/>
  <c r="I2213" i="1"/>
  <c r="I2277" i="1"/>
  <c r="I2341" i="1"/>
  <c r="I2565" i="1"/>
  <c r="I1286" i="1"/>
  <c r="I1783" i="1"/>
  <c r="I1989" i="1"/>
  <c r="I2119" i="1"/>
  <c r="I2183" i="1"/>
  <c r="I2247" i="1"/>
  <c r="I2311" i="1"/>
  <c r="I2375" i="1"/>
  <c r="I2439" i="1"/>
  <c r="I2503" i="1"/>
  <c r="I2567" i="1"/>
  <c r="I2631" i="1"/>
  <c r="I2680" i="1"/>
  <c r="I1913" i="1"/>
  <c r="I2383" i="1"/>
  <c r="I2687" i="1"/>
  <c r="I2581" i="1"/>
  <c r="I1539" i="1"/>
  <c r="I1838" i="1"/>
  <c r="I2025" i="1"/>
  <c r="I2136" i="1"/>
  <c r="I2200" i="1"/>
  <c r="I2264" i="1"/>
  <c r="I2328" i="1"/>
  <c r="I2392" i="1"/>
  <c r="I2456" i="1"/>
  <c r="I2520" i="1"/>
  <c r="I2584" i="1"/>
  <c r="I2648" i="1"/>
  <c r="I1751" i="1"/>
  <c r="I2223" i="1"/>
  <c r="I2479" i="1"/>
  <c r="I2420" i="1"/>
  <c r="I2597" i="1"/>
  <c r="I1567" i="1"/>
  <c r="I1849" i="1"/>
  <c r="I2026" i="1"/>
  <c r="I2140" i="1"/>
  <c r="I2204" i="1"/>
  <c r="I2268" i="1"/>
  <c r="I2332" i="1"/>
  <c r="I2396" i="1"/>
  <c r="I2460" i="1"/>
  <c r="I2524" i="1"/>
  <c r="I2588" i="1"/>
  <c r="I2684" i="1"/>
  <c r="I2109" i="1"/>
  <c r="I2319" i="1"/>
  <c r="I2559" i="1"/>
  <c r="I2580" i="1"/>
  <c r="I651" i="1"/>
  <c r="I1673" i="1"/>
  <c r="I1902" i="1"/>
  <c r="I2071" i="1"/>
  <c r="I2157" i="1"/>
  <c r="I2221" i="1"/>
  <c r="I2285" i="1"/>
  <c r="I2349" i="1"/>
  <c r="I2413" i="1"/>
  <c r="I2477" i="1"/>
  <c r="I2541" i="1"/>
  <c r="I2605" i="1"/>
  <c r="I2669" i="1"/>
  <c r="I2036" i="1"/>
  <c r="I2335" i="1"/>
  <c r="I2575" i="1"/>
  <c r="I2644" i="1"/>
  <c r="I2677" i="1"/>
  <c r="I1606" i="1"/>
  <c r="I1863" i="1"/>
  <c r="I2044" i="1"/>
  <c r="I2144" i="1"/>
  <c r="I2208" i="1"/>
  <c r="I2272" i="1"/>
  <c r="I2336" i="1"/>
  <c r="I2400" i="1"/>
  <c r="I2464" i="1"/>
  <c r="I2528" i="1"/>
  <c r="I2592" i="1"/>
  <c r="I2656" i="1"/>
  <c r="I1823" i="1"/>
  <c r="I2132" i="1"/>
  <c r="I2244" i="1"/>
  <c r="I2372" i="1"/>
  <c r="I2612" i="1"/>
  <c r="I2645" i="1"/>
  <c r="I2108" i="1"/>
  <c r="I2365" i="1"/>
  <c r="I2557" i="1"/>
  <c r="I2143" i="1"/>
  <c r="I2692" i="1"/>
  <c r="I2080" i="1"/>
  <c r="I2224" i="1"/>
  <c r="I2416" i="1"/>
  <c r="I2608" i="1"/>
  <c r="I1926" i="1"/>
  <c r="I2404" i="1"/>
  <c r="I1172" i="1"/>
  <c r="I2176" i="1"/>
  <c r="I2432" i="1"/>
  <c r="I2624" i="1"/>
  <c r="I2308" i="1"/>
  <c r="I762" i="1"/>
  <c r="I843" i="1"/>
  <c r="I893" i="1"/>
  <c r="I939" i="1"/>
  <c r="I975" i="1"/>
  <c r="I1012" i="1"/>
  <c r="I1045" i="1"/>
  <c r="I1077" i="1"/>
  <c r="I1109" i="1"/>
  <c r="I1141" i="1"/>
  <c r="I1173" i="1"/>
  <c r="I1205" i="1"/>
  <c r="I1237" i="1"/>
  <c r="I1269" i="1"/>
  <c r="I1301" i="1"/>
  <c r="I1333" i="1"/>
  <c r="I1365" i="1"/>
  <c r="I1397" i="1"/>
  <c r="I1429" i="1"/>
  <c r="I1461" i="1"/>
  <c r="I1493" i="1"/>
  <c r="I1525" i="1"/>
  <c r="I3" i="1"/>
  <c r="I315" i="1"/>
  <c r="I500" i="1"/>
  <c r="I667" i="1"/>
  <c r="I828" i="1"/>
  <c r="I955" i="1"/>
  <c r="I1046" i="1"/>
  <c r="I1115" i="1"/>
  <c r="I1179" i="1"/>
  <c r="I1243" i="1"/>
  <c r="I1307" i="1"/>
  <c r="I1371" i="1"/>
  <c r="I1435" i="1"/>
  <c r="I1494" i="1"/>
  <c r="I1543" i="1"/>
  <c r="I1577" i="1"/>
  <c r="I1609" i="1"/>
  <c r="I1641" i="1"/>
  <c r="I273" i="1"/>
  <c r="I459" i="1"/>
  <c r="I633" i="1"/>
  <c r="I802" i="1"/>
  <c r="I931" i="1"/>
  <c r="I1028" i="1"/>
  <c r="I1100" i="1"/>
  <c r="I1164" i="1"/>
  <c r="I1228" i="1"/>
  <c r="I1292" i="1"/>
  <c r="I1356" i="1"/>
  <c r="I1420" i="1"/>
  <c r="I1483" i="1"/>
  <c r="I1534" i="1"/>
  <c r="I1570" i="1"/>
  <c r="I1602" i="1"/>
  <c r="I1634" i="1"/>
  <c r="I195" i="1"/>
  <c r="I425" i="1"/>
  <c r="I596" i="1"/>
  <c r="I763" i="1"/>
  <c r="I906" i="1"/>
  <c r="I1010" i="1"/>
  <c r="I1086" i="1"/>
  <c r="I1150" i="1"/>
  <c r="I1214" i="1"/>
  <c r="I1278" i="1"/>
  <c r="I1342" i="1"/>
  <c r="I1406" i="1"/>
  <c r="I1470" i="1"/>
  <c r="I1523" i="1"/>
  <c r="I1563" i="1"/>
  <c r="I1595" i="1"/>
  <c r="I1627" i="1"/>
  <c r="I1659" i="1"/>
  <c r="I1691" i="1"/>
  <c r="I1723" i="1"/>
  <c r="I1755" i="1"/>
  <c r="I1787" i="1"/>
  <c r="I1819" i="1"/>
  <c r="I1851" i="1"/>
  <c r="I1883" i="1"/>
  <c r="I1915" i="1"/>
  <c r="I1947" i="1"/>
  <c r="I1979" i="1"/>
  <c r="I2011" i="1"/>
  <c r="I2043" i="1"/>
  <c r="I2075" i="1"/>
  <c r="I2107" i="1"/>
  <c r="I281" i="1"/>
  <c r="I473" i="1"/>
  <c r="I644" i="1"/>
  <c r="I805" i="1"/>
  <c r="I938" i="1"/>
  <c r="I1035" i="1"/>
  <c r="I1103" i="1"/>
  <c r="I1167" i="1"/>
  <c r="I1231" i="1"/>
  <c r="I1295" i="1"/>
  <c r="I1359" i="1"/>
  <c r="I1423" i="1"/>
  <c r="I1486" i="1"/>
  <c r="I1536" i="1"/>
  <c r="I1572" i="1"/>
  <c r="I1604" i="1"/>
  <c r="I1636" i="1"/>
  <c r="I1668" i="1"/>
  <c r="I1700" i="1"/>
  <c r="I1732" i="1"/>
  <c r="I1764" i="1"/>
  <c r="I58" i="1"/>
  <c r="I345" i="1"/>
  <c r="I521" i="1"/>
  <c r="I692" i="1"/>
  <c r="I844" i="1"/>
  <c r="I965" i="1"/>
  <c r="I1059" i="1"/>
  <c r="I1123" i="1"/>
  <c r="I1187" i="1"/>
  <c r="I1251" i="1"/>
  <c r="I1315" i="1"/>
  <c r="I1379" i="1"/>
  <c r="I1443" i="1"/>
  <c r="I1500" i="1"/>
  <c r="I1548" i="1"/>
  <c r="I1581" i="1"/>
  <c r="I1613" i="1"/>
  <c r="I1645" i="1"/>
  <c r="I1677" i="1"/>
  <c r="I1709" i="1"/>
  <c r="I1741" i="1"/>
  <c r="I1773" i="1"/>
  <c r="I1805" i="1"/>
  <c r="I1837" i="1"/>
  <c r="I1869" i="1"/>
  <c r="I1901" i="1"/>
  <c r="I1933" i="1"/>
  <c r="I1965" i="1"/>
  <c r="I163" i="1"/>
  <c r="I409" i="1"/>
  <c r="I580" i="1"/>
  <c r="I747" i="1"/>
  <c r="I892" i="1"/>
  <c r="I1001" i="1"/>
  <c r="I1079" i="1"/>
  <c r="I1143" i="1"/>
  <c r="I1207" i="1"/>
  <c r="I1271" i="1"/>
  <c r="I1335" i="1"/>
  <c r="I1399" i="1"/>
  <c r="I1463" i="1"/>
  <c r="I1518" i="1"/>
  <c r="I1560" i="1"/>
  <c r="I1592" i="1"/>
  <c r="I1624" i="1"/>
  <c r="I1656" i="1"/>
  <c r="I1688" i="1"/>
  <c r="I1720" i="1"/>
  <c r="I1752" i="1"/>
  <c r="I1784" i="1"/>
  <c r="I1816" i="1"/>
  <c r="I1848" i="1"/>
  <c r="I1880" i="1"/>
  <c r="I1912" i="1"/>
  <c r="I1944" i="1"/>
  <c r="I1976" i="1"/>
  <c r="I523" i="1"/>
  <c r="I1060" i="1"/>
  <c r="I1316" i="1"/>
  <c r="I1550" i="1"/>
  <c r="I1662" i="1"/>
  <c r="I1726" i="1"/>
  <c r="I1790" i="1"/>
  <c r="I1841" i="1"/>
  <c r="I1892" i="1"/>
  <c r="I1943" i="1"/>
  <c r="I1992" i="1"/>
  <c r="I2038" i="1"/>
  <c r="I2074" i="1"/>
  <c r="I2111" i="1"/>
  <c r="I699" i="1"/>
  <c r="I1126" i="1"/>
  <c r="I1382" i="1"/>
  <c r="I1583" i="1"/>
  <c r="I1679" i="1"/>
  <c r="I1743" i="1"/>
  <c r="I1804" i="1"/>
  <c r="I1855" i="1"/>
  <c r="I1906" i="1"/>
  <c r="I1958" i="1"/>
  <c r="I2002" i="1"/>
  <c r="I2039" i="1"/>
  <c r="I2076" i="1"/>
  <c r="I154" i="1"/>
  <c r="I883" i="1"/>
  <c r="I1204" i="1"/>
  <c r="I1460" i="1"/>
  <c r="I1622" i="1"/>
  <c r="I1697" i="1"/>
  <c r="I1761" i="1"/>
  <c r="I1818" i="1"/>
  <c r="I1870" i="1"/>
  <c r="I1921" i="1"/>
  <c r="I1972" i="1"/>
  <c r="I2013" i="1"/>
  <c r="I2049" i="1"/>
  <c r="I2086" i="1"/>
  <c r="I2121" i="1"/>
  <c r="I2153" i="1"/>
  <c r="I2185" i="1"/>
  <c r="I2217" i="1"/>
  <c r="I2249" i="1"/>
  <c r="I2281" i="1"/>
  <c r="I2313" i="1"/>
  <c r="I2345" i="1"/>
  <c r="I2377" i="1"/>
  <c r="I2409" i="1"/>
  <c r="I2441" i="1"/>
  <c r="I2473" i="1"/>
  <c r="I2505" i="1"/>
  <c r="I2537" i="1"/>
  <c r="I2569" i="1"/>
  <c r="I2601" i="1"/>
  <c r="I2633" i="1"/>
  <c r="I2665" i="1"/>
  <c r="I2587" i="1"/>
  <c r="I2691" i="1"/>
  <c r="I745" i="1"/>
  <c r="I1142" i="1"/>
  <c r="I1398" i="1"/>
  <c r="I1591" i="1"/>
  <c r="I1682" i="1"/>
  <c r="I1746" i="1"/>
  <c r="I1807" i="1"/>
  <c r="I1858" i="1"/>
  <c r="I1910" i="1"/>
  <c r="I1961" i="1"/>
  <c r="I2005" i="1"/>
  <c r="I2041" i="1"/>
  <c r="I2078" i="1"/>
  <c r="I2114" i="1"/>
  <c r="I2146" i="1"/>
  <c r="I2178" i="1"/>
  <c r="I2210" i="1"/>
  <c r="I2242" i="1"/>
  <c r="I2274" i="1"/>
  <c r="I2306" i="1"/>
  <c r="I2338" i="1"/>
  <c r="I2370" i="1"/>
  <c r="I2402" i="1"/>
  <c r="I2434" i="1"/>
  <c r="I2466" i="1"/>
  <c r="I2498" i="1"/>
  <c r="I2530" i="1"/>
  <c r="I2562" i="1"/>
  <c r="I2594" i="1"/>
  <c r="I2626" i="1"/>
  <c r="I2658" i="1"/>
  <c r="I2690" i="1"/>
  <c r="I2603" i="1"/>
  <c r="I2683" i="1"/>
  <c r="I779" i="1"/>
  <c r="I1156" i="1"/>
  <c r="I1412" i="1"/>
  <c r="I1598" i="1"/>
  <c r="I1686" i="1"/>
  <c r="I1750" i="1"/>
  <c r="I1809" i="1"/>
  <c r="I1860" i="1"/>
  <c r="I1911" i="1"/>
  <c r="I1962" i="1"/>
  <c r="I2006" i="1"/>
  <c r="I2042" i="1"/>
  <c r="I2079" i="1"/>
  <c r="I2115" i="1"/>
  <c r="I2147" i="1"/>
  <c r="I2179" i="1"/>
  <c r="I2211" i="1"/>
  <c r="I2243" i="1"/>
  <c r="I2275" i="1"/>
  <c r="I2307" i="1"/>
  <c r="I2339" i="1"/>
  <c r="I2371" i="1"/>
  <c r="I2403" i="1"/>
  <c r="I2435" i="1"/>
  <c r="I2467" i="1"/>
  <c r="I2499" i="1"/>
  <c r="I2531" i="1"/>
  <c r="I2579" i="1"/>
  <c r="I299" i="1"/>
  <c r="I947" i="1"/>
  <c r="I1238" i="1"/>
  <c r="I1491" i="1"/>
  <c r="I1639" i="1"/>
  <c r="I1706" i="1"/>
  <c r="I1770" i="1"/>
  <c r="I1826" i="1"/>
  <c r="I1878" i="1"/>
  <c r="I1929" i="1"/>
  <c r="I1980" i="1"/>
  <c r="I2018" i="1"/>
  <c r="I2055" i="1"/>
  <c r="I2092" i="1"/>
  <c r="I2126" i="1"/>
  <c r="I2158" i="1"/>
  <c r="I2190" i="1"/>
  <c r="I2222" i="1"/>
  <c r="I2254" i="1"/>
  <c r="I2286" i="1"/>
  <c r="I2318" i="1"/>
  <c r="I2350" i="1"/>
  <c r="I2382" i="1"/>
  <c r="I2414" i="1"/>
  <c r="I2446" i="1"/>
  <c r="I2478" i="1"/>
  <c r="I2510" i="1"/>
  <c r="I2542" i="1"/>
  <c r="I2574" i="1"/>
  <c r="I2606" i="1"/>
  <c r="I2638" i="1"/>
  <c r="I2670" i="1"/>
  <c r="I1222" i="1"/>
  <c r="I1767" i="1"/>
  <c r="I2116" i="1"/>
  <c r="I2260" i="1"/>
  <c r="I2388" i="1"/>
  <c r="I2469" i="1"/>
  <c r="I946" i="1"/>
  <c r="I1705" i="1"/>
  <c r="I1927" i="1"/>
  <c r="I2089" i="1"/>
  <c r="I2165" i="1"/>
  <c r="I2229" i="1"/>
  <c r="I2293" i="1"/>
  <c r="I2357" i="1"/>
  <c r="I2629" i="1"/>
  <c r="I1530" i="1"/>
  <c r="I1836" i="1"/>
  <c r="I2020" i="1"/>
  <c r="I2135" i="1"/>
  <c r="I2199" i="1"/>
  <c r="I2263" i="1"/>
  <c r="I2327" i="1"/>
  <c r="I2391" i="1"/>
  <c r="I2455" i="1"/>
  <c r="I2519" i="1"/>
  <c r="I2583" i="1"/>
  <c r="I2647" i="1"/>
  <c r="I2668" i="1"/>
  <c r="I2127" i="1"/>
  <c r="I2447" i="1"/>
  <c r="I2484" i="1"/>
  <c r="I484" i="1"/>
  <c r="I1657" i="1"/>
  <c r="I1889" i="1"/>
  <c r="I2062" i="1"/>
  <c r="I2152" i="1"/>
  <c r="I2216" i="1"/>
  <c r="I2280" i="1"/>
  <c r="I2344" i="1"/>
  <c r="I2408" i="1"/>
  <c r="I2472" i="1"/>
  <c r="I2536" i="1"/>
  <c r="I2600" i="1"/>
  <c r="I2664" i="1"/>
  <c r="I1964" i="1"/>
  <c r="I2287" i="1"/>
  <c r="I2543" i="1"/>
  <c r="I2564" i="1"/>
  <c r="I617" i="1"/>
  <c r="I1671" i="1"/>
  <c r="I1900" i="1"/>
  <c r="I2063" i="1"/>
  <c r="I2156" i="1"/>
  <c r="I2220" i="1"/>
  <c r="I2284" i="1"/>
  <c r="I2348" i="1"/>
  <c r="I2412" i="1"/>
  <c r="I2476" i="1"/>
  <c r="I2540" i="1"/>
  <c r="I2604" i="1"/>
  <c r="I1599" i="1"/>
  <c r="I2175" i="1"/>
  <c r="I2367" i="1"/>
  <c r="I2623" i="1"/>
  <c r="I2405" i="1"/>
  <c r="I1108" i="1"/>
  <c r="I1737" i="1"/>
  <c r="I2173" i="1"/>
  <c r="I2237" i="1"/>
  <c r="I2301" i="1"/>
  <c r="I2493" i="1"/>
  <c r="I2685" i="1"/>
  <c r="I2655" i="1"/>
  <c r="I1914" i="1"/>
  <c r="I2288" i="1"/>
  <c r="I2480" i="1"/>
  <c r="I2164" i="1"/>
  <c r="I2676" i="1"/>
  <c r="I2240" i="1"/>
  <c r="I2496" i="1"/>
  <c r="I2016" i="1"/>
  <c r="I2500" i="1"/>
  <c r="I778" i="1"/>
  <c r="I857" i="1"/>
  <c r="I907" i="1"/>
  <c r="I948" i="1"/>
  <c r="I985" i="1"/>
  <c r="I1021" i="1"/>
  <c r="I1053" i="1"/>
  <c r="I1085" i="1"/>
  <c r="I1117" i="1"/>
  <c r="I1149" i="1"/>
  <c r="I1181" i="1"/>
  <c r="I1213" i="1"/>
  <c r="I1245" i="1"/>
  <c r="I1277" i="1"/>
  <c r="I1309" i="1"/>
  <c r="I1341" i="1"/>
  <c r="I1373" i="1"/>
  <c r="I1405" i="1"/>
  <c r="I1437" i="1"/>
  <c r="I1469" i="1"/>
  <c r="I1501" i="1"/>
  <c r="I1533" i="1"/>
  <c r="I91" i="1"/>
  <c r="I372" i="1"/>
  <c r="I539" i="1"/>
  <c r="I713" i="1"/>
  <c r="I866" i="1"/>
  <c r="I977" i="1"/>
  <c r="I1067" i="1"/>
  <c r="I1131" i="1"/>
  <c r="I1195" i="1"/>
  <c r="I1259" i="1"/>
  <c r="I1323" i="1"/>
  <c r="I1387" i="1"/>
  <c r="I1451" i="1"/>
  <c r="I1507" i="1"/>
  <c r="I1553" i="1"/>
  <c r="I1585" i="1"/>
  <c r="I1617" i="1"/>
  <c r="I26" i="1"/>
  <c r="I322" i="1"/>
  <c r="I505" i="1"/>
  <c r="I676" i="1"/>
  <c r="I833" i="1"/>
  <c r="I956" i="1"/>
  <c r="I1051" i="1"/>
  <c r="I1116" i="1"/>
  <c r="I1180" i="1"/>
  <c r="I1244" i="1"/>
  <c r="I1308" i="1"/>
  <c r="I1372" i="1"/>
  <c r="I1436" i="1"/>
  <c r="I1495" i="1"/>
  <c r="I1544" i="1"/>
  <c r="I1578" i="1"/>
  <c r="I1610" i="1"/>
  <c r="I1642" i="1"/>
  <c r="I274" i="1"/>
  <c r="I468" i="1"/>
  <c r="I635" i="1"/>
  <c r="I803" i="1"/>
  <c r="I937" i="1"/>
  <c r="I1030" i="1"/>
  <c r="I1102" i="1"/>
  <c r="I1166" i="1"/>
  <c r="I1230" i="1"/>
  <c r="I1294" i="1"/>
  <c r="I1358" i="1"/>
  <c r="I1422" i="1"/>
  <c r="I1484" i="1"/>
  <c r="I1535" i="1"/>
  <c r="I1571" i="1"/>
  <c r="I1603" i="1"/>
  <c r="I1635" i="1"/>
  <c r="I1667" i="1"/>
  <c r="I1699" i="1"/>
  <c r="I1731" i="1"/>
  <c r="I1763" i="1"/>
  <c r="I1795" i="1"/>
  <c r="I1827" i="1"/>
  <c r="I1859" i="1"/>
  <c r="I1891" i="1"/>
  <c r="I1923" i="1"/>
  <c r="I1955" i="1"/>
  <c r="I1987" i="1"/>
  <c r="I2019" i="1"/>
  <c r="I2051" i="1"/>
  <c r="I2083" i="1"/>
  <c r="I35" i="1"/>
  <c r="I338" i="1"/>
  <c r="I516" i="1"/>
  <c r="I683" i="1"/>
  <c r="I842" i="1"/>
  <c r="I964" i="1"/>
  <c r="I1054" i="1"/>
  <c r="I1119" i="1"/>
  <c r="I1183" i="1"/>
  <c r="I1247" i="1"/>
  <c r="I1311" i="1"/>
  <c r="I1375" i="1"/>
  <c r="I1439" i="1"/>
  <c r="I1499" i="1"/>
  <c r="I1547" i="1"/>
  <c r="I1580" i="1"/>
  <c r="I1612" i="1"/>
  <c r="I1644" i="1"/>
  <c r="I1676" i="1"/>
  <c r="I1708" i="1"/>
  <c r="I1740" i="1"/>
  <c r="I1772" i="1"/>
  <c r="I131" i="1"/>
  <c r="I393" i="1"/>
  <c r="I564" i="1"/>
  <c r="I731" i="1"/>
  <c r="I881" i="1"/>
  <c r="I991" i="1"/>
  <c r="I1075" i="1"/>
  <c r="I1139" i="1"/>
  <c r="I1203" i="1"/>
  <c r="I1267" i="1"/>
  <c r="I1331" i="1"/>
  <c r="I1395" i="1"/>
  <c r="I1459" i="1"/>
  <c r="I1514" i="1"/>
  <c r="I1557" i="1"/>
  <c r="I1589" i="1"/>
  <c r="I1621" i="1"/>
  <c r="I1653" i="1"/>
  <c r="I1685" i="1"/>
  <c r="I1717" i="1"/>
  <c r="I1749" i="1"/>
  <c r="I1781" i="1"/>
  <c r="I1813" i="1"/>
  <c r="I1845" i="1"/>
  <c r="I1877" i="1"/>
  <c r="I1909" i="1"/>
  <c r="I1941" i="1"/>
  <c r="I1973" i="1"/>
  <c r="I251" i="1"/>
  <c r="I452" i="1"/>
  <c r="I619" i="1"/>
  <c r="I789" i="1"/>
  <c r="I927" i="1"/>
  <c r="I1022" i="1"/>
  <c r="I1095" i="1"/>
  <c r="I1159" i="1"/>
  <c r="I1223" i="1"/>
  <c r="I1287" i="1"/>
  <c r="I1351" i="1"/>
  <c r="I1415" i="1"/>
  <c r="I1479" i="1"/>
  <c r="I1531" i="1"/>
  <c r="I1568" i="1"/>
  <c r="I1600" i="1"/>
  <c r="I1632" i="1"/>
  <c r="I1664" i="1"/>
  <c r="I1696" i="1"/>
  <c r="I1728" i="1"/>
  <c r="I1760" i="1"/>
  <c r="I1792" i="1"/>
  <c r="I1824" i="1"/>
  <c r="I1856" i="1"/>
  <c r="I1888" i="1"/>
  <c r="I1920" i="1"/>
  <c r="I1952" i="1"/>
  <c r="I1984" i="1"/>
  <c r="I697" i="1"/>
  <c r="I1124" i="1"/>
  <c r="I1380" i="1"/>
  <c r="I1582" i="1"/>
  <c r="I1678" i="1"/>
  <c r="I1742" i="1"/>
  <c r="I1802" i="1"/>
  <c r="I1854" i="1"/>
  <c r="I1905" i="1"/>
  <c r="I1956" i="1"/>
  <c r="I2001" i="1"/>
  <c r="I2047" i="1"/>
  <c r="I2084" i="1"/>
  <c r="I67" i="1"/>
  <c r="I853" i="1"/>
  <c r="I1190" i="1"/>
  <c r="I1446" i="1"/>
  <c r="I1615" i="1"/>
  <c r="I1695" i="1"/>
  <c r="I1759" i="1"/>
  <c r="I1817" i="1"/>
  <c r="I1868" i="1"/>
  <c r="I1919" i="1"/>
  <c r="I1970" i="1"/>
  <c r="I2012" i="1"/>
  <c r="I2048" i="1"/>
  <c r="I2085" i="1"/>
  <c r="I395" i="1"/>
  <c r="I993" i="1"/>
  <c r="I1268" i="1"/>
  <c r="I1515" i="1"/>
  <c r="I1649" i="1"/>
  <c r="I1713" i="1"/>
  <c r="I1777" i="1"/>
  <c r="I1831" i="1"/>
  <c r="I1882" i="1"/>
  <c r="I1934" i="1"/>
  <c r="I1985" i="1"/>
  <c r="I2022" i="1"/>
  <c r="I2058" i="1"/>
  <c r="I2095" i="1"/>
  <c r="I2129" i="1"/>
  <c r="I2161" i="1"/>
  <c r="I2193" i="1"/>
  <c r="I2225" i="1"/>
  <c r="I2257" i="1"/>
  <c r="I2289" i="1"/>
  <c r="I2321" i="1"/>
  <c r="I2353" i="1"/>
  <c r="I2385" i="1"/>
  <c r="I2417" i="1"/>
  <c r="I2449" i="1"/>
  <c r="I2481" i="1"/>
  <c r="I2513" i="1"/>
  <c r="I2545" i="1"/>
  <c r="I2577" i="1"/>
  <c r="I2609" i="1"/>
  <c r="I2641" i="1"/>
  <c r="I2673" i="1"/>
  <c r="I2619" i="1"/>
  <c r="I155" i="1"/>
  <c r="I891" i="1"/>
  <c r="I1206" i="1"/>
  <c r="I1462" i="1"/>
  <c r="I1623" i="1"/>
  <c r="I1698" i="1"/>
  <c r="I1762" i="1"/>
  <c r="I1820" i="1"/>
  <c r="I1871" i="1"/>
  <c r="I1922" i="1"/>
  <c r="I1974" i="1"/>
  <c r="I2014" i="1"/>
  <c r="I2050" i="1"/>
  <c r="I2087" i="1"/>
  <c r="I2122" i="1"/>
  <c r="I2154" i="1"/>
  <c r="I2186" i="1"/>
  <c r="I2218" i="1"/>
  <c r="I2250" i="1"/>
  <c r="I2282" i="1"/>
  <c r="I2314" i="1"/>
  <c r="I2346" i="1"/>
  <c r="I2378" i="1"/>
  <c r="I2410" i="1"/>
  <c r="I2442" i="1"/>
  <c r="I2474" i="1"/>
  <c r="I2506" i="1"/>
  <c r="I2538" i="1"/>
  <c r="I2570" i="1"/>
  <c r="I2602" i="1"/>
  <c r="I2634" i="1"/>
  <c r="I2666" i="1"/>
  <c r="I2547" i="1"/>
  <c r="I2627" i="1"/>
  <c r="I227" i="1"/>
  <c r="I917" i="1"/>
  <c r="I1220" i="1"/>
  <c r="I1476" i="1"/>
  <c r="I1630" i="1"/>
  <c r="I1702" i="1"/>
  <c r="I1766" i="1"/>
  <c r="I1822" i="1"/>
  <c r="I1873" i="1"/>
  <c r="I1924" i="1"/>
  <c r="I1975" i="1"/>
  <c r="I2015" i="1"/>
  <c r="I2052" i="1"/>
  <c r="I2088" i="1"/>
  <c r="I2123" i="1"/>
  <c r="I2155" i="1"/>
  <c r="I2187" i="1"/>
  <c r="I2219" i="1"/>
  <c r="I2251" i="1"/>
  <c r="I2283" i="1"/>
  <c r="I2315" i="1"/>
  <c r="I2347" i="1"/>
  <c r="I2379" i="1"/>
  <c r="I2411" i="1"/>
  <c r="I2443" i="1"/>
  <c r="I2475" i="1"/>
  <c r="I2507" i="1"/>
  <c r="I2539" i="1"/>
  <c r="I2611" i="1"/>
  <c r="I489" i="1"/>
  <c r="I1043" i="1"/>
  <c r="I1302" i="1"/>
  <c r="I1540" i="1"/>
  <c r="I1658" i="1"/>
  <c r="I1722" i="1"/>
  <c r="I1786" i="1"/>
  <c r="I1839" i="1"/>
  <c r="I1890" i="1"/>
  <c r="I1942" i="1"/>
  <c r="I1991" i="1"/>
  <c r="I2028" i="1"/>
  <c r="I2064" i="1"/>
  <c r="I2101" i="1"/>
  <c r="I2134" i="1"/>
  <c r="I2166" i="1"/>
  <c r="I2198" i="1"/>
  <c r="I2230" i="1"/>
  <c r="I2262" i="1"/>
  <c r="I2294" i="1"/>
  <c r="I2326" i="1"/>
  <c r="I2358" i="1"/>
  <c r="I2390" i="1"/>
  <c r="I2422" i="1"/>
  <c r="I2454" i="1"/>
  <c r="I2486" i="1"/>
  <c r="I2518" i="1"/>
  <c r="I2550" i="1"/>
  <c r="I2582" i="1"/>
  <c r="I2614" i="1"/>
  <c r="I2646" i="1"/>
  <c r="I2678" i="1"/>
  <c r="I1478" i="1"/>
  <c r="I1874" i="1"/>
  <c r="I2148" i="1"/>
  <c r="I2292" i="1"/>
  <c r="I2468" i="1"/>
  <c r="I2549" i="1"/>
  <c r="I1236" i="1"/>
  <c r="I1769" i="1"/>
  <c r="I1978" i="1"/>
  <c r="I2117" i="1"/>
  <c r="I2181" i="1"/>
  <c r="I2245" i="1"/>
  <c r="I2309" i="1"/>
  <c r="I2437" i="1"/>
  <c r="I443" i="1"/>
  <c r="I1655" i="1"/>
  <c r="I1887" i="1"/>
  <c r="I2054" i="1"/>
  <c r="I2151" i="1"/>
  <c r="I2215" i="1"/>
  <c r="I2279" i="1"/>
  <c r="I2343" i="1"/>
  <c r="I2407" i="1"/>
  <c r="I2471" i="1"/>
  <c r="I2535" i="1"/>
  <c r="I2599" i="1"/>
  <c r="I2663" i="1"/>
  <c r="I1414" i="1"/>
  <c r="I2207" i="1"/>
  <c r="I2527" i="1"/>
  <c r="I2596" i="1"/>
  <c r="I1038" i="1"/>
  <c r="I1721" i="1"/>
  <c r="I1940" i="1"/>
  <c r="I2098" i="1"/>
  <c r="I2168" i="1"/>
  <c r="I2232" i="1"/>
  <c r="I2296" i="1"/>
  <c r="I2360" i="1"/>
  <c r="I2424" i="1"/>
  <c r="I2488" i="1"/>
  <c r="I2552" i="1"/>
  <c r="I2616" i="1"/>
  <c r="I2636" i="1"/>
  <c r="I2072" i="1"/>
  <c r="I2351" i="1"/>
  <c r="I2591" i="1"/>
  <c r="I2660" i="1"/>
  <c r="I1094" i="1"/>
  <c r="I1735" i="1"/>
  <c r="I1951" i="1"/>
  <c r="I2100" i="1"/>
  <c r="I2172" i="1"/>
  <c r="I2236" i="1"/>
  <c r="I2300" i="1"/>
  <c r="I2364" i="1"/>
  <c r="I2428" i="1"/>
  <c r="I2492" i="1"/>
  <c r="I2556" i="1"/>
  <c r="I2620" i="1"/>
  <c r="I1810" i="1"/>
  <c r="I2239" i="1"/>
  <c r="I2431" i="1"/>
  <c r="I2671" i="1"/>
  <c r="I2501" i="1"/>
  <c r="I1364" i="1"/>
  <c r="I1799" i="1"/>
  <c r="I1999" i="1"/>
  <c r="I2125" i="1"/>
  <c r="I2189" i="1"/>
  <c r="I2253" i="1"/>
  <c r="I2317" i="1"/>
  <c r="I2381" i="1"/>
  <c r="I2445" i="1"/>
  <c r="I2509" i="1"/>
  <c r="I2573" i="1"/>
  <c r="I2637" i="1"/>
  <c r="I788" i="1"/>
  <c r="I2191" i="1"/>
  <c r="I2463" i="1"/>
  <c r="I2436" i="1"/>
  <c r="I2421" i="1"/>
  <c r="I1753" i="1"/>
  <c r="I2112" i="1"/>
  <c r="I2368" i="1"/>
  <c r="I2688" i="1"/>
  <c r="I2389" i="1"/>
  <c r="K7" i="3"/>
  <c r="K2" i="3"/>
  <c r="G13" i="4" l="1"/>
  <c r="C6" i="4"/>
  <c r="C5" i="4"/>
  <c r="G11" i="4"/>
  <c r="C4" i="4"/>
  <c r="C3" i="4"/>
  <c r="G10" i="4"/>
</calcChain>
</file>

<file path=xl/sharedStrings.xml><?xml version="1.0" encoding="utf-8"?>
<sst xmlns="http://schemas.openxmlformats.org/spreadsheetml/2006/main" count="30242" uniqueCount="7425">
  <si>
    <t xml:space="preserve"> Sat Feb 03 2018 11:03:09</t>
  </si>
  <si>
    <t xml:space="preserve"> Today we can see positive trends for growth, but will there be a new fall? </t>
  </si>
  <si>
    <t xml:space="preserve"> K****o </t>
  </si>
  <si>
    <t xml:space="preserve"> null</t>
  </si>
  <si>
    <t xml:space="preserve"> false</t>
  </si>
  <si>
    <t xml:space="preserve"> ru</t>
  </si>
  <si>
    <t xml:space="preserve"> Sat Feb 03 2018 11:03:14</t>
  </si>
  <si>
    <t xml:space="preserve"> 8745.02$ per now</t>
  </si>
  <si>
    <t xml:space="preserve"> C****9 </t>
  </si>
  <si>
    <t xml:space="preserve"> Free World</t>
  </si>
  <si>
    <t xml:space="preserve"> Sat Feb 03 2018 11:03:16</t>
  </si>
  <si>
    <t xml:space="preserve"> Current price of is $8745.02</t>
  </si>
  <si>
    <t xml:space="preserve"> b****g </t>
  </si>
  <si>
    <t xml:space="preserve"> en</t>
  </si>
  <si>
    <t xml:space="preserve"> Sat Feb 03 2018 11:03:25</t>
  </si>
  <si>
    <t xml:space="preserve"> Think weve hit resistance for Bitcoin now. Will it fully recover? Im not sure</t>
  </si>
  <si>
    <t xml:space="preserve"> j****d </t>
  </si>
  <si>
    <t xml:space="preserve"> Brighton &amp; Hove / London</t>
  </si>
  <si>
    <t xml:space="preserve"> Sat Feb 03 2018 11:03:28</t>
  </si>
  <si>
    <t xml:space="preserve"> Today's price is $8745.02 as of February 3, 2018 at 11:59AM</t>
  </si>
  <si>
    <t xml:space="preserve"> F****Q </t>
  </si>
  <si>
    <t xml:space="preserve"> Europe</t>
  </si>
  <si>
    <t xml:space="preserve"> Sat Feb 03 2018 11:03:37</t>
  </si>
  <si>
    <t xml:space="preserve"> bitcoin might have been a hoax, the issue that the outrage was at these</t>
  </si>
  <si>
    <t xml:space="preserve"> k****e </t>
  </si>
  <si>
    <t xml:space="preserve"> your mind</t>
  </si>
  <si>
    <t xml:space="preserve"> Sat Feb 03 2018 11:03:50</t>
  </si>
  <si>
    <t xml:space="preserve"> I believe the chart would be adoption of 'blockchain technology' rather than bitcoin individually...</t>
  </si>
  <si>
    <t xml:space="preserve"> m****o </t>
  </si>
  <si>
    <t xml:space="preserve"> Sat Feb 03 2018 11:04:07</t>
  </si>
  <si>
    <t xml:space="preserve"> Current price of Bitcoin is $8745.02 via Chain</t>
  </si>
  <si>
    <t xml:space="preserve"> k****n </t>
  </si>
  <si>
    <t xml:space="preserve"> Kawasaki</t>
  </si>
  <si>
    <t xml:space="preserve"> ja</t>
  </si>
  <si>
    <t xml:space="preserve"> Sat Feb 03 2018 11:04:14</t>
  </si>
  <si>
    <t xml:space="preserve"> Compensation? Sounds interesting. Like 1 Bitcoin perhaps? Maybe a couple of Ethereum. Whatchu got in mind?</t>
  </si>
  <si>
    <t xml:space="preserve"> r****d </t>
  </si>
  <si>
    <t xml:space="preserve"> seattle washington</t>
  </si>
  <si>
    <t xml:space="preserve"> true</t>
  </si>
  <si>
    <t xml:space="preserve"> Sat Feb 03 2018 11:04:22</t>
  </si>
  <si>
    <t xml:space="preserve"> Current price of Bitcoin is $8745.02</t>
  </si>
  <si>
    <t xml:space="preserve"> N****o </t>
  </si>
  <si>
    <t xml:space="preserve"> South Africa</t>
  </si>
  <si>
    <t xml:space="preserve"> Sat Feb 03 2018 11:04:51</t>
  </si>
  <si>
    <t xml:space="preserve"> Please send Bitcoin. I'll write it. Spec. Love ya man!</t>
  </si>
  <si>
    <t xml:space="preserve"> J****5 </t>
  </si>
  <si>
    <t xml:space="preserve"> Sat Feb 03 2018 11:05:09</t>
  </si>
  <si>
    <t xml:space="preserve"> Also waiting for CNBC to make a new tutorial on How to short Bitcoin with 100x Leverage on BitMex</t>
  </si>
  <si>
    <t xml:space="preserve"> T****d </t>
  </si>
  <si>
    <t xml:space="preserve"> Luxemburg</t>
  </si>
  <si>
    <t xml:space="preserve"> de</t>
  </si>
  <si>
    <t xml:space="preserve"> Sat Feb 03 2018 11:05:14</t>
  </si>
  <si>
    <t xml:space="preserve"> I should be making a killing for mining all this stale DSH coin, minergate. </t>
  </si>
  <si>
    <t xml:space="preserve"> c****4 </t>
  </si>
  <si>
    <t xml:space="preserve"> Providence, RI</t>
  </si>
  <si>
    <t xml:space="preserve"> Well done! Shut the fkn tether down!</t>
  </si>
  <si>
    <t xml:space="preserve"> P****4 </t>
  </si>
  <si>
    <t xml:space="preserve"> Zrich, Schweiz</t>
  </si>
  <si>
    <t xml:space="preserve"> Sat Feb 03 2018 11:05:27</t>
  </si>
  <si>
    <t xml:space="preserve"> When becomes number 2 market cap, can I call it an Alt coin? </t>
  </si>
  <si>
    <t xml:space="preserve"> S****4 </t>
  </si>
  <si>
    <t xml:space="preserve"> Bahrain</t>
  </si>
  <si>
    <t xml:space="preserve"> Sat Feb 03 2018 11:05:35</t>
  </si>
  <si>
    <t xml:space="preserve"> Current price of Bitcoin is $8844.61 </t>
  </si>
  <si>
    <t xml:space="preserve"> United States</t>
  </si>
  <si>
    <t xml:space="preserve"> Sat Feb 03 2018 11:05:52</t>
  </si>
  <si>
    <t xml:space="preserve"> THE MOST INNOVATIVE AND LUCRATIVE WAY TO EARN BITCOIN JOIN BITCLUB NETWORK! ! !</t>
  </si>
  <si>
    <t xml:space="preserve"> t****3 </t>
  </si>
  <si>
    <t xml:space="preserve"> Sat Feb 03 2018 11:05:56</t>
  </si>
  <si>
    <t xml:space="preserve"> THE MOST INNOVATIVE AND LUCRATIVE WAY TO EARN BITCOIN JOIN BITCLUB NETWORK!!!</t>
  </si>
  <si>
    <t xml:space="preserve"> B****3 </t>
  </si>
  <si>
    <t xml:space="preserve"> Australia</t>
  </si>
  <si>
    <t xml:space="preserve"> Sat Feb 03 2018 11:06:07</t>
  </si>
  <si>
    <t xml:space="preserve"> Always Hodl </t>
  </si>
  <si>
    <t xml:space="preserve"> f****e </t>
  </si>
  <si>
    <t xml:space="preserve"> Spagna</t>
  </si>
  <si>
    <t xml:space="preserve"> it</t>
  </si>
  <si>
    <t xml:space="preserve"> Sat Feb 03 2018 11:06:32</t>
  </si>
  <si>
    <t xml:space="preserve"> From this line: Bitcoin; and/or (5) any other suitable type of payment. Seems like several crypots might be usable! </t>
  </si>
  <si>
    <t xml:space="preserve"> T****u </t>
  </si>
  <si>
    <t xml:space="preserve"> Sat Feb 03 2018 11:06:44</t>
  </si>
  <si>
    <t xml:space="preserve"> $crypto a jacket or some bitcoin?! Sorry Uo</t>
  </si>
  <si>
    <t xml:space="preserve"> P****s </t>
  </si>
  <si>
    <t xml:space="preserve"> Sat Feb 03 2018 11:08:41</t>
  </si>
  <si>
    <t xml:space="preserve"> Whiskey is the new bitcoin</t>
  </si>
  <si>
    <t xml:space="preserve"> t****r </t>
  </si>
  <si>
    <t xml:space="preserve"> fr</t>
  </si>
  <si>
    <t xml:space="preserve"> Sat Feb 03 2018 11:09:09</t>
  </si>
  <si>
    <t xml:space="preserve"> Yeah. It's the bitcoin of politics.</t>
  </si>
  <si>
    <t xml:space="preserve"> R****T </t>
  </si>
  <si>
    <t xml:space="preserve"> Hartford, CT</t>
  </si>
  <si>
    <t xml:space="preserve"> Sat Feb 03 2018 11:09:10</t>
  </si>
  <si>
    <t xml:space="preserve"> MGTI: it is amazing that Bitcoin price is more driven more by South Korea and China than any other places.</t>
  </si>
  <si>
    <t xml:space="preserve"> t****e </t>
  </si>
  <si>
    <t xml:space="preserve"> USA - Silicon Valley.</t>
  </si>
  <si>
    <t xml:space="preserve"> Sat Feb 03 2018 11:09:15</t>
  </si>
  <si>
    <t xml:space="preserve"> No, i dont fw bitcoin</t>
  </si>
  <si>
    <t xml:space="preserve"> M****e </t>
  </si>
  <si>
    <t xml:space="preserve"> United Kingdom</t>
  </si>
  <si>
    <t xml:space="preserve"> Sat Feb 03 2018 11:09:37</t>
  </si>
  <si>
    <t xml:space="preserve"> Want to buy account? Current price is $7000.82 Send me a </t>
  </si>
  <si>
    <t xml:space="preserve"> </t>
  </si>
  <si>
    <t xml:space="preserve"> Sat Feb 03 2018 11:09:52</t>
  </si>
  <si>
    <t xml:space="preserve"> Bitcoin is what they tell you, technology is what you get.</t>
  </si>
  <si>
    <t xml:space="preserve"> m****c </t>
  </si>
  <si>
    <t xml:space="preserve"> right here</t>
  </si>
  <si>
    <t xml:space="preserve"> Sat Feb 03 2018 11:10:02</t>
  </si>
  <si>
    <t xml:space="preserve"> Follow for the latest news &amp; trends about &amp; world.</t>
  </si>
  <si>
    <t xml:space="preserve"> b****b </t>
  </si>
  <si>
    <t xml:space="preserve"> Worldwide</t>
  </si>
  <si>
    <t xml:space="preserve"> Sat Feb 03 2018 11:10:04</t>
  </si>
  <si>
    <t xml:space="preserve"> Bitcoin BTC Current Price: $8795.54 1 Hour: -1.06 % | 24 Hours: 7.03 % | 7 Days: -21.56 % </t>
  </si>
  <si>
    <t xml:space="preserve"> a****s </t>
  </si>
  <si>
    <t xml:space="preserve"> New York, NY</t>
  </si>
  <si>
    <t xml:space="preserve"> es</t>
  </si>
  <si>
    <t xml:space="preserve"> Sat Feb 03 2018 11:10:16</t>
  </si>
  <si>
    <t xml:space="preserve"> (38820 follows) Compensation? Sounds interesting. Like 1 Bitcoin perhaps? Maybe a couple of Ethereum. Whatch...</t>
  </si>
  <si>
    <t xml:space="preserve"> i****o </t>
  </si>
  <si>
    <t xml:space="preserve"> L</t>
  </si>
  <si>
    <t xml:space="preserve"> Sat Feb 03 2018 11:10:20</t>
  </si>
  <si>
    <t xml:space="preserve"> Nice, I have never heard of the first two though :p I have Bitcoin, Ethereum, and Litecoin since October.</t>
  </si>
  <si>
    <t xml:space="preserve"> c****u </t>
  </si>
  <si>
    <t xml:space="preserve"> London, UK</t>
  </si>
  <si>
    <t xml:space="preserve"> Sat Feb 03 2018 11:10:25</t>
  </si>
  <si>
    <t xml:space="preserve"> New York town Massena to get 150 jobs in approved mining operation. </t>
  </si>
  <si>
    <t xml:space="preserve"> W****y </t>
  </si>
  <si>
    <t xml:space="preserve"> ar</t>
  </si>
  <si>
    <t xml:space="preserve"> Sat Feb 03 2018 11:10:35</t>
  </si>
  <si>
    <t xml:space="preserve"> Again a bad day Tron is down and bitcoin too. My balance going towards zero </t>
  </si>
  <si>
    <t xml:space="preserve"> R****5 </t>
  </si>
  <si>
    <t xml:space="preserve"> Kerala, India</t>
  </si>
  <si>
    <t xml:space="preserve"> Sat Feb 03 2018 11:11:33</t>
  </si>
  <si>
    <t xml:space="preserve"> Only dip I know, is the one you take in a pool. Just like Bitcoin, if I should take that dip, I might just drown.</t>
  </si>
  <si>
    <t xml:space="preserve"> S****w </t>
  </si>
  <si>
    <t xml:space="preserve"> Cape Town</t>
  </si>
  <si>
    <t xml:space="preserve"> Sat Feb 03 2018 11:11:46</t>
  </si>
  <si>
    <t xml:space="preserve"> how to bitcoin </t>
  </si>
  <si>
    <t xml:space="preserve"> s****r </t>
  </si>
  <si>
    <t xml:space="preserve"> Sat Feb 03 2018 11:12:04</t>
  </si>
  <si>
    <t xml:space="preserve"> cmon guys. You supporting the fork for ZCL/bitcoin private or what??</t>
  </si>
  <si>
    <t xml:space="preserve"> M****0 </t>
  </si>
  <si>
    <t xml:space="preserve"> Sat Feb 03 2018 11:12:25</t>
  </si>
  <si>
    <t xml:space="preserve"> It's their bitcoin miner, just give it some of the crypto currency and you're good to go!</t>
  </si>
  <si>
    <t xml:space="preserve"> D****N </t>
  </si>
  <si>
    <t xml:space="preserve"> France</t>
  </si>
  <si>
    <t xml:space="preserve"> Sat Feb 03 2018 11:12:45</t>
  </si>
  <si>
    <t xml:space="preserve"> Bitcoin laugh </t>
  </si>
  <si>
    <t xml:space="preserve"> z****l </t>
  </si>
  <si>
    <t xml:space="preserve"> Republic of the Philippines</t>
  </si>
  <si>
    <t xml:space="preserve"> Sat Feb 03 2018 11:13:25</t>
  </si>
  <si>
    <t xml:space="preserve"> Some people don't believe in God but believe in Bitcoin. </t>
  </si>
  <si>
    <t xml:space="preserve"> f****2 </t>
  </si>
  <si>
    <t xml:space="preserve"> Lahore, Pakistan</t>
  </si>
  <si>
    <t xml:space="preserve"> Sat Feb 03 2018 11:13:30</t>
  </si>
  <si>
    <t xml:space="preserve"> I going to stick to locks. Bitcoin? Literally decided last night to sell up. Today? Up 14%. FML.</t>
  </si>
  <si>
    <t xml:space="preserve"> d****e </t>
  </si>
  <si>
    <t xml:space="preserve"> Hereford and Worcester</t>
  </si>
  <si>
    <t xml:space="preserve"> Sat Feb 03 2018 11:13:48</t>
  </si>
  <si>
    <t xml:space="preserve"> Bitcoin and infographic. What a match!</t>
  </si>
  <si>
    <t xml:space="preserve"> Sat Feb 03 2018 11:14:47</t>
  </si>
  <si>
    <t xml:space="preserve"> is the real and around Feb 10-15 it will be known by all</t>
  </si>
  <si>
    <t xml:space="preserve"> B****D </t>
  </si>
  <si>
    <t xml:space="preserve"> Michigan, USA</t>
  </si>
  <si>
    <t xml:space="preserve"> Sat Feb 03 2018 11:15:01</t>
  </si>
  <si>
    <t xml:space="preserve"> The current price of Bitcoin is $8759.54. The current price of BCash is $1177.43, or 0.134622 BTC</t>
  </si>
  <si>
    <t xml:space="preserve"> b****s </t>
  </si>
  <si>
    <t xml:space="preserve"> on the blockchain</t>
  </si>
  <si>
    <t xml:space="preserve"> Sat Feb 03 2018 11:15:28</t>
  </si>
  <si>
    <t xml:space="preserve"> All that infrastructure. Yeah that is $BCH infrastructure now.</t>
  </si>
  <si>
    <t xml:space="preserve"> Sat Feb 03 2018 11:15:36</t>
  </si>
  <si>
    <t xml:space="preserve"> The market is so low today that I panic sold all my INR </t>
  </si>
  <si>
    <t xml:space="preserve"> C****n </t>
  </si>
  <si>
    <t xml:space="preserve"> India</t>
  </si>
  <si>
    <t xml:space="preserve"> Sat Feb 03 2018 11:15:40</t>
  </si>
  <si>
    <t xml:space="preserve"> Bitcoin is over finished haha</t>
  </si>
  <si>
    <t xml:space="preserve"> Sat Feb 03 2018 11:16:07</t>
  </si>
  <si>
    <t xml:space="preserve"> Ask for it in bitcoin.Its a sure thing!</t>
  </si>
  <si>
    <t xml:space="preserve"> s****n </t>
  </si>
  <si>
    <t xml:space="preserve"> Dublin</t>
  </si>
  <si>
    <t xml:space="preserve"> Sat Feb 03 2018 11:16:49</t>
  </si>
  <si>
    <t xml:space="preserve"> You are correct; bitcoin cash is as close to technological menstruation as a blockchain can get. $bch $btc</t>
  </si>
  <si>
    <t xml:space="preserve"> S****g </t>
  </si>
  <si>
    <t xml:space="preserve"> Cape Town, South Africa</t>
  </si>
  <si>
    <t xml:space="preserve"> Sat Feb 03 2018 11:16:57</t>
  </si>
  <si>
    <t xml:space="preserve"> Bitcoin is a definitely a good investment, it's calledmoney reset</t>
  </si>
  <si>
    <t xml:space="preserve"> a****e </t>
  </si>
  <si>
    <t xml:space="preserve"> Sat Feb 03 2018 11:17:04</t>
  </si>
  <si>
    <t xml:space="preserve"> Bitcoin Cash BCH Current Price: $1177.43 1 Hour: 0.26 % | 24 Hours: 8.4 % | 7 Days: -26.79 % cash</t>
  </si>
  <si>
    <t xml:space="preserve"> Sat Feb 03 2018 11:18:00</t>
  </si>
  <si>
    <t xml:space="preserve"> CryptoCompare Bitcoin price changed +1.04% to $8874.57 </t>
  </si>
  <si>
    <t xml:space="preserve"> W****r </t>
  </si>
  <si>
    <t xml:space="preserve"> Sat Feb 03 2018 11:18:03</t>
  </si>
  <si>
    <t xml:space="preserve"> Bitcoin is the new economy movement.......</t>
  </si>
  <si>
    <t xml:space="preserve"> A****7 </t>
  </si>
  <si>
    <t xml:space="preserve"> Lakeland, FL</t>
  </si>
  <si>
    <t xml:space="preserve"> Sat Feb 03 2018 11:18:14</t>
  </si>
  <si>
    <t xml:space="preserve"> Buying more $ADA and $XLM for the long term! I LOVE THIS WEEK! </t>
  </si>
  <si>
    <t xml:space="preserve"> C****o </t>
  </si>
  <si>
    <t xml:space="preserve"> Preston, England</t>
  </si>
  <si>
    <t xml:space="preserve"> Sat Feb 03 2018 11:18:27</t>
  </si>
  <si>
    <t xml:space="preserve"> It's the whole bitcoin drama that's dragging us down. We are in for a massive price explosion very soon.</t>
  </si>
  <si>
    <t xml:space="preserve"> X****n </t>
  </si>
  <si>
    <t xml:space="preserve"> Sat Feb 03 2018 11:19:17</t>
  </si>
  <si>
    <t xml:space="preserve"> tis a thing of beauty to see how quickly bitcoin node is downloading on my new unit..</t>
  </si>
  <si>
    <t xml:space="preserve"> j****7 </t>
  </si>
  <si>
    <t xml:space="preserve"> Waterford, Ireland</t>
  </si>
  <si>
    <t xml:space="preserve"> Sat Feb 03 2018 11:19:28</t>
  </si>
  <si>
    <t xml:space="preserve"> Wouldnt be as tiring as counting all your Bitcoin Tito!</t>
  </si>
  <si>
    <t xml:space="preserve"> w****3 </t>
  </si>
  <si>
    <t xml:space="preserve"> Toodyay</t>
  </si>
  <si>
    <t xml:space="preserve"> Sat Feb 03 2018 11:19:47</t>
  </si>
  <si>
    <t xml:space="preserve"> The only you shouldn't be buying during this dip is $btc .</t>
  </si>
  <si>
    <t xml:space="preserve"> C****z </t>
  </si>
  <si>
    <t xml:space="preserve"> Sat Feb 03 2018 11:20:05</t>
  </si>
  <si>
    <t xml:space="preserve"> MSM 2 days ago: Tether will kill bitcoin, where heading to $100!!!!! MSM now: buy bitcoin for EZ 70% gains</t>
  </si>
  <si>
    <t xml:space="preserve"> T****a </t>
  </si>
  <si>
    <t xml:space="preserve"> Japan</t>
  </si>
  <si>
    <t xml:space="preserve"> Sat Feb 03 2018 11:20:50</t>
  </si>
  <si>
    <t xml:space="preserve"> This is just absurd</t>
  </si>
  <si>
    <t xml:space="preserve"> a****t </t>
  </si>
  <si>
    <t xml:space="preserve"> Johannesburg, South Africa</t>
  </si>
  <si>
    <t xml:space="preserve"> Sat Feb 03 2018 11:21:04</t>
  </si>
  <si>
    <t xml:space="preserve"> 'almost definitely' bag holders of bitcoin frauds? lol. 29%</t>
  </si>
  <si>
    <t xml:space="preserve"> C****0 </t>
  </si>
  <si>
    <t xml:space="preserve"> Sat Feb 03 2018 11:21:22</t>
  </si>
  <si>
    <t xml:space="preserve"> Bitcoin will do to banks what email did to the postal industry </t>
  </si>
  <si>
    <t xml:space="preserve"> b****e </t>
  </si>
  <si>
    <t xml:space="preserve"> www.bitcoinsfuture.com</t>
  </si>
  <si>
    <t xml:space="preserve"> Sat Feb 03 2018 11:22:00</t>
  </si>
  <si>
    <t xml:space="preserve"> i dont care about bitcoin can i just got my phone 3 months ago</t>
  </si>
  <si>
    <t xml:space="preserve"> i****t </t>
  </si>
  <si>
    <t xml:space="preserve"> lol</t>
  </si>
  <si>
    <t xml:space="preserve"> Sat Feb 03 2018 11:22:45</t>
  </si>
  <si>
    <t xml:space="preserve"> where can i find information or instruction to buy on the site i have bitcoin and i want to buy siacoin?</t>
  </si>
  <si>
    <t xml:space="preserve"> m****m </t>
  </si>
  <si>
    <t xml:space="preserve"> kilmarnock, va</t>
  </si>
  <si>
    <t xml:space="preserve"> Sat Feb 03 2018 11:23:50</t>
  </si>
  <si>
    <t xml:space="preserve"> Don't forget crypto is coming to robinhood </t>
  </si>
  <si>
    <t xml:space="preserve"> e****2 </t>
  </si>
  <si>
    <t xml:space="preserve"> Sat Feb 03 2018 11:24:15</t>
  </si>
  <si>
    <t xml:space="preserve"> The current value of BTC at 21:24:09 on 03/02/2018 (AEST) is $10,800.00 AUD. </t>
  </si>
  <si>
    <t xml:space="preserve"> a****n </t>
  </si>
  <si>
    <t xml:space="preserve"> Brisbane, Queensland</t>
  </si>
  <si>
    <t xml:space="preserve"> Sat Feb 03 2018 11:24:26</t>
  </si>
  <si>
    <t xml:space="preserve"> Health Information System </t>
  </si>
  <si>
    <t xml:space="preserve"> w****n </t>
  </si>
  <si>
    <t xml:space="preserve"> Sat Feb 03 2018 11:24:40</t>
  </si>
  <si>
    <t xml:space="preserve"> You don't need my respect, you earn money. You are replaceable, realize that.</t>
  </si>
  <si>
    <t xml:space="preserve"> B****m </t>
  </si>
  <si>
    <t xml:space="preserve"> Sat Feb 03 2018 11:24:43</t>
  </si>
  <si>
    <t xml:space="preserve"> Bitcoin advert scam</t>
  </si>
  <si>
    <t xml:space="preserve"> K****3 </t>
  </si>
  <si>
    <t xml:space="preserve"> Sat Feb 03 2018 11:25:16</t>
  </si>
  <si>
    <t xml:space="preserve"> Don't follow trump.</t>
  </si>
  <si>
    <t xml:space="preserve"> E****n </t>
  </si>
  <si>
    <t xml:space="preserve"> Stoke-on-Trent, England</t>
  </si>
  <si>
    <t xml:space="preserve"> Sat Feb 03 2018 11:26:37</t>
  </si>
  <si>
    <t xml:space="preserve"> How does that in any way ensurte a bottom line? You still have to convert your bitcoin to fiat.</t>
  </si>
  <si>
    <t xml:space="preserve"> A****K </t>
  </si>
  <si>
    <t xml:space="preserve"> Bucks. UK</t>
  </si>
  <si>
    <t xml:space="preserve"> Sat Feb 03 2018 11:26:39</t>
  </si>
  <si>
    <t xml:space="preserve"> Looks like is on the rise again </t>
  </si>
  <si>
    <t xml:space="preserve"> Sat Feb 03 2018 11:26:42</t>
  </si>
  <si>
    <t xml:space="preserve"> You should look at the bigger picture :)</t>
  </si>
  <si>
    <t xml:space="preserve"> t****x </t>
  </si>
  <si>
    <t xml:space="preserve"> Norge</t>
  </si>
  <si>
    <t xml:space="preserve"> no</t>
  </si>
  <si>
    <t xml:space="preserve"> Sat Feb 03 2018 11:27:20</t>
  </si>
  <si>
    <t xml:space="preserve"> Doesn't he owe bitcoin to whoever catches him still tweeting</t>
  </si>
  <si>
    <t xml:space="preserve"> A****3 </t>
  </si>
  <si>
    <t xml:space="preserve"> Sat Feb 03 2018 11:27:30</t>
  </si>
  <si>
    <t xml:space="preserve"> Bitcoin isn't gold</t>
  </si>
  <si>
    <t xml:space="preserve"> r****g </t>
  </si>
  <si>
    <t xml:space="preserve"> Sat Feb 03 2018 11:29:01</t>
  </si>
  <si>
    <t xml:space="preserve"> Nope. Bitcoin Cash is Bitcoin Cash. Bitcoin is Bitcoin. What's so hard to understand about that?</t>
  </si>
  <si>
    <t xml:space="preserve"> M****t </t>
  </si>
  <si>
    <t xml:space="preserve"> Around The Globe</t>
  </si>
  <si>
    <t xml:space="preserve"> Sat Feb 03 2018 11:29:19</t>
  </si>
  <si>
    <t xml:space="preserve"> Man twitter is much quieter without the Bitcoin tossers stinking up every other post. Wonder what happened there </t>
  </si>
  <si>
    <t xml:space="preserve"> C****t </t>
  </si>
  <si>
    <t xml:space="preserve"> Hobart, Tasmania</t>
  </si>
  <si>
    <t xml:space="preserve"> Sat Feb 03 2018 11:29:32</t>
  </si>
  <si>
    <t xml:space="preserve"> almost all currencies look like this, even bitcoin looks almost like this LOL</t>
  </si>
  <si>
    <t xml:space="preserve"> S****o </t>
  </si>
  <si>
    <t xml:space="preserve"> Sat Feb 03 2018 11:29:56</t>
  </si>
  <si>
    <t xml:space="preserve"> Oga, spend this bitcoin money loool</t>
  </si>
  <si>
    <t xml:space="preserve"> a****x </t>
  </si>
  <si>
    <t xml:space="preserve"> Sat Feb 03 2018 11:30:02</t>
  </si>
  <si>
    <t xml:space="preserve"> Bitcoin:$8880.99 Ethereum:$943.405 Bitcoin Cash:$1190.65 Litecoin:$134.139 Ripple:$0.873894 IOTA:$1.88541</t>
  </si>
  <si>
    <t xml:space="preserve"> S****T </t>
  </si>
  <si>
    <t xml:space="preserve"> Turkish Time (TRT), UTC +3</t>
  </si>
  <si>
    <t xml:space="preserve"> Sat Feb 03 2018 11:30:25</t>
  </si>
  <si>
    <t xml:space="preserve"> Press Release: Silvertoken: A Stabilizing Currency in an armed raid in rural England </t>
  </si>
  <si>
    <t xml:space="preserve"> c****s </t>
  </si>
  <si>
    <t xml:space="preserve"> Sat Feb 03 2018 11:30:55</t>
  </si>
  <si>
    <t xml:space="preserve"> boss move, Bitcoin just broke its fall hard. great risk/reward here w a stop at 8500-7800</t>
  </si>
  <si>
    <t xml:space="preserve"> P****0 </t>
  </si>
  <si>
    <t xml:space="preserve"> Sat Feb 03 2018 11:31:00</t>
  </si>
  <si>
    <t xml:space="preserve"> CryptoCompare Bitcoin price changed +1.00% to $8963.56 </t>
  </si>
  <si>
    <t xml:space="preserve"> Sat Feb 03 2018 11:31:14</t>
  </si>
  <si>
    <t xml:space="preserve"> Hello humans, is currently around $8880.99 as of Sat Feb 3 05:31:10 CST 2018</t>
  </si>
  <si>
    <t xml:space="preserve"> e****e </t>
  </si>
  <si>
    <t xml:space="preserve"> Kearney, NE</t>
  </si>
  <si>
    <t xml:space="preserve"> Sat Feb 03 2018 11:31:44</t>
  </si>
  <si>
    <t xml:space="preserve"> We are buying bitcoin this morning RT for that person looking for buyer thanks</t>
  </si>
  <si>
    <t xml:space="preserve"> r****G </t>
  </si>
  <si>
    <t xml:space="preserve"> Nigeria</t>
  </si>
  <si>
    <t xml:space="preserve"> Sat Feb 03 2018 11:31:55</t>
  </si>
  <si>
    <t xml:space="preserve"> Nocoiners coming out of the woodwork to ask me how my is doing... *Remembers 1 Year returns* My corns are just fine, Karen.</t>
  </si>
  <si>
    <t xml:space="preserve"> i****s </t>
  </si>
  <si>
    <t xml:space="preserve"> Sat Feb 03 2018 11:32:03</t>
  </si>
  <si>
    <t xml:space="preserve"> Maybe it goes down to 850, so Vinny can rebuy without regrets and don't be so salty about Bitcoin anymore...</t>
  </si>
  <si>
    <t xml:space="preserve"> o****1 </t>
  </si>
  <si>
    <t xml:space="preserve"> Sat Feb 03 2018 11:32:06</t>
  </si>
  <si>
    <t xml:space="preserve"> Why does anyone mine any other coin?</t>
  </si>
  <si>
    <t xml:space="preserve"> w****c </t>
  </si>
  <si>
    <t xml:space="preserve"> Bristol, England</t>
  </si>
  <si>
    <t xml:space="preserve"> Sat Feb 03 2018 11:32:23</t>
  </si>
  <si>
    <t xml:space="preserve"> Have banks ever dictated what can and cannot be purchased on credit cards before? (Is it a crime to buy ?)</t>
  </si>
  <si>
    <t xml:space="preserve"> I****n </t>
  </si>
  <si>
    <t xml:space="preserve"> London, England</t>
  </si>
  <si>
    <t xml:space="preserve"> Sat Feb 03 2018 11:32:36</t>
  </si>
  <si>
    <t xml:space="preserve"> I have no doubts you can become a unique bitcoin expert please join</t>
  </si>
  <si>
    <t xml:space="preserve"> B****r </t>
  </si>
  <si>
    <t xml:space="preserve"> Sat Feb 03 2018 11:32:51</t>
  </si>
  <si>
    <t xml:space="preserve"> Bitcoin can have the regulation.</t>
  </si>
  <si>
    <t xml:space="preserve"> Los Angeles, CA</t>
  </si>
  <si>
    <t xml:space="preserve"> Sat Feb 03 2018 11:33:57</t>
  </si>
  <si>
    <t xml:space="preserve"> Sanduskygate bitcoin guy 2 tidies dittos 2 all g string rico parties mo than 2x every dime 18 Times return</t>
  </si>
  <si>
    <t xml:space="preserve"> B****l </t>
  </si>
  <si>
    <t xml:space="preserve"> Sat Feb 03 2018 11:35:13</t>
  </si>
  <si>
    <t xml:space="preserve"> at 9000 again, A plus of 11% today</t>
  </si>
  <si>
    <t xml:space="preserve"> f****t </t>
  </si>
  <si>
    <t xml:space="preserve"> Berlin </t>
  </si>
  <si>
    <t xml:space="preserve"> Sat Feb 03 2018 11:35:30</t>
  </si>
  <si>
    <t xml:space="preserve"> Once rigged regulators and GOVs are in the weekend $Crypto is going up. What a surprise $BTC $LTC $BCC $BCash </t>
  </si>
  <si>
    <t xml:space="preserve"> p****r </t>
  </si>
  <si>
    <t xml:space="preserve"> moon</t>
  </si>
  <si>
    <t xml:space="preserve"> Sat Feb 03 2018 11:35:49</t>
  </si>
  <si>
    <t xml:space="preserve"> Be the big </t>
  </si>
  <si>
    <t xml:space="preserve"> l****7 </t>
  </si>
  <si>
    <t xml:space="preserve"> Kota Medan, Sumatera Utara</t>
  </si>
  <si>
    <t xml:space="preserve"> id</t>
  </si>
  <si>
    <t xml:space="preserve"> Sat Feb 03 2018 11:36:09</t>
  </si>
  <si>
    <t xml:space="preserve"> i hope people stop talking about crypto/bitcoin before I have to learn what it is</t>
  </si>
  <si>
    <t xml:space="preserve"> z****n </t>
  </si>
  <si>
    <t xml:space="preserve"> Saudi Arabia</t>
  </si>
  <si>
    <t xml:space="preserve"> Sat Feb 03 2018 11:36:42</t>
  </si>
  <si>
    <t xml:space="preserve"> F your Bitcoin female enticer bs</t>
  </si>
  <si>
    <t xml:space="preserve"> D****e </t>
  </si>
  <si>
    <t xml:space="preserve"> Maine, USA</t>
  </si>
  <si>
    <t xml:space="preserve"> Sat Feb 03 2018 11:37:06</t>
  </si>
  <si>
    <t xml:space="preserve"> Bitcoin historic reversal crash below 530 , panic selloff</t>
  </si>
  <si>
    <t xml:space="preserve"> v****5 </t>
  </si>
  <si>
    <t xml:space="preserve"> Sat Feb 03 2018 11:38:53</t>
  </si>
  <si>
    <t xml:space="preserve"> Hopefully less haha idk Bcash seems the same as Bitcoin, who can say? . </t>
  </si>
  <si>
    <t xml:space="preserve"> Sat Feb 03 2018 11:39:12</t>
  </si>
  <si>
    <t xml:space="preserve"> Bitcoin plunges below $8,000 amid rapid plunge in value of cryptocurrency</t>
  </si>
  <si>
    <t xml:space="preserve"> i****_ </t>
  </si>
  <si>
    <t xml:space="preserve"> Kampala Uganda, East Africa</t>
  </si>
  <si>
    <t xml:space="preserve"> Sat Feb 03 2018 11:39:14</t>
  </si>
  <si>
    <t xml:space="preserve"> HODL retweet</t>
  </si>
  <si>
    <t xml:space="preserve"> T****l </t>
  </si>
  <si>
    <t xml:space="preserve"> tr</t>
  </si>
  <si>
    <t xml:space="preserve"> Sat Feb 03 2018 11:39:58</t>
  </si>
  <si>
    <t xml:space="preserve"> Do bitcoin trade is legal. gr8. then allow Coinbase and GDAX to operate in India</t>
  </si>
  <si>
    <t xml:space="preserve"> h****t </t>
  </si>
  <si>
    <t xml:space="preserve"> Kolkata, NYC</t>
  </si>
  <si>
    <t xml:space="preserve"> Sat Feb 03 2018 11:40:16</t>
  </si>
  <si>
    <t xml:space="preserve"> (63894 follows) RT : Bitcoin now below $8000 from a December high of $20,000 *$125Bn cleared in a day...</t>
  </si>
  <si>
    <t xml:space="preserve"> Sat Feb 03 2018 11:40:32</t>
  </si>
  <si>
    <t xml:space="preserve"> Bitcoin</t>
  </si>
  <si>
    <t xml:space="preserve"> p****o </t>
  </si>
  <si>
    <t xml:space="preserve"> Coritiba</t>
  </si>
  <si>
    <t xml:space="preserve"> pt</t>
  </si>
  <si>
    <t xml:space="preserve"> Sat Feb 03 2018 11:41:07</t>
  </si>
  <si>
    <t xml:space="preserve"> Bitcoin percentage of market cap: 34.8 % </t>
  </si>
  <si>
    <t xml:space="preserve"> s****z </t>
  </si>
  <si>
    <t xml:space="preserve"> Sat Feb 03 2018 11:41:47</t>
  </si>
  <si>
    <t xml:space="preserve"> Lloyds been taking about bitcoin for at least a decade.</t>
  </si>
  <si>
    <t xml:space="preserve"> Buyin breakouts!</t>
  </si>
  <si>
    <t xml:space="preserve"> Sat Feb 03 2018 11:42:21</t>
  </si>
  <si>
    <t xml:space="preserve"> prices will change based on the demand, trustworthiness by people. Completely open and is based on the market fluctuations.</t>
  </si>
  <si>
    <t xml:space="preserve"> C****E </t>
  </si>
  <si>
    <t xml:space="preserve"> Kenya</t>
  </si>
  <si>
    <t xml:space="preserve"> A****2 </t>
  </si>
  <si>
    <t xml:space="preserve"> Sat Feb 03 2018 11:43:23</t>
  </si>
  <si>
    <t xml:space="preserve"> Best bitcoin hot take, EVER</t>
  </si>
  <si>
    <t xml:space="preserve"> MS WorkingConnection 99'</t>
  </si>
  <si>
    <t xml:space="preserve"> Sat Feb 03 2018 11:44:14</t>
  </si>
  <si>
    <t xml:space="preserve"> When up up when bitcoin down altcoin down. Bitcoin still commands very strong. </t>
  </si>
  <si>
    <t xml:space="preserve"> j****e </t>
  </si>
  <si>
    <t xml:space="preserve"> Manila</t>
  </si>
  <si>
    <t xml:space="preserve"> Sat Feb 03 2018 11:44:20</t>
  </si>
  <si>
    <t xml:space="preserve"> It might launch my second bitcoin company accordingly. So I will keep watching this... </t>
  </si>
  <si>
    <t xml:space="preserve"> J****a </t>
  </si>
  <si>
    <t xml:space="preserve"> Waterworld</t>
  </si>
  <si>
    <t xml:space="preserve"> Sat Feb 03 2018 11:44:22</t>
  </si>
  <si>
    <t xml:space="preserve"> Have you written articles on Bitcoin? Are you familiar with ?</t>
  </si>
  <si>
    <t xml:space="preserve"> X****8 </t>
  </si>
  <si>
    <t xml:space="preserve"> Sat Feb 03 2018 11:44:56</t>
  </si>
  <si>
    <t xml:space="preserve"> yeah your are right bitcoin and altcoins still have value but yo memo doesnt!</t>
  </si>
  <si>
    <t xml:space="preserve"> w****2 </t>
  </si>
  <si>
    <t xml:space="preserve"> Washington, DC</t>
  </si>
  <si>
    <t xml:space="preserve"> Sat Feb 03 2018 11:45:02</t>
  </si>
  <si>
    <t xml:space="preserve"> There are currently 12,197 unconfirmed Bitcoin transactions. $BTC</t>
  </si>
  <si>
    <t xml:space="preserve"> U****s </t>
  </si>
  <si>
    <t xml:space="preserve"> BitcoinLand</t>
  </si>
  <si>
    <t xml:space="preserve"> Sat Feb 03 2018 11:45:15</t>
  </si>
  <si>
    <t xml:space="preserve"> i used to just by new vans when they got dirty, but bitcoin crashed</t>
  </si>
  <si>
    <t xml:space="preserve"> J****s </t>
  </si>
  <si>
    <t xml:space="preserve"> Osan-si, Republic of Korea</t>
  </si>
  <si>
    <t xml:space="preserve"> Sat Feb 03 2018 11:45:16</t>
  </si>
  <si>
    <t xml:space="preserve"> Can you at least fix bitcoin?</t>
  </si>
  <si>
    <t xml:space="preserve"> D****r </t>
  </si>
  <si>
    <t xml:space="preserve"> Sat Feb 03 2018 11:45:29</t>
  </si>
  <si>
    <t xml:space="preserve"> Top 6 BTC/USD Exchange Orderbooks: Resistance til $8700:$14.5M; Support til $8100:$18.4M $BTC $BTCUSD </t>
  </si>
  <si>
    <t xml:space="preserve"> l****t </t>
  </si>
  <si>
    <t xml:space="preserve"> Switzerland</t>
  </si>
  <si>
    <t xml:space="preserve"> Sat Feb 03 2018 11:45:30</t>
  </si>
  <si>
    <t xml:space="preserve"> Anyone selling nano ledger hardware wallet I'm in England. </t>
  </si>
  <si>
    <t xml:space="preserve"> a****f </t>
  </si>
  <si>
    <t xml:space="preserve"> England</t>
  </si>
  <si>
    <t xml:space="preserve"> Sat Feb 03 2018 11:45:37</t>
  </si>
  <si>
    <t xml:space="preserve"> Good for you. So are there no miners with who believe in bitcoin?</t>
  </si>
  <si>
    <t xml:space="preserve"> Sat Feb 03 2018 11:45:52</t>
  </si>
  <si>
    <t xml:space="preserve"> Top 6 BTC/USD Exchange Orderbooks: Resistance til $8600:$15.5M; Support til $7900:$40.1M $BTC $BTCUSD </t>
  </si>
  <si>
    <t xml:space="preserve"> Sat Feb 03 2018 11:47:25</t>
  </si>
  <si>
    <t xml:space="preserve"> Damn fine time for paying personal debt in bitcoin is what Id say.</t>
  </si>
  <si>
    <t xml:space="preserve"> d****6 </t>
  </si>
  <si>
    <t xml:space="preserve"> Planiverse</t>
  </si>
  <si>
    <t xml:space="preserve"> Sat Feb 03 2018 11:47:31</t>
  </si>
  <si>
    <t xml:space="preserve"> $xvg good green day guys! verge the next bitcoin but better is coming! </t>
  </si>
  <si>
    <t xml:space="preserve"> d****j </t>
  </si>
  <si>
    <t xml:space="preserve"> Sat Feb 03 2018 11:47:42</t>
  </si>
  <si>
    <t xml:space="preserve"> Cryptocurrency: Price USD: 8971.2 Price BTC: 1.0 24h Volume USD: 10259800000.0 Percent change 24h: 10.51</t>
  </si>
  <si>
    <t xml:space="preserve"> D****o </t>
  </si>
  <si>
    <t xml:space="preserve"> Sat Feb 03 2018 11:47:43</t>
  </si>
  <si>
    <t xml:space="preserve"> Overheard at an algo trading conference: Why is govt so worried about Bitcoin? Ans: Because they cant demonetise it!</t>
  </si>
  <si>
    <t xml:space="preserve"> S****k </t>
  </si>
  <si>
    <t xml:space="preserve"> BLR-BOM-DEL</t>
  </si>
  <si>
    <t xml:space="preserve"> Sat Feb 03 2018 11:47:55</t>
  </si>
  <si>
    <t xml:space="preserve"> Nothing is wrong with bitcoin</t>
  </si>
  <si>
    <t xml:space="preserve"> d****1 </t>
  </si>
  <si>
    <t xml:space="preserve"> Sat Feb 03 2018 11:48:18</t>
  </si>
  <si>
    <t xml:space="preserve"> BREAKING: calls NOT A SCAM! ;)</t>
  </si>
  <si>
    <t xml:space="preserve"> Z****K </t>
  </si>
  <si>
    <t xml:space="preserve"> Geneva &amp; Tokyo</t>
  </si>
  <si>
    <t xml:space="preserve"> Sat Feb 03 2018 11:48:51</t>
  </si>
  <si>
    <t xml:space="preserve"> Plus bitcoin is more than just a price, so yea I'm more than positive while trying to be realisitic !</t>
  </si>
  <si>
    <t xml:space="preserve"> _****_ </t>
  </si>
  <si>
    <t xml:space="preserve"> Sat Feb 03 2018 11:49:11</t>
  </si>
  <si>
    <t xml:space="preserve"> THS SCAMMM !!!!! REAL FRSTBLOOD TWEETTEE ADRESS FRSBLOOD.O </t>
  </si>
  <si>
    <t xml:space="preserve"> t****0 </t>
  </si>
  <si>
    <t xml:space="preserve"> Sat Feb 03 2018 11:49:08</t>
  </si>
  <si>
    <t xml:space="preserve"> Check out this spreadsheet of high quality ! Instant withdrawls of </t>
  </si>
  <si>
    <t xml:space="preserve"> Cambodia</t>
  </si>
  <si>
    <t xml:space="preserve"> Sat Feb 03 2018 11:49:16</t>
  </si>
  <si>
    <t xml:space="preserve"> Yup, Bitcoin is in fact nothing more than a Cryptokittie.</t>
  </si>
  <si>
    <t xml:space="preserve"> B****2 </t>
  </si>
  <si>
    <t xml:space="preserve"> Sat Feb 03 2018 11:49:20</t>
  </si>
  <si>
    <t xml:space="preserve"> is real , but will win because of hub-node profit. Bitcoin will explode soon soon.....</t>
  </si>
  <si>
    <t xml:space="preserve"> S****c </t>
  </si>
  <si>
    <t xml:space="preserve"> Sat Feb 03 2018 11:49:25</t>
  </si>
  <si>
    <t xml:space="preserve"> Cheers Barry bitcoin.</t>
  </si>
  <si>
    <t xml:space="preserve"> C****4 </t>
  </si>
  <si>
    <t xml:space="preserve"> Sat Feb 03 2018 11:49:34</t>
  </si>
  <si>
    <t xml:space="preserve"> You need around 12-13 bitcoin to buy a Huracan. Hope we are going to 6-7k so I can buy a ton. </t>
  </si>
  <si>
    <t xml:space="preserve"> H****o </t>
  </si>
  <si>
    <t xml:space="preserve"> Hermosa Beach, CA</t>
  </si>
  <si>
    <t xml:space="preserve"> Sat Feb 03 2018 11:49:39</t>
  </si>
  <si>
    <t xml:space="preserve"> Optimal tx fee: 65 satoshi per byte. BTC : $8931 / 7166 / 6324 Block 507423. Market Cap: 148.11B USD. </t>
  </si>
  <si>
    <t xml:space="preserve"> S****t </t>
  </si>
  <si>
    <t xml:space="preserve"> Blockchain - FI - US</t>
  </si>
  <si>
    <t xml:space="preserve"> Sat Feb 03 2018 11:49:49</t>
  </si>
  <si>
    <t xml:space="preserve"> Taipei Taps IOTA Blockchain Tech for Smart City Upgrade </t>
  </si>
  <si>
    <t xml:space="preserve"> C****h </t>
  </si>
  <si>
    <t xml:space="preserve"> Based on Spain</t>
  </si>
  <si>
    <t xml:space="preserve"> Sat Feb 03 2018 11:49:53</t>
  </si>
  <si>
    <t xml:space="preserve"> Cant wait to see the fomo this next month jump back in after they shat themselves and sold out $trx</t>
  </si>
  <si>
    <t xml:space="preserve"> j****9 </t>
  </si>
  <si>
    <t xml:space="preserve"> Moon</t>
  </si>
  <si>
    <t xml:space="preserve"> Sat Feb 03 2018 11:50:37</t>
  </si>
  <si>
    <t xml:space="preserve"> is a criminals playground! What are you hiding?</t>
  </si>
  <si>
    <t xml:space="preserve"> i****z </t>
  </si>
  <si>
    <t xml:space="preserve"> Sat Feb 03 2018 11:51:04</t>
  </si>
  <si>
    <t xml:space="preserve"> The Current Bitcoin Price is 0.00011236 BTC for $1 USD </t>
  </si>
  <si>
    <t xml:space="preserve"> G****r </t>
  </si>
  <si>
    <t xml:space="preserve"> Global</t>
  </si>
  <si>
    <t xml:space="preserve"> Sat Feb 03 2018 11:51:53</t>
  </si>
  <si>
    <t xml:space="preserve"> Bitcoin $BTC Neo $NEO Elastos $ELA Icon $ICX Ethereum Classic $ETC Iota $IOTA Trinity Network Credit $TNC Tron (lol, just kidding)</t>
  </si>
  <si>
    <t xml:space="preserve"> Ireland</t>
  </si>
  <si>
    <t xml:space="preserve"> Sat Feb 03 2018 11:52:06</t>
  </si>
  <si>
    <t xml:space="preserve"> Of course is going over $20k. And going to zero.</t>
  </si>
  <si>
    <t xml:space="preserve"> r****n </t>
  </si>
  <si>
    <t xml:space="preserve"> Sat Feb 03 2018 11:52:15</t>
  </si>
  <si>
    <t xml:space="preserve"> Millennials own Bitcoin!!!</t>
  </si>
  <si>
    <t xml:space="preserve"> Sat Feb 03 2018 11:52:31</t>
  </si>
  <si>
    <t xml:space="preserve"> I want to say Bitcoin is recovering, but I only want to say it because if I say it is I might jinx it. </t>
  </si>
  <si>
    <t xml:space="preserve"> j****s </t>
  </si>
  <si>
    <t xml:space="preserve"> Some Place</t>
  </si>
  <si>
    <t xml:space="preserve"> Sat Feb 03 2018 11:53:00</t>
  </si>
  <si>
    <t xml:space="preserve"> Be a big </t>
  </si>
  <si>
    <t xml:space="preserve"> Sat Feb 03 2018 11:53:09</t>
  </si>
  <si>
    <t xml:space="preserve"> Is DEAD? seems to think so. Please reply</t>
  </si>
  <si>
    <t xml:space="preserve"> s****4 </t>
  </si>
  <si>
    <t xml:space="preserve"> Standing Upright in the Lords Grace</t>
  </si>
  <si>
    <t xml:space="preserve"> Sat Feb 03 2018 11:53:12</t>
  </si>
  <si>
    <t xml:space="preserve"> This is the spirit behind bitcoin</t>
  </si>
  <si>
    <t xml:space="preserve"> k****T </t>
  </si>
  <si>
    <t xml:space="preserve"> Zimbabwe</t>
  </si>
  <si>
    <t xml:space="preserve"> Sat Feb 03 2018 11:53:16</t>
  </si>
  <si>
    <t xml:space="preserve"> a guide to buy for beginners: don't.</t>
  </si>
  <si>
    <t xml:space="preserve"> M****y </t>
  </si>
  <si>
    <t xml:space="preserve"> Valhalla</t>
  </si>
  <si>
    <t xml:space="preserve"> Sat Feb 03 2018 11:53:41</t>
  </si>
  <si>
    <t xml:space="preserve"> buy when there's blood in the streets $btc</t>
  </si>
  <si>
    <t xml:space="preserve"> p****g </t>
  </si>
  <si>
    <t xml:space="preserve"> Sat Feb 03 2018 11:53:42</t>
  </si>
  <si>
    <t xml:space="preserve"> .: What are Asian governments doing to crack down on bitcoin? Heres , on</t>
  </si>
  <si>
    <t xml:space="preserve"> t****1 </t>
  </si>
  <si>
    <t xml:space="preserve"> Sat Feb 03 2018 11:54:27</t>
  </si>
  <si>
    <t xml:space="preserve"> Bitcoin trying to rally right now...Hopefully your plays are doing well.</t>
  </si>
  <si>
    <t xml:space="preserve"> Fuenlabrada, Spain</t>
  </si>
  <si>
    <t xml:space="preserve"> Sat Feb 03 2018 11:54:44</t>
  </si>
  <si>
    <t xml:space="preserve"> Bitcoin will spoil your milk!</t>
  </si>
  <si>
    <t xml:space="preserve"> J****d </t>
  </si>
  <si>
    <t xml:space="preserve"> Bergen, Norway</t>
  </si>
  <si>
    <t xml:space="preserve"> Sat Feb 03 2018 11:55:04</t>
  </si>
  <si>
    <t xml:space="preserve"> THE MOST INNOVATIVE AND LUCRATIVE WAY TO EARN BITCOIN JOIN BITCLUB NETWORK!</t>
  </si>
  <si>
    <t xml:space="preserve"> t****2 </t>
  </si>
  <si>
    <t xml:space="preserve"> Sat Feb 03 2018 11:55:49</t>
  </si>
  <si>
    <t xml:space="preserve"> I thought Bitcoin is different, and the hype cycle does not apply. Looks like I was wrong.</t>
  </si>
  <si>
    <t xml:space="preserve"> e****i </t>
  </si>
  <si>
    <t xml:space="preserve"> asgardia</t>
  </si>
  <si>
    <t xml:space="preserve"> Sat Feb 03 2018 11:56:52</t>
  </si>
  <si>
    <t xml:space="preserve"> How much AUD is 500 bitcoin? (I have no idea how it works)</t>
  </si>
  <si>
    <t xml:space="preserve"> x****8 </t>
  </si>
  <si>
    <t xml:space="preserve"> Melbourne, Australia</t>
  </si>
  <si>
    <t xml:space="preserve"> Sat Feb 03 2018 11:57:13</t>
  </si>
  <si>
    <t xml:space="preserve"> Zynga Helps Build Bitcoin Buzz But Dont Get Carried Away Yet. - MoneyBeat - WSJ via</t>
  </si>
  <si>
    <t xml:space="preserve"> Sat Feb 03 2018 11:57:32</t>
  </si>
  <si>
    <t xml:space="preserve"> Sell all your bitcoins. It will moonshot. </t>
  </si>
  <si>
    <t xml:space="preserve"> Sat Feb 03 2018 11:57:37</t>
  </si>
  <si>
    <t xml:space="preserve"> So if satoshi sells his bitcoins does that mean bitcoin will die </t>
  </si>
  <si>
    <t xml:space="preserve"> A****b </t>
  </si>
  <si>
    <t xml:space="preserve"> every where </t>
  </si>
  <si>
    <t xml:space="preserve"> Sat Feb 03 2018 11:57:47</t>
  </si>
  <si>
    <t xml:space="preserve"> Did you buy on the dip? $8,879.61 Up 10.733%</t>
  </si>
  <si>
    <t xml:space="preserve"> b****y </t>
  </si>
  <si>
    <t xml:space="preserve"> Johannesburg</t>
  </si>
  <si>
    <t xml:space="preserve"> Sat Feb 03 2018 11:58:00</t>
  </si>
  <si>
    <t xml:space="preserve"> CryptoCompare Bitcoin price changed +1.01% to $9053.92 </t>
  </si>
  <si>
    <t xml:space="preserve"> Sat Feb 03 2018 11:59:39</t>
  </si>
  <si>
    <t xml:space="preserve"> Got advised to invest in bitcoin so many times and I'm still glad I didn't. Too volatile for me</t>
  </si>
  <si>
    <t xml:space="preserve"> Greenhithe, Kent</t>
  </si>
  <si>
    <t xml:space="preserve"> Sat Feb 03 2018 12:00:00</t>
  </si>
  <si>
    <t xml:space="preserve"> , Bitcoin with unit price of $8,976.74, market cap of $151,193,319,774 (34.78%), and 24 hr vol. of $10,138,100,000 (31.58%)</t>
  </si>
  <si>
    <t xml:space="preserve"> C****y </t>
  </si>
  <si>
    <t xml:space="preserve"> Sat Feb 03 2018 12:00:01</t>
  </si>
  <si>
    <t xml:space="preserve"> Average Bitcoin market price is: USD 9,076.85, EUR 7,288.80</t>
  </si>
  <si>
    <t xml:space="preserve"> b****7 </t>
  </si>
  <si>
    <t xml:space="preserve"> International</t>
  </si>
  <si>
    <t xml:space="preserve"> Sat Feb 03 2018 12:00:02</t>
  </si>
  <si>
    <t xml:space="preserve"> Market Capitalizations(Total): $ 432 568 774 635 $BTC Dominance: 34.87%</t>
  </si>
  <si>
    <t xml:space="preserve"> f****r </t>
  </si>
  <si>
    <t xml:space="preserve"> New York, USA</t>
  </si>
  <si>
    <t xml:space="preserve"> Current BTC Dominance: 34.78% </t>
  </si>
  <si>
    <t xml:space="preserve"> B****e </t>
  </si>
  <si>
    <t xml:space="preserve"> Blockchain</t>
  </si>
  <si>
    <t xml:space="preserve"> The average price of Bitcoin across all exchanges is 8,954.81 USD</t>
  </si>
  <si>
    <t xml:space="preserve"> b****d </t>
  </si>
  <si>
    <t xml:space="preserve"> Sat Feb 03 2018 12:00:03</t>
  </si>
  <si>
    <t xml:space="preserve"> Bitcoin:$8954.81 Ethereum:$949.575 Bitcoin Cash:$1215.91 Litecoin:$134.939 Ripple:$0.880439 IOTA:$1.91307</t>
  </si>
  <si>
    <t xml:space="preserve"> Sat Feb 03 2018 12:00:04</t>
  </si>
  <si>
    <t xml:space="preserve"> Feb 03, 2018 04:00AM Price: USD 8512.84 | EUR 6850.94 | JPY 917703.70</t>
  </si>
  <si>
    <t xml:space="preserve"> The World</t>
  </si>
  <si>
    <t xml:space="preserve"> Sat Feb 03 2018 12:00:05</t>
  </si>
  <si>
    <t xml:space="preserve"> The price of is currently $8954.8100 $BTC</t>
  </si>
  <si>
    <t xml:space="preserve"> c****a </t>
  </si>
  <si>
    <t xml:space="preserve"> 1 Bitcoin = 7335 Euro</t>
  </si>
  <si>
    <t xml:space="preserve"> d****r </t>
  </si>
  <si>
    <t xml:space="preserve"> Berlin, Deutschland</t>
  </si>
  <si>
    <t xml:space="preserve"> Sat Feb 03 2018 12:00:12</t>
  </si>
  <si>
    <t xml:space="preserve"> just unistall bitcoin core and switch to bitcoin abc</t>
  </si>
  <si>
    <t xml:space="preserve"> p****t </t>
  </si>
  <si>
    <t xml:space="preserve"> Sat Feb 03 2018 12:00:14</t>
  </si>
  <si>
    <t xml:space="preserve"> Top 6 BTC/USD Exchange Orderbooks: Resistance til $9400:$30.9M; Support til $8700:$16.8M $BTC $BTCUSD </t>
  </si>
  <si>
    <t xml:space="preserve"> C****e </t>
  </si>
  <si>
    <t xml:space="preserve"> Sat Feb 03 2018 12:00:18</t>
  </si>
  <si>
    <t xml:space="preserve"> Bitcoin Price: $8954.81 [USD] 1hr - change: 1.95% 1day - trend: 10.22% 1week - trend: -20.36% Remaining Supply: 19.796% </t>
  </si>
  <si>
    <t xml:space="preserve"> B****y </t>
  </si>
  <si>
    <t xml:space="preserve"> Everywhere</t>
  </si>
  <si>
    <t xml:space="preserve"> Sat Feb 03 2018 12:00:22</t>
  </si>
  <si>
    <t xml:space="preserve"> I just put some extra cash onto binance. Thoughts on ideal coins to invest in? Or leave it as bitcoin? </t>
  </si>
  <si>
    <t xml:space="preserve"> r****e </t>
  </si>
  <si>
    <t xml:space="preserve"> Sat Feb 03 2018 12:00:29</t>
  </si>
  <si>
    <t xml:space="preserve"> The latest price is $9,016.97. Price is up from $8,838.29.</t>
  </si>
  <si>
    <t xml:space="preserve"> t****w </t>
  </si>
  <si>
    <t xml:space="preserve"> San Diego, CA</t>
  </si>
  <si>
    <t xml:space="preserve"> Sat Feb 03 2018 12:00:31</t>
  </si>
  <si>
    <t xml:space="preserve"> BTC hourly update $9062.60 | +0.0270% $BTC </t>
  </si>
  <si>
    <t xml:space="preserve"> Sat Feb 03 2018 12:00:39</t>
  </si>
  <si>
    <t xml:space="preserve"> Current price of Bitcoin is $9028.00 Like if thats good for you and retweet if thats not good for you </t>
  </si>
  <si>
    <t xml:space="preserve"> B****0 </t>
  </si>
  <si>
    <t xml:space="preserve"> Nottingham</t>
  </si>
  <si>
    <t xml:space="preserve"> Sat Feb 03 2018 12:00:56</t>
  </si>
  <si>
    <t xml:space="preserve"> IT's almost time for Tokensale for will start on Feb 7, 2018.</t>
  </si>
  <si>
    <t xml:space="preserve"> T****o </t>
  </si>
  <si>
    <t xml:space="preserve"> Sat Feb 03 2018 12:00:57</t>
  </si>
  <si>
    <t xml:space="preserve"> just bitcoin? get your fact straights before spewing nonsense. $btc</t>
  </si>
  <si>
    <t xml:space="preserve"> t****s </t>
  </si>
  <si>
    <t xml:space="preserve"> safjrur, Iceland</t>
  </si>
  <si>
    <t xml:space="preserve"> Sat Feb 03 2018 12:01:03</t>
  </si>
  <si>
    <t xml:space="preserve"> Push it up ! </t>
  </si>
  <si>
    <t xml:space="preserve"> E****y </t>
  </si>
  <si>
    <t xml:space="preserve"> dago-bert, Duck</t>
  </si>
  <si>
    <t xml:space="preserve"> Sat Feb 03 2018 12:01:02</t>
  </si>
  <si>
    <t xml:space="preserve"> Latest Bitcoin Price: $9051.47 USD for 1 BTC </t>
  </si>
  <si>
    <t xml:space="preserve"> Sat Feb 03 2018 12:01:04</t>
  </si>
  <si>
    <t xml:space="preserve"> Current price of Bitcoin is $9028.00</t>
  </si>
  <si>
    <t xml:space="preserve"> B****o </t>
  </si>
  <si>
    <t xml:space="preserve"> WorldWide</t>
  </si>
  <si>
    <t xml:space="preserve"> Sat Feb 03 2018 12:01:07</t>
  </si>
  <si>
    <t xml:space="preserve"> . As long as you use you don't fully understand your intervieuw. </t>
  </si>
  <si>
    <t xml:space="preserve"> Sat Feb 03 2018 12:01:47</t>
  </si>
  <si>
    <t xml:space="preserve"> Current price of Bitcoin is $9028.00 - please Like/RT - Thanks </t>
  </si>
  <si>
    <t xml:space="preserve"> B****x </t>
  </si>
  <si>
    <t xml:space="preserve"> Data from Bloomberg and Apple</t>
  </si>
  <si>
    <t xml:space="preserve"> Sat Feb 03 2018 12:01:50</t>
  </si>
  <si>
    <t xml:space="preserve"> Bitcoin and the whole crypto market could benefit from the Dow crash. </t>
  </si>
  <si>
    <t xml:space="preserve"> K****t </t>
  </si>
  <si>
    <t xml:space="preserve"> Sat Feb 03 2018 12:01:56</t>
  </si>
  <si>
    <t xml:space="preserve"> unless we close above 9900 on ... i'll remain bearish</t>
  </si>
  <si>
    <t xml:space="preserve"> v****x </t>
  </si>
  <si>
    <t xml:space="preserve"> Sat Feb 03 2018 12:02:06</t>
  </si>
  <si>
    <t xml:space="preserve"> Insult - You are a Bitcoin</t>
  </si>
  <si>
    <t xml:space="preserve"> Sydney, Australia</t>
  </si>
  <si>
    <t xml:space="preserve"> Sat Feb 03 2018 12:02:11</t>
  </si>
  <si>
    <t xml:space="preserve"> is going down down </t>
  </si>
  <si>
    <t xml:space="preserve"> F****i </t>
  </si>
  <si>
    <t xml:space="preserve"> 3L0H55A</t>
  </si>
  <si>
    <t xml:space="preserve"> Sat Feb 03 2018 12:02:29</t>
  </si>
  <si>
    <t xml:space="preserve"> Most positive movements in the last hour (6.69%), (6.11%), (5.51%), Attention Token(4.88%), Gold(4.58%)</t>
  </si>
  <si>
    <t xml:space="preserve"> Antwerpen, Belgi</t>
  </si>
  <si>
    <t xml:space="preserve"> nl</t>
  </si>
  <si>
    <t xml:space="preserve"> Sat Feb 03 2018 12:02:34</t>
  </si>
  <si>
    <t xml:space="preserve"> Bitcoin ve posw var</t>
  </si>
  <si>
    <t xml:space="preserve"> T****y </t>
  </si>
  <si>
    <t xml:space="preserve"> Sat Feb 03 2018 12:02:37</t>
  </si>
  <si>
    <t xml:space="preserve"> you sir, need to get your head checked out.</t>
  </si>
  <si>
    <t xml:space="preserve"> Sat Feb 03 2018 12:03:12</t>
  </si>
  <si>
    <t xml:space="preserve"> alamat Bitcoin 1AP49EXSASd17P9wBPYBs26iVtWowUY6kn</t>
  </si>
  <si>
    <t xml:space="preserve"> i****1 </t>
  </si>
  <si>
    <t xml:space="preserve"> Sat Feb 03 2018 12:03:17</t>
  </si>
  <si>
    <t xml:space="preserve"> Current price of is $9028.00</t>
  </si>
  <si>
    <t xml:space="preserve"> Sat Feb 03 2018 12:03:18</t>
  </si>
  <si>
    <t xml:space="preserve"> Retweet if you want $QASH on $binance or $kucoin </t>
  </si>
  <si>
    <t xml:space="preserve"> k****1 </t>
  </si>
  <si>
    <t xml:space="preserve"> Zuid-Holland, Nederland</t>
  </si>
  <si>
    <t xml:space="preserve"> Sat Feb 03 2018 12:03:38</t>
  </si>
  <si>
    <t xml:space="preserve"> $: (9098.00) Huge%MoveUP+ (+11%), 26DyChgHi:-47%, 0NewHi, 25:4Accel+, tf:0111111, FirmTrnd-:+100%, 5LoDays:55%</t>
  </si>
  <si>
    <t xml:space="preserve"> t****o </t>
  </si>
  <si>
    <t xml:space="preserve"> New York City</t>
  </si>
  <si>
    <t xml:space="preserve"> Sat Feb 03 2018 12:03:43</t>
  </si>
  <si>
    <t xml:space="preserve"> 10k today. $BTC</t>
  </si>
  <si>
    <t xml:space="preserve"> Sat Feb 03 2018 12:03:47</t>
  </si>
  <si>
    <t xml:space="preserve"> To clarify, my percentages are of the approx 3billion Internet users worldwide ... the total addressable market for Bitcoin currently</t>
  </si>
  <si>
    <t xml:space="preserve"> Monte-Carlo, Monaco</t>
  </si>
  <si>
    <t xml:space="preserve"> Sat Feb 03 2018 12:04:12</t>
  </si>
  <si>
    <t xml:space="preserve"> The ethereum network can overcome bitcoin in that year//</t>
  </si>
  <si>
    <t xml:space="preserve"> Sat Feb 03 2018 12:04:13</t>
  </si>
  <si>
    <t xml:space="preserve"> The amount of sarcastic texts Ive got asking me how my bitcoin is, is ridiculous. </t>
  </si>
  <si>
    <t xml:space="preserve"> Sat Feb 03 2018 12:04:23</t>
  </si>
  <si>
    <t xml:space="preserve"> Current price of Bitcoin is $9028.00.</t>
  </si>
  <si>
    <t xml:space="preserve"> Y****n </t>
  </si>
  <si>
    <t xml:space="preserve"> I'm an Idea. I am everywhere.</t>
  </si>
  <si>
    <t xml:space="preserve"> Sat Feb 03 2018 12:04:26</t>
  </si>
  <si>
    <t xml:space="preserve"> Hello BTP Team: can I earn my Bitcoin Private coins by holding my ZClassic coins within Bittrex? Thank you.</t>
  </si>
  <si>
    <t xml:space="preserve"> k****a </t>
  </si>
  <si>
    <t xml:space="preserve"> los angeles</t>
  </si>
  <si>
    <t xml:space="preserve"> Sat Feb 03 2018 12:04:46</t>
  </si>
  <si>
    <t xml:space="preserve"> Praise be the Bitcoin.</t>
  </si>
  <si>
    <t xml:space="preserve"> o****y </t>
  </si>
  <si>
    <t xml:space="preserve"> Sat Feb 03 2018 12:04:54</t>
  </si>
  <si>
    <t xml:space="preserve"> 0xEc82Ff7BE0F93BA98398EB4438DC4A36B566d999</t>
  </si>
  <si>
    <t xml:space="preserve"> S****2 </t>
  </si>
  <si>
    <t xml:space="preserve"> Sat Feb 03 2018 12:04:59</t>
  </si>
  <si>
    <t xml:space="preserve"> It's official. You will never be able to buy a bitcoin for less than $8000 again.</t>
  </si>
  <si>
    <t xml:space="preserve"> v****d </t>
  </si>
  <si>
    <t xml:space="preserve"> Sat Feb 03 2018 12:05:15</t>
  </si>
  <si>
    <t xml:space="preserve"> Bitcoin address 1AP49EXSASd17P9wBPYBs26iVtWowUY6kn</t>
  </si>
  <si>
    <t xml:space="preserve"> Sat Feb 03 2018 12:05:27</t>
  </si>
  <si>
    <t xml:space="preserve"> Let the show begin! </t>
  </si>
  <si>
    <t xml:space="preserve"> s****f </t>
  </si>
  <si>
    <t xml:space="preserve"> Sat Feb 03 2018 12:06:21</t>
  </si>
  <si>
    <t xml:space="preserve"> Bitcoin cyrpto currency</t>
  </si>
  <si>
    <t xml:space="preserve"> K****u </t>
  </si>
  <si>
    <t xml:space="preserve"> Murang'a GatangaKenya</t>
  </si>
  <si>
    <t xml:space="preserve"> Sat Feb 03 2018 12:06:42</t>
  </si>
  <si>
    <t xml:space="preserve"> I keep trying to tap Request Payment button and send myself some bitcoin . 1FJn4zTKzy9c6YYKm3AKE1akhDL1QiMSrR</t>
  </si>
  <si>
    <t xml:space="preserve"> g****r </t>
  </si>
  <si>
    <t xml:space="preserve"> Sat Feb 03 2018 12:07:01</t>
  </si>
  <si>
    <t xml:space="preserve"> what price did you first get into Bitcoin at?</t>
  </si>
  <si>
    <t xml:space="preserve"> C****s </t>
  </si>
  <si>
    <t xml:space="preserve"> California, USA</t>
  </si>
  <si>
    <t xml:space="preserve"> Sat Feb 03 2018 12:07:12</t>
  </si>
  <si>
    <t xml:space="preserve"> Does anyone have a very credible daily spot price chart please? Tia</t>
  </si>
  <si>
    <t xml:space="preserve"> Sat Feb 03 2018 12:07:23</t>
  </si>
  <si>
    <t xml:space="preserve"> Top 6 BTC/USD Exchange Orderbooks: Resistance til $8800:$15.0M; Support til $8200:$26.5M $BTC $BTCUSD </t>
  </si>
  <si>
    <t xml:space="preserve"> Sat Feb 03 2018 12:07:49</t>
  </si>
  <si>
    <t xml:space="preserve"> Dow plunges 666 points. Worst day in years. Bitcoin: Hold my beer.</t>
  </si>
  <si>
    <t xml:space="preserve"> L****n </t>
  </si>
  <si>
    <t xml:space="preserve"> NC</t>
  </si>
  <si>
    <t xml:space="preserve"> Sat Feb 03 2018 12:09:15</t>
  </si>
  <si>
    <t xml:space="preserve"> It already has I don't even see bitcoin core listed anywhere.</t>
  </si>
  <si>
    <t xml:space="preserve"> h****z </t>
  </si>
  <si>
    <t xml:space="preserve"> Cascadia</t>
  </si>
  <si>
    <t xml:space="preserve"> Sat Feb 03 2018 12:09:27</t>
  </si>
  <si>
    <t xml:space="preserve"> Bitcoin is a scam and those promoting it should be exposed</t>
  </si>
  <si>
    <t xml:space="preserve"> B****h </t>
  </si>
  <si>
    <t xml:space="preserve"> South East Queensland</t>
  </si>
  <si>
    <t xml:space="preserve"> Sat Feb 03 2018 12:09:39</t>
  </si>
  <si>
    <t xml:space="preserve"> Top 6 BTC/USD Exchange Orderbooks: Resistance til $8900:$14.9M; Support til $8300:$20.3M $BTC $BTCUSD </t>
  </si>
  <si>
    <t xml:space="preserve"> Sat Feb 03 2018 12:10:04</t>
  </si>
  <si>
    <t xml:space="preserve"> Bitcoin BTC Current Price: $8976.74 1 Hour: 2.19 % | 24 Hours: 10.31 % | 7 Days: -20.17 % </t>
  </si>
  <si>
    <t xml:space="preserve"> Sat Feb 03 2018 12:10:13</t>
  </si>
  <si>
    <t xml:space="preserve"> Bitcoin liquidity frozen it see a panic selling , historic reversal selloff below 530</t>
  </si>
  <si>
    <t xml:space="preserve"> Sat Feb 03 2018 12:10:17</t>
  </si>
  <si>
    <t xml:space="preserve"> Dont confuse Bitcoin with bitconnect...</t>
  </si>
  <si>
    <t xml:space="preserve"> M****s </t>
  </si>
  <si>
    <t xml:space="preserve"> Sat Feb 03 2018 12:10:26</t>
  </si>
  <si>
    <t xml:space="preserve"> Bitcoin beginning to show why it was so volatile to start with, looking like it will fall below 6,000.</t>
  </si>
  <si>
    <t xml:space="preserve"> D****1 </t>
  </si>
  <si>
    <t xml:space="preserve"> UK</t>
  </si>
  <si>
    <t xml:space="preserve"> Sat Feb 03 2018 12:10:31</t>
  </si>
  <si>
    <t xml:space="preserve"> Haha. Sorry, but I already exchanged all my free Bitcoin Cash to Bitcoin. Maybe next time if you catch me early enough.</t>
  </si>
  <si>
    <t xml:space="preserve"> 2****6 </t>
  </si>
  <si>
    <t xml:space="preserve"> Sat Feb 03 2018 12:10:32</t>
  </si>
  <si>
    <t xml:space="preserve"> Lost coins only make everyone else's coins worth slightly more. Think of it as a donation to everyone. - Satoshi Nakamoto </t>
  </si>
  <si>
    <t xml:space="preserve"> b****t </t>
  </si>
  <si>
    <t xml:space="preserve"> Sat Feb 03 2018 12:10:33</t>
  </si>
  <si>
    <t xml:space="preserve"> Do you think it's over? It seems over with bitcoin rising approx 1.5k</t>
  </si>
  <si>
    <t xml:space="preserve"> N****0 </t>
  </si>
  <si>
    <t xml:space="preserve"> Adelaide, South Australia</t>
  </si>
  <si>
    <t xml:space="preserve"> Sat Feb 03 2018 12:10:38</t>
  </si>
  <si>
    <t xml:space="preserve"> the coke prices up and down like it's bitcoin, holmes - jay z (lyric modified for 2018)</t>
  </si>
  <si>
    <t xml:space="preserve"> Sat Feb 03 2018 12:11:15</t>
  </si>
  <si>
    <t xml:space="preserve"> working to disrupt snack bars using augmented reality, native apps and Bitcoin</t>
  </si>
  <si>
    <t xml:space="preserve"> f****p </t>
  </si>
  <si>
    <t xml:space="preserve"> Sat Feb 03 2018 12:11:22</t>
  </si>
  <si>
    <t xml:space="preserve"> ;[ ;[ ;[ ;[...&gt;.&lt; ....[Bitcoin performance assessment (-52.81%)] </t>
  </si>
  <si>
    <t xml:space="preserve"> P****C </t>
  </si>
  <si>
    <t xml:space="preserve"> Plattsburgh, NY</t>
  </si>
  <si>
    <t xml:space="preserve"> Sat Feb 03 2018 12:11:35</t>
  </si>
  <si>
    <t xml:space="preserve"> Bitcoin under financial scrutiny to be bann for example Ico from face book</t>
  </si>
  <si>
    <t xml:space="preserve"> Sat Feb 03 2018 12:12:00</t>
  </si>
  <si>
    <t xml:space="preserve"> A week away in the French Alps, just saw bitcoin... TOLD YOU, sigh. How much did you lose because you didn't listen?</t>
  </si>
  <si>
    <t xml:space="preserve"> T****e </t>
  </si>
  <si>
    <t xml:space="preserve"> Berlin, Germany</t>
  </si>
  <si>
    <t xml:space="preserve"> Sat Feb 03 2018 12:12:05</t>
  </si>
  <si>
    <t xml:space="preserve"> bitcoin prediction video still unavailable ?</t>
  </si>
  <si>
    <t xml:space="preserve"> Sat Feb 03 2018 12:12:24</t>
  </si>
  <si>
    <t xml:space="preserve"> After a small recovery $xvg going up like a hungry beast. Bitcoin cash will follow.</t>
  </si>
  <si>
    <t xml:space="preserve"> m****0 </t>
  </si>
  <si>
    <t xml:space="preserve"> Sat Feb 03 2018 12:13:12</t>
  </si>
  <si>
    <t xml:space="preserve"> No I mean I have about 500 aud of Bitcoin. If I had 500 btc I would be a multimillionaire</t>
  </si>
  <si>
    <t xml:space="preserve"> m****s </t>
  </si>
  <si>
    <t xml:space="preserve"> Sat Feb 03 2018 12:13:39</t>
  </si>
  <si>
    <t xml:space="preserve"> bitcoin price $9K. now im happy i didn't know how to invest my $200 when it was at $19K LUL.</t>
  </si>
  <si>
    <t xml:space="preserve"> h****o </t>
  </si>
  <si>
    <t xml:space="preserve"> Sat Feb 03 2018 12:13:52</t>
  </si>
  <si>
    <t xml:space="preserve"> New Bitcoin?</t>
  </si>
  <si>
    <t xml:space="preserve"> c****n </t>
  </si>
  <si>
    <t xml:space="preserve"> Wellington City, New Zealand</t>
  </si>
  <si>
    <t xml:space="preserve"> Sat Feb 03 2018 12:13:54</t>
  </si>
  <si>
    <t xml:space="preserve"> Like Bitcoin right now</t>
  </si>
  <si>
    <t xml:space="preserve"> b****a </t>
  </si>
  <si>
    <t xml:space="preserve"> Sat Feb 03 2018 12:14:09</t>
  </si>
  <si>
    <t xml:space="preserve"> Current price of Bitcoin is $9028.00 </t>
  </si>
  <si>
    <t xml:space="preserve"> Sat Feb 03 2018 12:14:39</t>
  </si>
  <si>
    <t xml:space="preserve"> bahahahahaha! They all secretly own bitcoin, probably all stored in a Ledger Nano hardwallet</t>
  </si>
  <si>
    <t xml:space="preserve"> Sat Feb 03 2018 12:15:01</t>
  </si>
  <si>
    <t xml:space="preserve"> The current price of Bitcoin is $9028.06. The current price of BCash is $1222.75, or 0.135026 BTC</t>
  </si>
  <si>
    <t xml:space="preserve"> Sat Feb 03 2018 12:15:10</t>
  </si>
  <si>
    <t xml:space="preserve"> This is great Ivan! I think this provides the best quick view of the state of the bitcoin network and dev progress.</t>
  </si>
  <si>
    <t xml:space="preserve"> D****s </t>
  </si>
  <si>
    <t xml:space="preserve"> Sat Feb 03 2018 12:16:25</t>
  </si>
  <si>
    <t xml:space="preserve"> Now it is hurting PC gamers by pushing up $GPU prices </t>
  </si>
  <si>
    <t xml:space="preserve"> Sat Feb 03 2018 12:16:50</t>
  </si>
  <si>
    <t xml:space="preserve"> Is Bcash like bitcoin but without the cool stuff?</t>
  </si>
  <si>
    <t xml:space="preserve"> u****y </t>
  </si>
  <si>
    <t xml:space="preserve"> Sat Feb 03 2018 12:17:03</t>
  </si>
  <si>
    <t xml:space="preserve"> Bitcoin Cash BCH Current Price: $1226.81 1 Hour: 3.82 % | 24 Hours: 14.43 % | 7 Days: -23.88 % cash</t>
  </si>
  <si>
    <t xml:space="preserve"> Sat Feb 03 2018 12:17:30</t>
  </si>
  <si>
    <t xml:space="preserve"> Bitcoin Don Crash.</t>
  </si>
  <si>
    <t xml:space="preserve"> H****S </t>
  </si>
  <si>
    <t xml:space="preserve"> Gombe, Nigeria</t>
  </si>
  <si>
    <t xml:space="preserve"> Sat Feb 03 2018 12:18:05</t>
  </si>
  <si>
    <t xml:space="preserve"> I might of bought your colleagues Bitcoin. Please thank him for me </t>
  </si>
  <si>
    <t xml:space="preserve"> G****n </t>
  </si>
  <si>
    <t xml:space="preserve"> Mauritius</t>
  </si>
  <si>
    <t xml:space="preserve"> Sat Feb 03 2018 12:18:06</t>
  </si>
  <si>
    <t xml:space="preserve"> So its like Bitcoin but without the developers and users. Got it </t>
  </si>
  <si>
    <t xml:space="preserve"> Sat Feb 03 2018 12:18:09</t>
  </si>
  <si>
    <t xml:space="preserve"> Bitcoin has these morons buying a bunch of penny stocks and posting em everyday cause they think they the wolf of Wall Street now</t>
  </si>
  <si>
    <t xml:space="preserve"> G****e </t>
  </si>
  <si>
    <t xml:space="preserve"> Bronx, NY</t>
  </si>
  <si>
    <t xml:space="preserve"> Sat Feb 03 2018 12:19:45</t>
  </si>
  <si>
    <t xml:space="preserve"> where you can turn your knowledge to real asset. </t>
  </si>
  <si>
    <t xml:space="preserve"> p****9 </t>
  </si>
  <si>
    <t xml:space="preserve"> Sat Feb 03 2018 12:20:01</t>
  </si>
  <si>
    <t xml:space="preserve"> BTC-RCN AskRate: 0.00002298 $RCN Credit Network FOLLOW for PROFIT</t>
  </si>
  <si>
    <t xml:space="preserve"> Sat Feb 03 2018 12:20:34</t>
  </si>
  <si>
    <t xml:space="preserve"> At first glance i thought that was the bitcoin chart</t>
  </si>
  <si>
    <t xml:space="preserve"> s****g </t>
  </si>
  <si>
    <t xml:space="preserve"> Sat Feb 03 2018 12:20:46</t>
  </si>
  <si>
    <t xml:space="preserve"> I hope you filled your bags while the sale lasted etc.</t>
  </si>
  <si>
    <t xml:space="preserve"> f****n </t>
  </si>
  <si>
    <t xml:space="preserve"> Sat Feb 03 2018 12:21:12</t>
  </si>
  <si>
    <t xml:space="preserve"> feel bad for the all people that bought a bunch of bitcoin after hearing about it on talk radio for the first time like 2 months ago</t>
  </si>
  <si>
    <t xml:space="preserve"> j****h </t>
  </si>
  <si>
    <t xml:space="preserve"> Sat Feb 03 2018 12:21:13</t>
  </si>
  <si>
    <t xml:space="preserve"> Lost password of your valuable Bitcoin password, Get help from </t>
  </si>
  <si>
    <t xml:space="preserve"> W****k </t>
  </si>
  <si>
    <t xml:space="preserve"> World</t>
  </si>
  <si>
    <t xml:space="preserve"> Sat Feb 03 2018 12:21:22</t>
  </si>
  <si>
    <t xml:space="preserve"> Bitcoin/Crypto decline started after listing of bitcoin futures. There you'll find a key...</t>
  </si>
  <si>
    <t xml:space="preserve"> V****n </t>
  </si>
  <si>
    <t xml:space="preserve"> Belgium</t>
  </si>
  <si>
    <t xml:space="preserve"> Sat Feb 03 2018 12:21:27</t>
  </si>
  <si>
    <t xml:space="preserve"> Shouldn't you be busy mining bitcoin?</t>
  </si>
  <si>
    <t xml:space="preserve"> p****y </t>
  </si>
  <si>
    <t xml:space="preserve"> Toronto</t>
  </si>
  <si>
    <t xml:space="preserve"> Sat Feb 03 2018 12:22:06</t>
  </si>
  <si>
    <t xml:space="preserve"> Looks like the whole market is bouncing back fron a major correction. Green days ahead. </t>
  </si>
  <si>
    <t xml:space="preserve"> E****u </t>
  </si>
  <si>
    <t xml:space="preserve"> Tallinn, Estonia</t>
  </si>
  <si>
    <t xml:space="preserve"> Sat Feb 03 2018 12:22:37</t>
  </si>
  <si>
    <t xml:space="preserve"> Thank you for recommending it. :) Also, how long do you think Bitcoin is going to hangout at 9000 range?</t>
  </si>
  <si>
    <t xml:space="preserve"> A****y </t>
  </si>
  <si>
    <t xml:space="preserve"> Sat Feb 03 2018 12:22:44</t>
  </si>
  <si>
    <t xml:space="preserve"> Take two bitcoin with water</t>
  </si>
  <si>
    <t xml:space="preserve"> x****W </t>
  </si>
  <si>
    <t xml:space="preserve"> Bournemouth, England</t>
  </si>
  <si>
    <t xml:space="preserve"> Sat Feb 03 2018 12:23:11</t>
  </si>
  <si>
    <t xml:space="preserve"> Seems to me you dont what is..but please, continue to demonstrate that.</t>
  </si>
  <si>
    <t xml:space="preserve"> g****l </t>
  </si>
  <si>
    <t xml:space="preserve"> Chiang Mai, Thailand</t>
  </si>
  <si>
    <t xml:space="preserve"> Sat Feb 03 2018 12:24:04</t>
  </si>
  <si>
    <t xml:space="preserve"> Did you buy bitcoin? :)</t>
  </si>
  <si>
    <t xml:space="preserve"> Z****i </t>
  </si>
  <si>
    <t xml:space="preserve"> Karachi, Pakistan</t>
  </si>
  <si>
    <t xml:space="preserve"> $1 USD is currently worth 0.00011173 BTC! </t>
  </si>
  <si>
    <t xml:space="preserve"> Sat Feb 03 2018 12:24:38</t>
  </si>
  <si>
    <t xml:space="preserve"> I swear its like every person involved in Wall Street throws away all common sense when it comes to Bitcoin. They're either afraid, or dumb.</t>
  </si>
  <si>
    <t xml:space="preserve"> G****9 </t>
  </si>
  <si>
    <t xml:space="preserve"> Sat Feb 03 2018 12:24:42</t>
  </si>
  <si>
    <t xml:space="preserve"> Whats's is this all about? Bitcoin Cash is definitely undervalued.</t>
  </si>
  <si>
    <t xml:space="preserve"> S****i </t>
  </si>
  <si>
    <t xml:space="preserve"> Sat Feb 03 2018 12:24:54</t>
  </si>
  <si>
    <t xml:space="preserve"> why is there a unicode bitcoin symbol</t>
  </si>
  <si>
    <t xml:space="preserve"> a****6 </t>
  </si>
  <si>
    <t xml:space="preserve"> Sat Feb 03 2018 12:25:07</t>
  </si>
  <si>
    <t xml:space="preserve"> Current price of Bitcoin is $8745.02 </t>
  </si>
  <si>
    <t xml:space="preserve"> Sat Feb 03 2018 12:25:45</t>
  </si>
  <si>
    <t xml:space="preserve"> Do not miss the bonus Token sale. </t>
  </si>
  <si>
    <t xml:space="preserve"> uk</t>
  </si>
  <si>
    <t xml:space="preserve"> Sat Feb 03 2018 12:25:57</t>
  </si>
  <si>
    <t xml:space="preserve"> Big boost for . Just read that has started accepting Bitcoin as payment.</t>
  </si>
  <si>
    <t xml:space="preserve"> J****B </t>
  </si>
  <si>
    <t xml:space="preserve"> Sat Feb 03 2018 12:26:22</t>
  </si>
  <si>
    <t xml:space="preserve"> because the government and bitcoin are best friends</t>
  </si>
  <si>
    <t xml:space="preserve"> j****r </t>
  </si>
  <si>
    <t xml:space="preserve"> Sat Feb 03 2018 12:27:40</t>
  </si>
  <si>
    <t xml:space="preserve"> I joked about Bitcoin in my Tinder bio and it has ruined my targeted ads</t>
  </si>
  <si>
    <t xml:space="preserve"> c****2 </t>
  </si>
  <si>
    <t xml:space="preserve"> Sat Feb 03 2018 12:27:42</t>
  </si>
  <si>
    <t xml:space="preserve"> Bitcoin is crashing rapidly. Cryptocurrency sell-off intensifies...</t>
  </si>
  <si>
    <t xml:space="preserve"> w****t </t>
  </si>
  <si>
    <t xml:space="preserve"> Sat Feb 03 2018 12:27:46</t>
  </si>
  <si>
    <t xml:space="preserve"> In 2009, Satoshi Nakamoto released the first Bitcoin client and issued the first Bitcoins.</t>
  </si>
  <si>
    <t xml:space="preserve"> Sat Feb 03 2018 12:28:59</t>
  </si>
  <si>
    <t xml:space="preserve"> Was your twitter account hacked? Even crypto?? LOL </t>
  </si>
  <si>
    <t xml:space="preserve"> B****s </t>
  </si>
  <si>
    <t xml:space="preserve"> Sat Feb 03 2018 12:29:26</t>
  </si>
  <si>
    <t xml:space="preserve"> What about a bear market in Bitcoin dominance? How long will it last???</t>
  </si>
  <si>
    <t xml:space="preserve"> A****a </t>
  </si>
  <si>
    <t xml:space="preserve"> Sat Feb 03 2018 12:30:02</t>
  </si>
  <si>
    <t xml:space="preserve"> Bitcoin:$8980.5 Ethereum:$948.876 Bitcoin Cash:$1216.6 Litecoin:$135.342 Ripple:$0.892628 IOTA:$1.88966</t>
  </si>
  <si>
    <t xml:space="preserve"> Sat Feb 03 2018 12:30:04</t>
  </si>
  <si>
    <t xml:space="preserve"> I dont trade, when I cannot make the market clear. This is seriously important. </t>
  </si>
  <si>
    <t xml:space="preserve"> 8****k </t>
  </si>
  <si>
    <t xml:space="preserve"> Sat Feb 03 2018 12:30:19</t>
  </si>
  <si>
    <t xml:space="preserve"> Shorting Bitcoin is probably the worst financial move that I can think of, since it can jump 1,000% in a year.</t>
  </si>
  <si>
    <t xml:space="preserve"> B****7 </t>
  </si>
  <si>
    <t xml:space="preserve"> Sat Feb 03 2018 12:30:27</t>
  </si>
  <si>
    <t xml:space="preserve"> Bitcoin boom is a 'gold rush' for cybercriminals </t>
  </si>
  <si>
    <t xml:space="preserve"> A****l </t>
  </si>
  <si>
    <t xml:space="preserve"> Bucharest, Bucureti</t>
  </si>
  <si>
    <t xml:space="preserve"> Sat Feb 03 2018 12:30:31</t>
  </si>
  <si>
    <t xml:space="preserve"> thoughts on Bitcoin Private? Thanks</t>
  </si>
  <si>
    <t xml:space="preserve"> C****d </t>
  </si>
  <si>
    <t xml:space="preserve"> Sat Feb 03 2018 12:30:52</t>
  </si>
  <si>
    <t xml:space="preserve"> Nope</t>
  </si>
  <si>
    <t xml:space="preserve"> Sat Feb 03 2018 12:31:10</t>
  </si>
  <si>
    <t xml:space="preserve"> Are you really trying to undermine the lightning sign use regarding bitcoin related user namers? Damn dude you are pathetic </t>
  </si>
  <si>
    <t xml:space="preserve"> _****k </t>
  </si>
  <si>
    <t xml:space="preserve"> Sat Feb 03 2018 12:31:13</t>
  </si>
  <si>
    <t xml:space="preserve"> Hello humans, is currently around $8966.6 as of Sat Feb 3 06:31:09 CST 2018</t>
  </si>
  <si>
    <t xml:space="preserve"> Sat Feb 03 2018 12:31:19</t>
  </si>
  <si>
    <t xml:space="preserve"> Bitcoin Atom [BCA] balances (1:1 btc) will be added on 505,888 block</t>
  </si>
  <si>
    <t xml:space="preserve"> A****t </t>
  </si>
  <si>
    <t xml:space="preserve"> Sat Feb 03 2018 12:31:28</t>
  </si>
  <si>
    <t xml:space="preserve"> Apple co-founder Steve Wozniak bought bitcoin at $700</t>
  </si>
  <si>
    <t xml:space="preserve"> y****6 </t>
  </si>
  <si>
    <t xml:space="preserve"> Sat Feb 03 2018 12:31:38</t>
  </si>
  <si>
    <t xml:space="preserve"> Did you saw my tweet yesterday to Buy Bitcoin ???? price went 20% up, next time LISTEN !!!!!!</t>
  </si>
  <si>
    <t xml:space="preserve"> crypto paradise</t>
  </si>
  <si>
    <t xml:space="preserve"> Sat Feb 03 2018 12:31:43</t>
  </si>
  <si>
    <t xml:space="preserve"> BitCoin miners are buying out cards for mining.</t>
  </si>
  <si>
    <t xml:space="preserve"> L****1 </t>
  </si>
  <si>
    <t xml:space="preserve"> Sat Feb 03 2018 12:32:07</t>
  </si>
  <si>
    <t xml:space="preserve"> Look up bitcoin news on google the price is falling</t>
  </si>
  <si>
    <t xml:space="preserve"> a****v </t>
  </si>
  <si>
    <t xml:space="preserve"> the ghetto</t>
  </si>
  <si>
    <t xml:space="preserve"> Sat Feb 03 2018 12:32:16</t>
  </si>
  <si>
    <t xml:space="preserve"> Haha. This thing is going way faster than Bitcoins price haha</t>
  </si>
  <si>
    <t xml:space="preserve"> Paris, France</t>
  </si>
  <si>
    <t xml:space="preserve"> Sat Feb 03 2018 12:32:19</t>
  </si>
  <si>
    <t xml:space="preserve"> Only if they pay me in Bitcoin</t>
  </si>
  <si>
    <t xml:space="preserve"> i****5 </t>
  </si>
  <si>
    <t xml:space="preserve"> London</t>
  </si>
  <si>
    <t xml:space="preserve"> Sat Feb 03 2018 12:32:20</t>
  </si>
  <si>
    <t xml:space="preserve"> Brokerage firms excited about 24/5 trading. LOL. Bitcoin trades 24/7. 365. Even Christmas. Bitcoin never sleeps.</t>
  </si>
  <si>
    <t xml:space="preserve"> Sat Feb 03 2018 12:32:26</t>
  </si>
  <si>
    <t xml:space="preserve"> Bitcoin!</t>
  </si>
  <si>
    <t xml:space="preserve"> Sat Feb 03 2018 12:33:06</t>
  </si>
  <si>
    <t xml:space="preserve"> Ohhh Bitcoin</t>
  </si>
  <si>
    <t xml:space="preserve"> m****b </t>
  </si>
  <si>
    <t xml:space="preserve"> Sat Feb 03 2018 12:33:23</t>
  </si>
  <si>
    <t xml:space="preserve"> What do you think about bitcoin dip ? It will dip more or its rising time</t>
  </si>
  <si>
    <t xml:space="preserve"> P****5 </t>
  </si>
  <si>
    <t xml:space="preserve"> Sat Feb 03 2018 12:33:32</t>
  </si>
  <si>
    <t xml:space="preserve"> you don't have to buy a stock in bitcoin when you make cootie catchers</t>
  </si>
  <si>
    <t xml:space="preserve"> w****e </t>
  </si>
  <si>
    <t xml:space="preserve"> Sat Feb 03 2018 12:33:41</t>
  </si>
  <si>
    <t xml:space="preserve"> Following your logic, you'd also say unconfirmed transactions are IOUs and not Bitcoin?</t>
  </si>
  <si>
    <t xml:space="preserve"> d****y </t>
  </si>
  <si>
    <t xml:space="preserve"> Sat Feb 03 2018 12:34:11</t>
  </si>
  <si>
    <t xml:space="preserve"> unintended effect of bitcoin driving up graphics cards prices is that at least now the games industry will finally die.</t>
  </si>
  <si>
    <t xml:space="preserve"> Sat Feb 03 2018 12:34:35</t>
  </si>
  <si>
    <t xml:space="preserve"> Cryptocurrency: Price USD: 8966.6 Price BTC: 1.0 24h Volume USD: 9904820000.0 Percent change 24h: 9.59</t>
  </si>
  <si>
    <t xml:space="preserve"> Sat Feb 03 2018 12:34:53</t>
  </si>
  <si>
    <t xml:space="preserve"> Bitcoin slowly working up through overhead resistance. Expect a quick move up to $10,100.</t>
  </si>
  <si>
    <t xml:space="preserve"> L****t </t>
  </si>
  <si>
    <t xml:space="preserve"> Baiting Hollow, New York</t>
  </si>
  <si>
    <t xml:space="preserve"> Sat Feb 03 2018 12:35:27</t>
  </si>
  <si>
    <t xml:space="preserve"> Seems like bitcoin at 19.000....:)</t>
  </si>
  <si>
    <t xml:space="preserve"> C****3 </t>
  </si>
  <si>
    <t xml:space="preserve"> Sat Feb 03 2018 12:35:53</t>
  </si>
  <si>
    <t xml:space="preserve"> Guy says Bitcoin is the biggest bubble in human history (Lie) and fortune magazine writes and publishes an article about him..WOW</t>
  </si>
  <si>
    <t xml:space="preserve"> b****r </t>
  </si>
  <si>
    <t xml:space="preserve"> Sat Feb 03 2018 12:36:00</t>
  </si>
  <si>
    <t xml:space="preserve"> Just checked slightly up and the other crypto currencies are up hope this is recovery</t>
  </si>
  <si>
    <t xml:space="preserve"> derby</t>
  </si>
  <si>
    <t xml:space="preserve"> Sat Feb 03 2018 12:36:30</t>
  </si>
  <si>
    <t xml:space="preserve"> could entirely change the way our means of exchange works </t>
  </si>
  <si>
    <t xml:space="preserve"> Sat Feb 03 2018 12:37:05</t>
  </si>
  <si>
    <t xml:space="preserve"> This Twitter account purchase has clearly been an outstanding success. Bravo Roger, Bravo.</t>
  </si>
  <si>
    <t xml:space="preserve"> Sat Feb 03 2018 12:38:10</t>
  </si>
  <si>
    <t xml:space="preserve"> I suggest everyone UNFOLLOW this fraud account.</t>
  </si>
  <si>
    <t xml:space="preserve"> Sat Feb 03 2018 12:38:54</t>
  </si>
  <si>
    <t xml:space="preserve"> what's my bitcoin acct password? </t>
  </si>
  <si>
    <t xml:space="preserve"> I****m </t>
  </si>
  <si>
    <t xml:space="preserve"> Germany</t>
  </si>
  <si>
    <t xml:space="preserve"> Sat Feb 03 2018 12:39:20</t>
  </si>
  <si>
    <t xml:space="preserve"> Time to clean this acc up. No more Facebook posts. Scan the code and have a coffee on me. </t>
  </si>
  <si>
    <t xml:space="preserve"> L****e </t>
  </si>
  <si>
    <t xml:space="preserve"> Sat Feb 03 2018 12:39:25</t>
  </si>
  <si>
    <t xml:space="preserve"> More bad pushes bitcoin's value could get bitcoin rich off of the $NFL playoffs this weekend </t>
  </si>
  <si>
    <t xml:space="preserve"> Sat Feb 03 2018 12:39:52</t>
  </si>
  <si>
    <t xml:space="preserve"> Dont buy or invest other than Bitcoin, the rest is copy ans scam. Would you buy fake or copied usd, euro, jpy???</t>
  </si>
  <si>
    <t xml:space="preserve"> a****T </t>
  </si>
  <si>
    <t xml:space="preserve"> The Netherlands</t>
  </si>
  <si>
    <t xml:space="preserve"> Sat Feb 03 2018 12:40:16</t>
  </si>
  <si>
    <t xml:space="preserve"> (63228 follows) RT : Crypto and bitcoin has changed my life for the better so heres a random .1 btc giveaway...</t>
  </si>
  <si>
    <t xml:space="preserve"> Sat Feb 03 2018 12:40:36</t>
  </si>
  <si>
    <t xml:space="preserve"> 1 BITCOIN = $8,953</t>
  </si>
  <si>
    <t xml:space="preserve"> e****o </t>
  </si>
  <si>
    <t xml:space="preserve"> Asuncin, Paraguay</t>
  </si>
  <si>
    <t xml:space="preserve"> Sat Feb 03 2018 12:41:53</t>
  </si>
  <si>
    <t xml:space="preserve"> Better than trading Bitcoin? Shorting the stockmarket at the top!</t>
  </si>
  <si>
    <t xml:space="preserve"> g****g </t>
  </si>
  <si>
    <t xml:space="preserve"> Sat Feb 03 2018 12:42:05</t>
  </si>
  <si>
    <t xml:space="preserve"> Bitcoin down to 8k!</t>
  </si>
  <si>
    <t xml:space="preserve"> S****e </t>
  </si>
  <si>
    <t xml:space="preserve"> Sat Feb 03 2018 12:42:27</t>
  </si>
  <si>
    <t xml:space="preserve"> Dude, in my part of the country, party talk was (this is real) about taking out HELOCs to buy Bitcoin.</t>
  </si>
  <si>
    <t xml:space="preserve"> B****n </t>
  </si>
  <si>
    <t xml:space="preserve"> Boulder, CO</t>
  </si>
  <si>
    <t xml:space="preserve"> Sat Feb 03 2018 12:42:32</t>
  </si>
  <si>
    <t xml:space="preserve"> Ah nigha need ta get some bitcoin. Frfr</t>
  </si>
  <si>
    <t xml:space="preserve"> Jackson, MS</t>
  </si>
  <si>
    <t xml:space="preserve"> Sat Feb 03 2018 12:43:12</t>
  </si>
  <si>
    <t xml:space="preserve"> New post: Crypto Rich and Paranoid: Threats Prompt Radical Security in Bitcoin Land</t>
  </si>
  <si>
    <t xml:space="preserve"> Palo Alto, CA</t>
  </si>
  <si>
    <t xml:space="preserve"> Sat Feb 03 2018 12:43:24</t>
  </si>
  <si>
    <t xml:space="preserve"> The most unstable relationship I have ever had, has been with $BTC $BCH</t>
  </si>
  <si>
    <t xml:space="preserve"> p****e </t>
  </si>
  <si>
    <t xml:space="preserve"> Sat Feb 03 2018 12:43:34</t>
  </si>
  <si>
    <t xml:space="preserve"> I'll keep trying to post the most relevant tech new :) The price is what is, the tech revolutionary! </t>
  </si>
  <si>
    <t xml:space="preserve"> c****r </t>
  </si>
  <si>
    <t xml:space="preserve"> Asia</t>
  </si>
  <si>
    <t xml:space="preserve"> Sat Feb 03 2018 12:44:27</t>
  </si>
  <si>
    <t xml:space="preserve"> How much of your income tax check u getting flipped and how much going to bitcoin</t>
  </si>
  <si>
    <t xml:space="preserve"> R****r </t>
  </si>
  <si>
    <t xml:space="preserve"> Sat Feb 03 2018 12:44:37</t>
  </si>
  <si>
    <t xml:space="preserve"> bitcoin?</t>
  </si>
  <si>
    <t xml:space="preserve"> n****e </t>
  </si>
  <si>
    <t xml:space="preserve"> Sat Feb 03 2018 12:44:42</t>
  </si>
  <si>
    <t xml:space="preserve"> bitcoin founder</t>
  </si>
  <si>
    <t xml:space="preserve"> Sat Feb 03 2018 12:45:02</t>
  </si>
  <si>
    <t xml:space="preserve"> There are currently 12,313 unconfirmed Bitcoin transactions. $BTC</t>
  </si>
  <si>
    <t xml:space="preserve"> Sat Feb 03 2018 12:45:17</t>
  </si>
  <si>
    <t xml:space="preserve"> Sign up to in 60 seconds, buy some cryptocurrency 30 seconds later - wow </t>
  </si>
  <si>
    <t xml:space="preserve"> M****6 </t>
  </si>
  <si>
    <t xml:space="preserve"> Pennsylvania, USA</t>
  </si>
  <si>
    <t xml:space="preserve"> Sat Feb 03 2018 12:45:55</t>
  </si>
  <si>
    <t xml:space="preserve"> The issue is that 99% of commits are simply copied from the Bitcoin repository. So the video would be identical to Bitcoin.</t>
  </si>
  <si>
    <t xml:space="preserve"> x****o </t>
  </si>
  <si>
    <t xml:space="preserve"> Sat Feb 03 2018 12:46:01</t>
  </si>
  <si>
    <t xml:space="preserve"> A bitcoin</t>
  </si>
  <si>
    <t xml:space="preserve"> j****T </t>
  </si>
  <si>
    <t xml:space="preserve"> Liquidity Purchase Trend Myrend </t>
  </si>
  <si>
    <t xml:space="preserve"> B****5 </t>
  </si>
  <si>
    <t xml:space="preserve"> Sat Feb 03 2018 12:46:13</t>
  </si>
  <si>
    <t xml:space="preserve"> Bitcoin is due for a correction! The bulls will be taken over and don't say I didn't tell you.</t>
  </si>
  <si>
    <t xml:space="preserve"> S****3 </t>
  </si>
  <si>
    <t xml:space="preserve"> Sat Feb 03 2018 12:46:38</t>
  </si>
  <si>
    <t xml:space="preserve"> 1. Make fiat, 2. Buy Bitcoin, 3. Repeat! HODL past 2020, Buy the Dip, 1,2,3! Thanks Tone, enjoy your weekend!</t>
  </si>
  <si>
    <t xml:space="preserve"> K****8 </t>
  </si>
  <si>
    <t xml:space="preserve"> Gainesville, FL</t>
  </si>
  <si>
    <t xml:space="preserve"> Sat Feb 03 2018 12:47:00</t>
  </si>
  <si>
    <t xml:space="preserve"> Okay, so Bitcoin.</t>
  </si>
  <si>
    <t xml:space="preserve"> Harlesden</t>
  </si>
  <si>
    <t xml:space="preserve"> Sat Feb 03 2018 12:47:25</t>
  </si>
  <si>
    <t xml:space="preserve"> Please stop reaching my comment for that volatile Bitcoin. Stay away from it.</t>
  </si>
  <si>
    <t xml:space="preserve"> r****r </t>
  </si>
  <si>
    <t xml:space="preserve"> Sen Gil Puyat Avenue, Makati City</t>
  </si>
  <si>
    <t xml:space="preserve"> Sat Feb 03 2018 12:47:32</t>
  </si>
  <si>
    <t xml:space="preserve"> As I said its going up</t>
  </si>
  <si>
    <t xml:space="preserve"> M****z </t>
  </si>
  <si>
    <t xml:space="preserve"> Sat Feb 03 2018 12:47:40</t>
  </si>
  <si>
    <t xml:space="preserve"> Bitcoin is a decentralised currency that is backed by energy that is harvested from traffic on the world wide web, or internet.</t>
  </si>
  <si>
    <t xml:space="preserve"> Sat Feb 03 2018 12:47:41</t>
  </si>
  <si>
    <t xml:space="preserve"> Agetron, biggest digital currency, electronic money, bitcoin, cryptocurrency, blockchain via </t>
  </si>
  <si>
    <t xml:space="preserve"> H****1 </t>
  </si>
  <si>
    <t xml:space="preserve"> Sat Feb 03 2018 12:47:48</t>
  </si>
  <si>
    <t xml:space="preserve"> CLOUT Is Set To Attract Attention As A Of The North American Bitcoin </t>
  </si>
  <si>
    <t xml:space="preserve"> Sat Feb 03 2018 12:47:57</t>
  </si>
  <si>
    <t xml:space="preserve"> What is bitcoin?</t>
  </si>
  <si>
    <t xml:space="preserve"> N****e </t>
  </si>
  <si>
    <t xml:space="preserve"> kigali</t>
  </si>
  <si>
    <t xml:space="preserve"> Sat Feb 03 2018 12:48:14</t>
  </si>
  <si>
    <t xml:space="preserve"> hardfork portfolio held in proxy by the house speaker.</t>
  </si>
  <si>
    <t xml:space="preserve"> london</t>
  </si>
  <si>
    <t xml:space="preserve"> Sat Feb 03 2018 12:48:16</t>
  </si>
  <si>
    <t xml:space="preserve"> favoured by charlatans and swindlers - seems his knowledge of Bitcoin comes from his Sunday paper.</t>
  </si>
  <si>
    <t xml:space="preserve"> A****e </t>
  </si>
  <si>
    <t xml:space="preserve"> Sat Feb 03 2018 12:48:43</t>
  </si>
  <si>
    <t xml:space="preserve"> So take a cash advance and buy Bitcoin</t>
  </si>
  <si>
    <t xml:space="preserve"> Ontario, Canada</t>
  </si>
  <si>
    <t xml:space="preserve"> Sat Feb 03 2018 12:48:55</t>
  </si>
  <si>
    <t xml:space="preserve"> Optimal tx fee: 85 satoshi per byte. BTC : $8944 / 7176 / 6333 Block 507429. Market Cap: 148.11B USD. </t>
  </si>
  <si>
    <t xml:space="preserve"> Sat Feb 03 2018 12:49:30</t>
  </si>
  <si>
    <t xml:space="preserve"> Crypto space is under new management, we will go to ATH soon! $btc $eth $icx $etc </t>
  </si>
  <si>
    <t xml:space="preserve"> Birmingham, England</t>
  </si>
  <si>
    <t xml:space="preserve"> Sat Feb 03 2018 12:49:51</t>
  </si>
  <si>
    <t xml:space="preserve"> Why Wall Street's Angry About the Bitcoin Gold Rush -- The Motley Fool </t>
  </si>
  <si>
    <t xml:space="preserve"> Sat Feb 03 2018 12:50:27</t>
  </si>
  <si>
    <t xml:space="preserve"> So in o. What, exactly, is Bitcoin?</t>
  </si>
  <si>
    <t xml:space="preserve"> l****n </t>
  </si>
  <si>
    <t xml:space="preserve"> Nairobi, Kenya</t>
  </si>
  <si>
    <t xml:space="preserve"> Sat Feb 03 2018 12:50:51</t>
  </si>
  <si>
    <t xml:space="preserve"> 90% of his retirement investments are in Tesla stock? What is he doing with the other 10%? bitcoin?</t>
  </si>
  <si>
    <t xml:space="preserve"> h****l </t>
  </si>
  <si>
    <t xml:space="preserve"> Connecticut, USA</t>
  </si>
  <si>
    <t xml:space="preserve"> Sat Feb 03 2018 12:51:54</t>
  </si>
  <si>
    <t xml:space="preserve"> I hate how everything is green and Im still -50%. I bought the wrong dip. </t>
  </si>
  <si>
    <t xml:space="preserve"> L****o </t>
  </si>
  <si>
    <t xml:space="preserve"> Slovaki</t>
  </si>
  <si>
    <t xml:space="preserve"> cs</t>
  </si>
  <si>
    <t xml:space="preserve"> Sat Feb 03 2018 12:52:58</t>
  </si>
  <si>
    <t xml:space="preserve"> Most are green...I wait! </t>
  </si>
  <si>
    <t xml:space="preserve"> C****r </t>
  </si>
  <si>
    <t xml:space="preserve"> Cryptonomad</t>
  </si>
  <si>
    <t xml:space="preserve"> Sat Feb 03 2018 12:53:17</t>
  </si>
  <si>
    <t xml:space="preserve"> I hope they can convert it to cash before bitcoin crashes.</t>
  </si>
  <si>
    <t xml:space="preserve"> k****s </t>
  </si>
  <si>
    <t xml:space="preserve"> near Philly</t>
  </si>
  <si>
    <t xml:space="preserve"> Sat Feb 03 2018 12:53:50</t>
  </si>
  <si>
    <t xml:space="preserve"> Just because Bitcoin BCH bled out of the one Bitcoin, doesn't mean that you should publicly refer to it as a period...</t>
  </si>
  <si>
    <t xml:space="preserve"> B****1 </t>
  </si>
  <si>
    <t xml:space="preserve"> Sat Feb 03 2018 12:53:53</t>
  </si>
  <si>
    <t xml:space="preserve"> Its just bitcoin so it doesnt count</t>
  </si>
  <si>
    <t xml:space="preserve"> w****u </t>
  </si>
  <si>
    <t xml:space="preserve"> Sat Feb 03 2018 12:54:06</t>
  </si>
  <si>
    <t xml:space="preserve"> Regardless of the FUD: Bitcoin is the Future.</t>
  </si>
  <si>
    <t xml:space="preserve"> Pretoria</t>
  </si>
  <si>
    <t xml:space="preserve"> Sat Feb 03 2018 12:54:24</t>
  </si>
  <si>
    <t xml:space="preserve"> Yo memo is so stupid it thinks Trump is on the face of Bitcoin </t>
  </si>
  <si>
    <t xml:space="preserve"> Sat Feb 03 2018 12:54:52</t>
  </si>
  <si>
    <t xml:space="preserve"> Do you remember centralized exchange ? Yes and pogs too </t>
  </si>
  <si>
    <t xml:space="preserve"> Sat Feb 03 2018 12:55:15</t>
  </si>
  <si>
    <t xml:space="preserve"> If u sold this week. Thank you.</t>
  </si>
  <si>
    <t xml:space="preserve"> Z****n </t>
  </si>
  <si>
    <t xml:space="preserve"> Planet Earth is 127.0.0.1</t>
  </si>
  <si>
    <t xml:space="preserve"> Sat Feb 03 2018 12:55:19</t>
  </si>
  <si>
    <t xml:space="preserve"> Inadvertently my a$$, they need a way to accumulate , while denying it at every turn.</t>
  </si>
  <si>
    <t xml:space="preserve"> Sat Feb 03 2018 12:55:53</t>
  </si>
  <si>
    <t xml:space="preserve"> 1 BITCOIN = $9,031</t>
  </si>
  <si>
    <t xml:space="preserve"> Sat Feb 03 2018 12:56:10</t>
  </si>
  <si>
    <t xml:space="preserve"> Im just waiting for the tech to improve so we get counterfeit Bitcoin.</t>
  </si>
  <si>
    <t xml:space="preserve"> W****o </t>
  </si>
  <si>
    <t xml:space="preserve"> Vancouver, Canada</t>
  </si>
  <si>
    <t xml:space="preserve"> Sat Feb 03 2018 12:56:24</t>
  </si>
  <si>
    <t xml:space="preserve"> because people do many more illegal things with than the US dollar</t>
  </si>
  <si>
    <t xml:space="preserve"> Sat Feb 03 2018 12:56:36</t>
  </si>
  <si>
    <t xml:space="preserve"> Buy preserve your wealth from bankster crooks.</t>
  </si>
  <si>
    <t xml:space="preserve"> P****n </t>
  </si>
  <si>
    <t xml:space="preserve"> Republic of Croatia</t>
  </si>
  <si>
    <t xml:space="preserve"> Sat Feb 03 2018 12:56:41</t>
  </si>
  <si>
    <t xml:space="preserve"> When &amp; go to the moon together it will be a beautiful sight </t>
  </si>
  <si>
    <t xml:space="preserve"> Sat Feb 03 2018 12:57:07</t>
  </si>
  <si>
    <t xml:space="preserve"> The Current Bitcoin Price is 0.00011093 BTC for $1 USD </t>
  </si>
  <si>
    <t xml:space="preserve"> Sat Feb 03 2018 12:57:09</t>
  </si>
  <si>
    <t xml:space="preserve"> Eat, sleep, bitcoin, repeat </t>
  </si>
  <si>
    <t xml:space="preserve"> b****k </t>
  </si>
  <si>
    <t xml:space="preserve"> Yogyakarta</t>
  </si>
  <si>
    <t xml:space="preserve"> Sat Feb 03 2018 12:57:34</t>
  </si>
  <si>
    <t xml:space="preserve"> wow great video thanks for the information using the following hashtags: </t>
  </si>
  <si>
    <t xml:space="preserve"> r****6 </t>
  </si>
  <si>
    <t xml:space="preserve"> 0x0758f2fe84668625aa6F585acE8910cdC2ea28e3</t>
  </si>
  <si>
    <t xml:space="preserve"> Sat Feb 03 2018 12:57:56</t>
  </si>
  <si>
    <t xml:space="preserve"> happy to join with ths project using the following hashtags: </t>
  </si>
  <si>
    <t xml:space="preserve"> Sat Feb 03 2018 12:58:02</t>
  </si>
  <si>
    <t xml:space="preserve"> Bitcoin about to skyrocket in the coming weeks imo</t>
  </si>
  <si>
    <t xml:space="preserve"> Sat Feb 03 2018 12:58:07</t>
  </si>
  <si>
    <t xml:space="preserve"> So...who bought the dip? . Which coin will emerge as the big winner?</t>
  </si>
  <si>
    <t xml:space="preserve"> Sat Feb 03 2018 12:58:37</t>
  </si>
  <si>
    <t xml:space="preserve"> I keep hear about bitcoin mining and I'm expecting to see an onion article about Bitcoin miners plan to unionize</t>
  </si>
  <si>
    <t xml:space="preserve"> m****e </t>
  </si>
  <si>
    <t xml:space="preserve"> Pasadena, MD</t>
  </si>
  <si>
    <t xml:space="preserve"> Sat Feb 03 2018 12:58:48</t>
  </si>
  <si>
    <t xml:space="preserve"> Better long term HODL? $Trac $Man </t>
  </si>
  <si>
    <t xml:space="preserve"> Sat Feb 03 2018 12:59:01</t>
  </si>
  <si>
    <t xml:space="preserve"> I have $40 in bitcoin Im just going to leave until it blows up again</t>
  </si>
  <si>
    <t xml:space="preserve"> g****_ </t>
  </si>
  <si>
    <t xml:space="preserve"> Alberta, Canada</t>
  </si>
  <si>
    <t xml:space="preserve"> Sat Feb 03 2018 12:59:10</t>
  </si>
  <si>
    <t xml:space="preserve"> One of the worst jobs in the world must be righting about crypto currencies like bitcoin, you praise it one day &amp; mock it the next </t>
  </si>
  <si>
    <t xml:space="preserve"> C****1 </t>
  </si>
  <si>
    <t xml:space="preserve"> Holding Abraham Lincolns beer. </t>
  </si>
  <si>
    <t xml:space="preserve"> Sat Feb 03 2018 12:59:11</t>
  </si>
  <si>
    <t xml:space="preserve"> Ooooh do sell bitcoin next</t>
  </si>
  <si>
    <t xml:space="preserve"> a****y </t>
  </si>
  <si>
    <t xml:space="preserve"> canon url hoe </t>
  </si>
  <si>
    <t xml:space="preserve"> Sat Feb 03 2018 12:59:24</t>
  </si>
  <si>
    <t xml:space="preserve"> Jared is the real bitcoin Jesus!</t>
  </si>
  <si>
    <t xml:space="preserve"> Converting Bitcoin to Ethereum. Who is with me?! </t>
  </si>
  <si>
    <t xml:space="preserve"> Lagos, Nigeria</t>
  </si>
  <si>
    <t xml:space="preserve"> Sat Feb 03 2018 12:59:57</t>
  </si>
  <si>
    <t xml:space="preserve"> Niggas was hyped for Bitcoin for like a week lol ...yall annoying </t>
  </si>
  <si>
    <t xml:space="preserve"> r****x </t>
  </si>
  <si>
    <t xml:space="preserve"> Sat Feb 03 2018 13:00:01</t>
  </si>
  <si>
    <t xml:space="preserve"> , Bitcoin with unit price of $9,025.89, market cap of $152,021,711,386 (34.69%), and 24 hr vol. of $9,536,060,000 (31.81%)</t>
  </si>
  <si>
    <t xml:space="preserve"> mobileye iverge bitcoin android 8.1 exynos 9 series fake news </t>
  </si>
  <si>
    <t xml:space="preserve"> Your Internets</t>
  </si>
  <si>
    <t xml:space="preserve"> Current BTC Dominance: 34.72% </t>
  </si>
  <si>
    <t xml:space="preserve"> Sat Feb 03 2018 13:00:02</t>
  </si>
  <si>
    <t xml:space="preserve"> The average price of Bitcoin across all exchanges is 9,025.89 USD</t>
  </si>
  <si>
    <t xml:space="preserve"> Average Bitcoin market price is: USD 9,052.46, EUR 7,270.65</t>
  </si>
  <si>
    <t xml:space="preserve"> Bitcoin:$9025.89 Ethereum:$953.352 Bitcoin Cash:$1224.49 Litecoin:$137.318 Ripple:$0.91132 IOTA:$1.88866</t>
  </si>
  <si>
    <t xml:space="preserve"> Sat Feb 03 2018 13:00:05</t>
  </si>
  <si>
    <t xml:space="preserve"> One of the worst jobs in the world must be writing articles about crypto currencies like bitcoin, you praise it one day &amp; mock it the next </t>
  </si>
  <si>
    <t xml:space="preserve"> Lets take a like vote. Do you feel dumb selling your bitcoin now for 7.6 - 8500? If not... wait a few hours ...</t>
  </si>
  <si>
    <t xml:space="preserve"> c****x </t>
  </si>
  <si>
    <t xml:space="preserve"> Texas</t>
  </si>
  <si>
    <t xml:space="preserve"> Sat Feb 03 2018 13:00:06</t>
  </si>
  <si>
    <t xml:space="preserve"> Feb 03, 2018 05:00AM Price: USD 8670.92 | EUR 6984.17 | JPY 927689.19</t>
  </si>
  <si>
    <t xml:space="preserve"> Sat Feb 03 2018 13:00:08</t>
  </si>
  <si>
    <t xml:space="preserve"> Bitcoin ranges from nano-payments to giga-payments on a single network.</t>
  </si>
  <si>
    <t xml:space="preserve"> B****u </t>
  </si>
  <si>
    <t xml:space="preserve"> Maintained by </t>
  </si>
  <si>
    <t xml:space="preserve"> Sat Feb 03 2018 13:00:11</t>
  </si>
  <si>
    <t xml:space="preserve"> 2018 will be good for us. Not for everyone... </t>
  </si>
  <si>
    <t xml:space="preserve"> x****m </t>
  </si>
  <si>
    <t xml:space="preserve"> Marseille, France</t>
  </si>
  <si>
    <t xml:space="preserve"> Sat Feb 03 2018 13:00:19</t>
  </si>
  <si>
    <t xml:space="preserve"> Bitcoin is currently trading at $9,074</t>
  </si>
  <si>
    <t xml:space="preserve"> C****a </t>
  </si>
  <si>
    <t xml:space="preserve"> Nairobi</t>
  </si>
  <si>
    <t xml:space="preserve"> Sat Feb 03 2018 13:00:31</t>
  </si>
  <si>
    <t xml:space="preserve"> BTC hourly update $9078.44 | +0.0017% $BTC </t>
  </si>
  <si>
    <t xml:space="preserve"> Sat Feb 03 2018 13:00:32</t>
  </si>
  <si>
    <t xml:space="preserve"> In the next Mario you wont collect coins youll just collect Bitcoin investments</t>
  </si>
  <si>
    <t xml:space="preserve"> Newcastle/Bath</t>
  </si>
  <si>
    <t xml:space="preserve"> Sat Feb 03 2018 13:00:38</t>
  </si>
  <si>
    <t xml:space="preserve"> Should never buy bitcoin with credit anyway. It's a recipe for disaster! Sensible move by the banks, I suppose...</t>
  </si>
  <si>
    <t xml:space="preserve"> c****z </t>
  </si>
  <si>
    <t xml:space="preserve"> Melbourne, Victoria</t>
  </si>
  <si>
    <t xml:space="preserve"> Sat Feb 03 2018 13:00:51</t>
  </si>
  <si>
    <t xml:space="preserve"> Current price of Bitcoin is $9029.81</t>
  </si>
  <si>
    <t xml:space="preserve"> Sat Feb 03 2018 13:00:52</t>
  </si>
  <si>
    <t xml:space="preserve"> YO! The price of Bitcoin is $9029.81 today.</t>
  </si>
  <si>
    <t xml:space="preserve"> My Humble Abode </t>
  </si>
  <si>
    <t xml:space="preserve"> Sat Feb 03 2018 13:00:53</t>
  </si>
  <si>
    <t xml:space="preserve"> Since last week, Bolgakov has been playing Quake III and not buying any Bitcoin.</t>
  </si>
  <si>
    <t xml:space="preserve"> Sat Feb 03 2018 13:00:55</t>
  </si>
  <si>
    <t xml:space="preserve"> Current price of is $9029.81 via Chain </t>
  </si>
  <si>
    <t xml:space="preserve"> q****b </t>
  </si>
  <si>
    <t xml:space="preserve"> Cambridge</t>
  </si>
  <si>
    <t xml:space="preserve"> Sat Feb 03 2018 13:01:19</t>
  </si>
  <si>
    <t xml:space="preserve"> It's February 3, 2018 at 07:59AM and $BTC is $9029.81 Lets make some today!</t>
  </si>
  <si>
    <t xml:space="preserve"> A****o </t>
  </si>
  <si>
    <t xml:space="preserve"> Sat Feb 03 2018 13:01:22</t>
  </si>
  <si>
    <t xml:space="preserve"> Current price of Bitcoin is $9029.81 </t>
  </si>
  <si>
    <t xml:space="preserve"> Sat Feb 03 2018 13:01:39</t>
  </si>
  <si>
    <t xml:space="preserve"> 'If It's Controlled By 1 Party, It's Not A Blockchain' Charlie Shrem Lauds Bitcoin </t>
  </si>
  <si>
    <t xml:space="preserve"> M****a </t>
  </si>
  <si>
    <t xml:space="preserve"> Nigeria, Africa</t>
  </si>
  <si>
    <t xml:space="preserve"> Anonymous bitcoin philanthropist donates $5 million to medicine foundation </t>
  </si>
  <si>
    <t xml:space="preserve"> Sat Feb 03 2018 13:01:40</t>
  </si>
  <si>
    <t xml:space="preserve"> Bitcoin Ban Expands Across Credit Cards as Big US Banks Recoil </t>
  </si>
  <si>
    <t xml:space="preserve"> Sat Feb 03 2018 13:01:41</t>
  </si>
  <si>
    <t xml:space="preserve"> PSA: No India hasn't banned Bitcoin but it's still talking tough on crypto </t>
  </si>
  <si>
    <t xml:space="preserve"> Sat Feb 03 2018 13:01:42</t>
  </si>
  <si>
    <t xml:space="preserve"> Bitcoin Mining Comes To New York As Lawmakers Approve Power Allocation </t>
  </si>
  <si>
    <t xml:space="preserve"> Sat Feb 03 2018 13:01:49</t>
  </si>
  <si>
    <t xml:space="preserve"> ps bitcoin</t>
  </si>
  <si>
    <t xml:space="preserve"> i****r </t>
  </si>
  <si>
    <t xml:space="preserve"> Houston, TX</t>
  </si>
  <si>
    <t xml:space="preserve"> Sat Feb 03 2018 13:02:09</t>
  </si>
  <si>
    <t xml:space="preserve"> Current price of Bitcoin is $9029.81.</t>
  </si>
  <si>
    <t xml:space="preserve"> Sat Feb 03 2018 13:02:13</t>
  </si>
  <si>
    <t xml:space="preserve"> Current price of is $9029.81 $btc</t>
  </si>
  <si>
    <t xml:space="preserve"> Sat Feb 03 2018 13:02:14</t>
  </si>
  <si>
    <t xml:space="preserve"> Current price of Bitcoin is $9029.81 via Chain</t>
  </si>
  <si>
    <t xml:space="preserve"> c****o </t>
  </si>
  <si>
    <t xml:space="preserve"> Sat Feb 03 2018 13:02:17</t>
  </si>
  <si>
    <t xml:space="preserve"> 1 is currently worth $9029.81. $BTC $BTCUSD [via ]</t>
  </si>
  <si>
    <t xml:space="preserve"> Sat Feb 03 2018 13:03:00</t>
  </si>
  <si>
    <t xml:space="preserve"> Learn how to hash your bitcoin right inside your wallet fast and secured, Request for a free ebook.</t>
  </si>
  <si>
    <t xml:space="preserve"> a****0 </t>
  </si>
  <si>
    <t xml:space="preserve"> Chicago, IL</t>
  </si>
  <si>
    <t xml:space="preserve"> Sat Feb 03 2018 13:03:01</t>
  </si>
  <si>
    <t xml:space="preserve"> the speed of bitcoin now worth $0 000 -100 00% the court approved a bitcoin &amp; eth mining sign up here and earn your elf now!</t>
  </si>
  <si>
    <t xml:space="preserve"> b****n </t>
  </si>
  <si>
    <t xml:space="preserve"> Sat Feb 03 2018 13:03:02</t>
  </si>
  <si>
    <t xml:space="preserve"> Current price of is $9029.81</t>
  </si>
  <si>
    <t xml:space="preserve"> Sat Feb 03 2018 13:03:06</t>
  </si>
  <si>
    <t xml:space="preserve"> Today's Bitcoin Price 9029.81 USD via Chain</t>
  </si>
  <si>
    <t xml:space="preserve"> A****g </t>
  </si>
  <si>
    <t xml:space="preserve"> Toronto, Ontario, Canada</t>
  </si>
  <si>
    <t xml:space="preserve"> Sat Feb 03 2018 13:03:07</t>
  </si>
  <si>
    <t xml:space="preserve"> Bitcoin 9029.81 $</t>
  </si>
  <si>
    <t xml:space="preserve"> B****k </t>
  </si>
  <si>
    <t xml:space="preserve"> Trkiye</t>
  </si>
  <si>
    <t xml:space="preserve"> Sat Feb 03 2018 13:03:10</t>
  </si>
  <si>
    <t xml:space="preserve"> Current price of Bitcoin is $9029.81 Like if thats good for you and retweet if thats not good for you </t>
  </si>
  <si>
    <t xml:space="preserve"> Sat Feb 03 2018 13:03:28</t>
  </si>
  <si>
    <t xml:space="preserve"> Forget there is in by .net. Is this similar to # is this safe to use ?</t>
  </si>
  <si>
    <t xml:space="preserve"> k****m </t>
  </si>
  <si>
    <t xml:space="preserve"> Andaman And Nicobar, India</t>
  </si>
  <si>
    <t xml:space="preserve"> Sat Feb 03 2018 13:03:29</t>
  </si>
  <si>
    <t xml:space="preserve"> You got a bitcoin tatoo? Wtff is wrong with u?</t>
  </si>
  <si>
    <t xml:space="preserve"> Sat Feb 03 2018 13:03:31</t>
  </si>
  <si>
    <t xml:space="preserve"> So, the current price of Bitcoin is $9029.81. </t>
  </si>
  <si>
    <t xml:space="preserve"> n****h </t>
  </si>
  <si>
    <t xml:space="preserve"> Irvine, CA</t>
  </si>
  <si>
    <t xml:space="preserve"> Sat Feb 03 2018 13:03:40</t>
  </si>
  <si>
    <t xml:space="preserve"> Grow your bitcoin Get $200 bonus free instantly Earn 0.5btc every 5days Comment info isabellagmez079.com</t>
  </si>
  <si>
    <t xml:space="preserve"> I****6 </t>
  </si>
  <si>
    <t xml:space="preserve"> Sat Feb 03 2018 13:04:06</t>
  </si>
  <si>
    <t xml:space="preserve"> 1 Bitcoin is currently worth $8991 USD! </t>
  </si>
  <si>
    <t xml:space="preserve"> Sat Feb 03 2018 13:04:21</t>
  </si>
  <si>
    <t xml:space="preserve"> Price Alert: Current price of $BTC is $9029.81 USD</t>
  </si>
  <si>
    <t xml:space="preserve"> Somewhere talking crypto with Satoshi.</t>
  </si>
  <si>
    <t xml:space="preserve"> Sat Feb 03 2018 13:04:29</t>
  </si>
  <si>
    <t xml:space="preserve"> Good morning Enthusiasts. price is currently $9029.81</t>
  </si>
  <si>
    <t xml:space="preserve"> T****n </t>
  </si>
  <si>
    <t xml:space="preserve"> The Blockchain</t>
  </si>
  <si>
    <t xml:space="preserve"> Sat Feb 03 2018 13:05:16</t>
  </si>
  <si>
    <t xml:space="preserve"> THE MOST INNOVATIVE AND LUCRATIVE WAY TO EARN BITCOIN JOIN BITCLUB NETWORK! [Virtual currency mining Encryption currency]</t>
  </si>
  <si>
    <t xml:space="preserve"> Sat Feb 03 2018 13:05:30</t>
  </si>
  <si>
    <t xml:space="preserve"> Bitcoin Candy</t>
  </si>
  <si>
    <t xml:space="preserve"> On Chain</t>
  </si>
  <si>
    <t xml:space="preserve"> Sat Feb 03 2018 13:05:52</t>
  </si>
  <si>
    <t xml:space="preserve"> Dont worry BitCoin speculators Gordon Gekko has a few words of encouragement for your portfolios conversation. </t>
  </si>
  <si>
    <t xml:space="preserve"> T****7 </t>
  </si>
  <si>
    <t xml:space="preserve"> Sat Feb 03 2018 13:05:53</t>
  </si>
  <si>
    <t xml:space="preserve"> The Bitcoin community awaits the return of Satoshi Nakamoto.</t>
  </si>
  <si>
    <t xml:space="preserve"> Sat Feb 03 2018 13:06:46</t>
  </si>
  <si>
    <t xml:space="preserve"> Bitcoin tat....respect </t>
  </si>
  <si>
    <t xml:space="preserve"> c****p </t>
  </si>
  <si>
    <t xml:space="preserve"> Sat Feb 03 2018 13:06:57</t>
  </si>
  <si>
    <t xml:space="preserve"> Ive planned to make another separate video for bitcoin and how blockchain works! Stay tuned for that video anytime soon</t>
  </si>
  <si>
    <t xml:space="preserve"> v****i </t>
  </si>
  <si>
    <t xml:space="preserve"> Tamil Nadu, India</t>
  </si>
  <si>
    <t xml:space="preserve"> Sat Feb 03 2018 13:08:08</t>
  </si>
  <si>
    <t xml:space="preserve"> I recieved Bitcoin yesterday. How can I see if my address generator isnt infected and my address was safe?</t>
  </si>
  <si>
    <t xml:space="preserve"> Sat Feb 03 2018 13:08:14</t>
  </si>
  <si>
    <t xml:space="preserve"> I like how right when I invested in bitcoin the bottom fell out. Ill hold it though, I have a feeling thats a long term win.</t>
  </si>
  <si>
    <t xml:space="preserve"> Tortola, BVI &amp; Atlanta, GA </t>
  </si>
  <si>
    <t xml:space="preserve"> Sat Feb 03 2018 13:08:28</t>
  </si>
  <si>
    <t xml:space="preserve"> I wonder if there's a grime producer named Bitcoin? </t>
  </si>
  <si>
    <t xml:space="preserve"> O****o </t>
  </si>
  <si>
    <t xml:space="preserve"> Finland</t>
  </si>
  <si>
    <t xml:space="preserve"> Sat Feb 03 2018 13:08:51</t>
  </si>
  <si>
    <t xml:space="preserve"> Explain to a grade schooler: Nunes memo or Bitcoin.</t>
  </si>
  <si>
    <t xml:space="preserve"> e****g </t>
  </si>
  <si>
    <t xml:space="preserve"> Sat Feb 03 2018 13:09:01</t>
  </si>
  <si>
    <t xml:space="preserve"> amazing payouts paid great work guys </t>
  </si>
  <si>
    <t xml:space="preserve"> D****9 </t>
  </si>
  <si>
    <t xml:space="preserve"> Svizzera</t>
  </si>
  <si>
    <t xml:space="preserve"> Sat Feb 03 2018 13:09:02</t>
  </si>
  <si>
    <t xml:space="preserve"> To all of you roadmap incoming . Get your cheap buys in today :). </t>
  </si>
  <si>
    <t xml:space="preserve"> c****e </t>
  </si>
  <si>
    <t xml:space="preserve"> Sat Feb 03 2018 13:09:29</t>
  </si>
  <si>
    <t xml:space="preserve"> Going to the atm to buy some $litecoin :) $btc $ltc $eth </t>
  </si>
  <si>
    <t xml:space="preserve"> i****2 </t>
  </si>
  <si>
    <t xml:space="preserve"> Sat Feb 03 2018 13:09:47</t>
  </si>
  <si>
    <t xml:space="preserve"> Missed Bitcoin Rally, Invest In Dencity Now! $3M Raised 1200 Investors Whale Round Ending Soon </t>
  </si>
  <si>
    <t xml:space="preserve"> b****l </t>
  </si>
  <si>
    <t xml:space="preserve"> Sat Feb 03 2018 13:10:04</t>
  </si>
  <si>
    <t xml:space="preserve"> Bitcoin BTC Current Price: $9033.37 1 Hour: 0.46 % | 24 Hours: 8.9 % | 7 Days: -19.74 % </t>
  </si>
  <si>
    <t xml:space="preserve"> Sat Feb 03 2018 13:10:06</t>
  </si>
  <si>
    <t xml:space="preserve"> So bitcoin fees hurt them 100x more than Americans. Good point. They need low fees. for Venezuela </t>
  </si>
  <si>
    <t xml:space="preserve"> **green emoji rain dance to appease the bitcoin green candle gods**</t>
  </si>
  <si>
    <t xml:space="preserve"> Vancouver, British Columbia</t>
  </si>
  <si>
    <t xml:space="preserve"> Sat Feb 03 2018 13:10:13</t>
  </si>
  <si>
    <t xml:space="preserve"> Just put the Mrs money back into Bitcoin, hope the bloodbath is over.</t>
  </si>
  <si>
    <t xml:space="preserve"> Border Reiver / UK</t>
  </si>
  <si>
    <t xml:space="preserve"> Sat Feb 03 2018 13:10:45</t>
  </si>
  <si>
    <t xml:space="preserve"> Probably should buy some while its this low. Never thought bitcoin would be deemed too risky by a... literal race car driver. </t>
  </si>
  <si>
    <t xml:space="preserve"> D****n </t>
  </si>
  <si>
    <t xml:space="preserve"> Miami, FL</t>
  </si>
  <si>
    <t xml:space="preserve"> Sat Feb 03 2018 13:11:08</t>
  </si>
  <si>
    <t xml:space="preserve"> Amazing how much effort the media puts into trashing Bitcoin. Why?!</t>
  </si>
  <si>
    <t xml:space="preserve"> Sat Feb 03 2018 13:12:09</t>
  </si>
  <si>
    <t xml:space="preserve"> Bitcoin gold real btc, all the rest scam and lie</t>
  </si>
  <si>
    <t xml:space="preserve"> , </t>
  </si>
  <si>
    <t xml:space="preserve"> Sat Feb 03 2018 13:12:29</t>
  </si>
  <si>
    <t xml:space="preserve"> This is a huge problem. How is the fix a) not mandated and b) not available for non-bitcoin programs?</t>
  </si>
  <si>
    <t xml:space="preserve"> Sat Feb 03 2018 13:12:46</t>
  </si>
  <si>
    <t xml:space="preserve"> He was curious who knew the most about bitcoin.</t>
  </si>
  <si>
    <t xml:space="preserve"> Sat Feb 03 2018 13:13:09</t>
  </si>
  <si>
    <t xml:space="preserve"> ... you're very close to the sunshine! .startengine.com/sun-fund</t>
  </si>
  <si>
    <t xml:space="preserve"> S****d </t>
  </si>
  <si>
    <t xml:space="preserve"> Milford, CT</t>
  </si>
  <si>
    <t xml:space="preserve"> Sat Feb 03 2018 13:13:15</t>
  </si>
  <si>
    <t xml:space="preserve"> Is Facebook really gonna stop all posts about Bitcoin and other crypto currencies? </t>
  </si>
  <si>
    <t xml:space="preserve"> West Midlands, England</t>
  </si>
  <si>
    <t xml:space="preserve"> They want to suck as much retail in as they can.... </t>
  </si>
  <si>
    <t xml:space="preserve"> K****C </t>
  </si>
  <si>
    <t xml:space="preserve"> Denver, CO</t>
  </si>
  <si>
    <t xml:space="preserve"> Sat Feb 03 2018 13:13:20</t>
  </si>
  <si>
    <t xml:space="preserve"> bet that helped the DOW DIVE, having to raise cash and cover shorts &amp; bitcoin losses.</t>
  </si>
  <si>
    <t xml:space="preserve"> Northwest MI</t>
  </si>
  <si>
    <t xml:space="preserve"> Sat Feb 03 2018 13:13:53</t>
  </si>
  <si>
    <t xml:space="preserve"> What's up with Bitcoin?</t>
  </si>
  <si>
    <t xml:space="preserve"> Earth</t>
  </si>
  <si>
    <t xml:space="preserve"> Sat Feb 03 2018 13:14:11</t>
  </si>
  <si>
    <t xml:space="preserve"> look just srop emailing me pk ok spam bitcoin afs and that likr i onlu ha e so much data storage in my cuboid pyrisium</t>
  </si>
  <si>
    <t xml:space="preserve"> s****h </t>
  </si>
  <si>
    <t xml:space="preserve"> New Zealand</t>
  </si>
  <si>
    <t xml:space="preserve"> Sat Feb 03 2018 13:14:19</t>
  </si>
  <si>
    <t xml:space="preserve"> Bitcoin White markete ekleyelim mi? Should be add Bitcoin White to market? </t>
  </si>
  <si>
    <t xml:space="preserve"> Cyprus</t>
  </si>
  <si>
    <t xml:space="preserve"> Sat Feb 03 2018 13:14:29</t>
  </si>
  <si>
    <t xml:space="preserve"> When you stop chasing the wrong things you give the right things a chance to catch you. </t>
  </si>
  <si>
    <t xml:space="preserve"> Sat Feb 03 2018 13:15:01</t>
  </si>
  <si>
    <t xml:space="preserve"> The current price of Bitcoin is $9001.79. The current price of BCash is $1220.36, or 0.135413 BTC</t>
  </si>
  <si>
    <t xml:space="preserve"> Sat Feb 03 2018 13:15:14</t>
  </si>
  <si>
    <t xml:space="preserve"> It almost makes it worthwhile to adopt Bitcoin.</t>
  </si>
  <si>
    <t xml:space="preserve"> k****l </t>
  </si>
  <si>
    <t xml:space="preserve"> Bury St. Edmunds</t>
  </si>
  <si>
    <t xml:space="preserve"> Sat Feb 03 2018 13:15:23</t>
  </si>
  <si>
    <t xml:space="preserve"> Bitcoin people how market?</t>
  </si>
  <si>
    <t xml:space="preserve"> Sat Feb 03 2018 13:15:36</t>
  </si>
  <si>
    <t xml:space="preserve"> How bout my bitcoin</t>
  </si>
  <si>
    <t xml:space="preserve"> s****k </t>
  </si>
  <si>
    <t xml:space="preserve"> Sat Feb 03 2018 13:16:03</t>
  </si>
  <si>
    <t xml:space="preserve"> Did TA ever worked with bitcoin?</t>
  </si>
  <si>
    <t xml:space="preserve"> Sat Feb 03 2018 13:16:09</t>
  </si>
  <si>
    <t xml:space="preserve"> Don't let Bitcoin distract you from the fact football is on Saturday</t>
  </si>
  <si>
    <t xml:space="preserve"> Sat Feb 03 2018 13:16:11</t>
  </si>
  <si>
    <t xml:space="preserve"> my friend won't make it to the bitcoin meetup so i have to go alone and i'm kinda scared Ha</t>
  </si>
  <si>
    <t xml:space="preserve"> you did well</t>
  </si>
  <si>
    <t xml:space="preserve"> Sat Feb 03 2018 13:16:17</t>
  </si>
  <si>
    <t xml:space="preserve"> What do you mean? Who will invest in bitcoin then there is the UGANDA COIN?? </t>
  </si>
  <si>
    <t xml:space="preserve"> J****r </t>
  </si>
  <si>
    <t xml:space="preserve"> Sat Feb 03 2018 13:16:22</t>
  </si>
  <si>
    <t xml:space="preserve"> I mean, given what the price of Bitcoin has been doing lately...</t>
  </si>
  <si>
    <t xml:space="preserve"> f****x </t>
  </si>
  <si>
    <t xml:space="preserve"> Anthrocon</t>
  </si>
  <si>
    <t xml:space="preserve"> Sat Feb 03 2018 13:16:28</t>
  </si>
  <si>
    <t xml:space="preserve"> The bitcoin bubble (which is in the process of bursting boisterously) caused a spike in prices - particularly GPUs.</t>
  </si>
  <si>
    <t xml:space="preserve"> P****r </t>
  </si>
  <si>
    <t xml:space="preserve"> Champaign, IL</t>
  </si>
  <si>
    <t xml:space="preserve"> Sat Feb 03 2018 13:16:29</t>
  </si>
  <si>
    <t xml:space="preserve"> The french lady however is very anti bitcoin.</t>
  </si>
  <si>
    <t xml:space="preserve"> M****1 </t>
  </si>
  <si>
    <t xml:space="preserve"> Sat Feb 03 2018 13:17:04</t>
  </si>
  <si>
    <t xml:space="preserve"> Bitcoin Cash BCH Current Price: $1220.36 1 Hour: - | 24 Hours: 12.02 % | 7 Days: -24.37 % cash</t>
  </si>
  <si>
    <t xml:space="preserve"> Sat Feb 03 2018 13:17:08</t>
  </si>
  <si>
    <t xml:space="preserve"> Does Nobody else notice that the Chinese have all the bitcoin..? #</t>
  </si>
  <si>
    <t xml:space="preserve"> Sat Feb 03 2018 13:17:34</t>
  </si>
  <si>
    <t xml:space="preserve"> I just want to use Bitcoin as a currency.</t>
  </si>
  <si>
    <t xml:space="preserve"> A****h </t>
  </si>
  <si>
    <t xml:space="preserve"> Sat Feb 03 2018 13:18:08</t>
  </si>
  <si>
    <t xml:space="preserve"> HAHAHA you must have missed out on bitcoin. Taking over the world with arisebank, either you are insane, dumb, or both.</t>
  </si>
  <si>
    <t xml:space="preserve"> a****r </t>
  </si>
  <si>
    <t xml:space="preserve"> Sat Feb 03 2018 13:18:31</t>
  </si>
  <si>
    <t xml:space="preserve"> Bitcoin Bien </t>
  </si>
  <si>
    <t xml:space="preserve"> I****E </t>
  </si>
  <si>
    <t xml:space="preserve"> Ile-de-France, France</t>
  </si>
  <si>
    <t xml:space="preserve"> Sat Feb 03 2018 13:18:41</t>
  </si>
  <si>
    <t xml:space="preserve"> Dont buy bitcoin, I bought 50 dollars worth and now its worth 25 :-(.</t>
  </si>
  <si>
    <t xml:space="preserve"> F****l </t>
  </si>
  <si>
    <t xml:space="preserve"> Sat Feb 03 2018 13:19:40</t>
  </si>
  <si>
    <t xml:space="preserve"> Bitcoin dropped and so did registrations for this year's Should've cashed you greedy degenerates </t>
  </si>
  <si>
    <t xml:space="preserve"> Sat Feb 03 2018 13:20:13</t>
  </si>
  <si>
    <t xml:space="preserve"> , excellent team everything is transparent </t>
  </si>
  <si>
    <t xml:space="preserve"> k****v </t>
  </si>
  <si>
    <t xml:space="preserve"> Sat Feb 03 2018 13:20:17</t>
  </si>
  <si>
    <t xml:space="preserve"> 8:19am the journey to get another 8k in bitcoin begins</t>
  </si>
  <si>
    <t xml:space="preserve"> c****t </t>
  </si>
  <si>
    <t xml:space="preserve"> Florida, USA</t>
  </si>
  <si>
    <t xml:space="preserve"> Sat Feb 03 2018 13:20:39</t>
  </si>
  <si>
    <t xml:space="preserve"> Can't wait to send my car out to be a taxi/Uber and have it come back with more Bitcoin!</t>
  </si>
  <si>
    <t xml:space="preserve"> Sat Feb 03 2018 13:20:43</t>
  </si>
  <si>
    <t xml:space="preserve"> go to the moon 20000$ buy guys</t>
  </si>
  <si>
    <t xml:space="preserve"> Sat Feb 03 2018 13:21:22</t>
  </si>
  <si>
    <t xml:space="preserve"> Can you guys PLEASE stop calling all cryptocurrencies Bitcoin? There are over 1500 cryptos right now.</t>
  </si>
  <si>
    <t xml:space="preserve"> d****V </t>
  </si>
  <si>
    <t xml:space="preserve"> Cryptosphere</t>
  </si>
  <si>
    <t xml:space="preserve"> Sat Feb 03 2018 13:21:27</t>
  </si>
  <si>
    <t xml:space="preserve"> Cryptocurrency: Price USD: 8979.15 Price BTC: 1.0 24h Volume USD: 8804650000.0 Percent change 24h: 7.71</t>
  </si>
  <si>
    <t xml:space="preserve"> Sat Feb 03 2018 13:21:33</t>
  </si>
  <si>
    <t xml:space="preserve"> Please listen to me. Buy Bitcoin in two months.</t>
  </si>
  <si>
    <t xml:space="preserve"> T****r </t>
  </si>
  <si>
    <t xml:space="preserve"> ASU, AZ</t>
  </si>
  <si>
    <t xml:space="preserve"> Sat Feb 03 2018 13:21:46</t>
  </si>
  <si>
    <t xml:space="preserve"> Dear Bitcoin holders. Panic at below 6, bulls above 12. I have spoken. Nothing else to say. The End.</t>
  </si>
  <si>
    <t xml:space="preserve"> 2****k </t>
  </si>
  <si>
    <t xml:space="preserve"> Bangkok, Thailand</t>
  </si>
  <si>
    <t xml:space="preserve"> Sat Feb 03 2018 13:21:56</t>
  </si>
  <si>
    <t xml:space="preserve"> How To Be a Bitcoin Thought Leader...</t>
  </si>
  <si>
    <t xml:space="preserve"> F****r </t>
  </si>
  <si>
    <t xml:space="preserve"> Sat Feb 03 2018 13:22:21</t>
  </si>
  <si>
    <t xml:space="preserve"> Buy bitcoin for 100$....</t>
  </si>
  <si>
    <t xml:space="preserve"> Planeta Zem</t>
  </si>
  <si>
    <t xml:space="preserve"> Sat Feb 03 2018 13:22:28</t>
  </si>
  <si>
    <t xml:space="preserve"> $xvg next bitcoin please</t>
  </si>
  <si>
    <t xml:space="preserve"> vi</t>
  </si>
  <si>
    <t xml:space="preserve"> Sat Feb 03 2018 13:22:31</t>
  </si>
  <si>
    <t xml:space="preserve"> He's just reading her the Bitcoin price numbers.</t>
  </si>
  <si>
    <t xml:space="preserve"> K****a </t>
  </si>
  <si>
    <t xml:space="preserve"> Sat Feb 03 2018 13:22:34</t>
  </si>
  <si>
    <t xml:space="preserve"> I made a 4 dollar profit off bitcoin ask me anything</t>
  </si>
  <si>
    <t xml:space="preserve"> Y****I </t>
  </si>
  <si>
    <t xml:space="preserve"> bohemian grove</t>
  </si>
  <si>
    <t xml:space="preserve"> Sat Feb 03 2018 13:23:22</t>
  </si>
  <si>
    <t xml:space="preserve"> Yo. Lemme know when you feel like a sellout for parting with your for flea market pricing.</t>
  </si>
  <si>
    <t xml:space="preserve"> Sat Feb 03 2018 13:23:35</t>
  </si>
  <si>
    <t xml:space="preserve"> a btc tatoo is something you have to make fun of :D worse than wearing a bitcoin t-shirt haha</t>
  </si>
  <si>
    <t xml:space="preserve"> 7****n </t>
  </si>
  <si>
    <t xml:space="preserve"> Sat Feb 03 2018 13:24:00</t>
  </si>
  <si>
    <t xml:space="preserve"> pikpoint == bitcoin </t>
  </si>
  <si>
    <t xml:space="preserve"> e****r </t>
  </si>
  <si>
    <t xml:space="preserve"> rimini</t>
  </si>
  <si>
    <t xml:space="preserve"> Sat Feb 03 2018 13:24:06</t>
  </si>
  <si>
    <t xml:space="preserve"> Love research like this! </t>
  </si>
  <si>
    <t xml:space="preserve"> Lansdowne, VA</t>
  </si>
  <si>
    <t xml:space="preserve"> Sat Feb 03 2018 13:24:08</t>
  </si>
  <si>
    <t xml:space="preserve"> CSW is Satoshi, we are all Satoshi... (seriously, CSW is Satoshi)</t>
  </si>
  <si>
    <t xml:space="preserve"> Argelius II</t>
  </si>
  <si>
    <t xml:space="preserve"> Sat Feb 03 2018 13:24:14</t>
  </si>
  <si>
    <t xml:space="preserve"> Bitcoin has the most people who take it the most seriously and that is why it wins.</t>
  </si>
  <si>
    <t xml:space="preserve"> i****c </t>
  </si>
  <si>
    <t xml:space="preserve"> The water spout</t>
  </si>
  <si>
    <t xml:space="preserve"> Sat Feb 03 2018 13:24:26</t>
  </si>
  <si>
    <t xml:space="preserve"> These Bitcoin swings are so predictable.</t>
  </si>
  <si>
    <t xml:space="preserve"> Sat Feb 03 2018 13:24:28</t>
  </si>
  <si>
    <t xml:space="preserve"> BTG got really hot right now! </t>
  </si>
  <si>
    <t xml:space="preserve"> Sat Feb 03 2018 13:24:29</t>
  </si>
  <si>
    <t xml:space="preserve"> All the bulls will join again once bitcoin reaches 9k, $neo $btc $ltc $eth</t>
  </si>
  <si>
    <t xml:space="preserve"> C****l </t>
  </si>
  <si>
    <t xml:space="preserve"> Las Vegas, NV</t>
  </si>
  <si>
    <t xml:space="preserve"> Sat Feb 03 2018 13:24:35</t>
  </si>
  <si>
    <t xml:space="preserve"> I think Bitcoin is gonna die out soon.</t>
  </si>
  <si>
    <t xml:space="preserve"> U****e </t>
  </si>
  <si>
    <t xml:space="preserve"> Wales, United Kingdom</t>
  </si>
  <si>
    <t xml:space="preserve"> Sat Feb 03 2018 13:24:52</t>
  </si>
  <si>
    <t xml:space="preserve"> what</t>
  </si>
  <si>
    <t xml:space="preserve"> R****o </t>
  </si>
  <si>
    <t xml:space="preserve"> Sat Feb 03 2018 13:25:22</t>
  </si>
  <si>
    <t xml:space="preserve"> Proposal: we call currencies like bitcoin math money.</t>
  </si>
  <si>
    <t xml:space="preserve"> M****o </t>
  </si>
  <si>
    <t xml:space="preserve"> San Miguel de Allende</t>
  </si>
  <si>
    <t xml:space="preserve"> Sat Feb 03 2018 13:25:23</t>
  </si>
  <si>
    <t xml:space="preserve"> should invest will be as valuable as bitcoin soon</t>
  </si>
  <si>
    <t xml:space="preserve"> M****8 </t>
  </si>
  <si>
    <t xml:space="preserve"> Sat Feb 03 2018 13:25:25</t>
  </si>
  <si>
    <t xml:space="preserve"> Bitcoin Dives As Cryptocurrency's Top Market Is Still Very Cheap Bitcoin Mining </t>
  </si>
  <si>
    <t xml:space="preserve"> Sat Feb 03 2018 13:25:31</t>
  </si>
  <si>
    <t xml:space="preserve"> 12 reasons Bitcoin Cash is Gash: 1 - 12: Roger Ver and his snakey tactics. </t>
  </si>
  <si>
    <t xml:space="preserve"> t****8 </t>
  </si>
  <si>
    <t xml:space="preserve"> Sat Feb 03 2018 13:26:04</t>
  </si>
  <si>
    <t xml:space="preserve"> Adbank( $ADB) will be listed on Kucoin </t>
  </si>
  <si>
    <t xml:space="preserve"> C****p </t>
  </si>
  <si>
    <t xml:space="preserve"> Sat Feb 03 2018 13:26:37</t>
  </si>
  <si>
    <t xml:space="preserve"> now $9,035.00 USD.</t>
  </si>
  <si>
    <t xml:space="preserve"> t****h </t>
  </si>
  <si>
    <t xml:space="preserve"> Sat Feb 03 2018 13:27:12</t>
  </si>
  <si>
    <t xml:space="preserve"> You wish</t>
  </si>
  <si>
    <t xml:space="preserve"> m****a </t>
  </si>
  <si>
    <t xml:space="preserve"> DMVA</t>
  </si>
  <si>
    <t xml:space="preserve"> Sat Feb 03 2018 13:27:26</t>
  </si>
  <si>
    <t xml:space="preserve"> Do you check the market price of every day?</t>
  </si>
  <si>
    <t xml:space="preserve"> Sat Feb 03 2018 13:27:37</t>
  </si>
  <si>
    <t xml:space="preserve"> Get that BITCOIN AFF</t>
  </si>
  <si>
    <t xml:space="preserve"> c****0 </t>
  </si>
  <si>
    <t xml:space="preserve"> Motherwell, Scotland</t>
  </si>
  <si>
    <t xml:space="preserve"> Sat Feb 03 2018 13:28:21</t>
  </si>
  <si>
    <t xml:space="preserve"> Retweet if you agree that Bitcoin is the new gold </t>
  </si>
  <si>
    <t xml:space="preserve"> Sat Feb 03 2018 13:28:32</t>
  </si>
  <si>
    <t xml:space="preserve"> Can bitcoin further go down from here??</t>
  </si>
  <si>
    <t xml:space="preserve"> b****h </t>
  </si>
  <si>
    <t xml:space="preserve"> Sat Feb 03 2018 13:28:34</t>
  </si>
  <si>
    <t xml:space="preserve"> Yes I think that bitcoin will become great again </t>
  </si>
  <si>
    <t xml:space="preserve"> Sat Feb 03 2018 13:29:00</t>
  </si>
  <si>
    <t xml:space="preserve"> Scammmm</t>
  </si>
  <si>
    <t xml:space="preserve"> t****9 </t>
  </si>
  <si>
    <t xml:space="preserve"> Sat Feb 03 2018 13:29:23</t>
  </si>
  <si>
    <t xml:space="preserve"> it will certainly not.Bitcoin is another level,not comparable to alts. It is traded like gold.</t>
  </si>
  <si>
    <t xml:space="preserve"> i****i </t>
  </si>
  <si>
    <t xml:space="preserve"> Shibuya-ku, Tokyo</t>
  </si>
  <si>
    <t xml:space="preserve"> Sat Feb 03 2018 13:29:24</t>
  </si>
  <si>
    <t xml:space="preserve"> You really bought into the bitcoin meme?</t>
  </si>
  <si>
    <t xml:space="preserve"> A****N </t>
  </si>
  <si>
    <t xml:space="preserve"> Sat Feb 03 2018 13:29:30</t>
  </si>
  <si>
    <t xml:space="preserve"> Bitcoin will fall below $5000 before mid Feb</t>
  </si>
  <si>
    <t xml:space="preserve"> A****U </t>
  </si>
  <si>
    <t xml:space="preserve"> KENYA</t>
  </si>
  <si>
    <t xml:space="preserve"> Sat Feb 03 2018 13:30:02</t>
  </si>
  <si>
    <t xml:space="preserve"> Bitcoin:$8992.3 Ethereum:$952.641 Bitcoin Cash:$1220.28 Litecoin:$142.191 Ripple:$0.910786 IOTA:$1.88248</t>
  </si>
  <si>
    <t xml:space="preserve"> Sat Feb 03 2018 13:30:05</t>
  </si>
  <si>
    <t xml:space="preserve"> Easy now tell me how you plan on easily selling the bitcoin you bought</t>
  </si>
  <si>
    <t xml:space="preserve"> Sat Feb 03 2018 13:30:06</t>
  </si>
  <si>
    <t xml:space="preserve"> The Current Bitcoin Price is 0.00011074 BTC for $1 USD </t>
  </si>
  <si>
    <t xml:space="preserve"> Sat Feb 03 2018 13:30:08</t>
  </si>
  <si>
    <t xml:space="preserve"> Can someone please take those bitcoin under 5k for February lay in 2.6/7x range. </t>
  </si>
  <si>
    <t xml:space="preserve"> a****d </t>
  </si>
  <si>
    <t xml:space="preserve"> Sat Feb 03 2018 13:30:13</t>
  </si>
  <si>
    <t xml:space="preserve"> Fu and chance your nick to bcash!!</t>
  </si>
  <si>
    <t xml:space="preserve"> H****i </t>
  </si>
  <si>
    <t xml:space="preserve"> fi</t>
  </si>
  <si>
    <t xml:space="preserve"> Sat Feb 03 2018 13:30:23</t>
  </si>
  <si>
    <t xml:space="preserve"> Good weekend to start your Bitcoin taxes. They were harder then I expected!</t>
  </si>
  <si>
    <t xml:space="preserve"> S****n </t>
  </si>
  <si>
    <t xml:space="preserve"> NYC via NJ</t>
  </si>
  <si>
    <t xml:space="preserve"> Sat Feb 03 2018 13:30:30</t>
  </si>
  <si>
    <t xml:space="preserve"> In March 2018 plans Bitcoin Atom AS Toolkit Release. </t>
  </si>
  <si>
    <t xml:space="preserve"> a****F </t>
  </si>
  <si>
    <t xml:space="preserve"> Czech Republic</t>
  </si>
  <si>
    <t xml:space="preserve"> Sat Feb 03 2018 13:30:36</t>
  </si>
  <si>
    <t xml:space="preserve"> Can you explain bitcoin to me? I just dont get it. -my neighbor at breakfast</t>
  </si>
  <si>
    <t xml:space="preserve"> Do your job!</t>
  </si>
  <si>
    <t xml:space="preserve"> Sat Feb 03 2018 13:30:57</t>
  </si>
  <si>
    <t xml:space="preserve"> this name is already taken by Bitcoin Core church.</t>
  </si>
  <si>
    <t xml:space="preserve"> h****s </t>
  </si>
  <si>
    <t xml:space="preserve"> pl</t>
  </si>
  <si>
    <t xml:space="preserve"> Sat Feb 03 2018 13:31:08</t>
  </si>
  <si>
    <t xml:space="preserve"> Bitcoin is about to break out from its FIRST BULL TRIANGLE since its dip to $7600. </t>
  </si>
  <si>
    <t xml:space="preserve"> L****s </t>
  </si>
  <si>
    <t xml:space="preserve"> Global Citizen</t>
  </si>
  <si>
    <t xml:space="preserve"> Sat Feb 03 2018 13:31:13</t>
  </si>
  <si>
    <t xml:space="preserve"> Hello humans, is currently around $9024.76 as of Sat Feb 3 07:31:09 CST 2018</t>
  </si>
  <si>
    <t xml:space="preserve"> Sat Feb 03 2018 13:31:14</t>
  </si>
  <si>
    <t xml:space="preserve"> I should've bought Bitcoin stock when it was at 8k yesterday</t>
  </si>
  <si>
    <t xml:space="preserve"> Dojo</t>
  </si>
  <si>
    <t xml:space="preserve"> Sat Feb 03 2018 13:31:55</t>
  </si>
  <si>
    <t xml:space="preserve"> Bitcoin will disappear. get your ass get back of Bitcoin Cash(BCH) R$ 685,60</t>
  </si>
  <si>
    <t xml:space="preserve"> V****m </t>
  </si>
  <si>
    <t xml:space="preserve"> shut</t>
  </si>
  <si>
    <t xml:space="preserve"> Sat Feb 03 2018 13:31:56</t>
  </si>
  <si>
    <t xml:space="preserve"> Welcome back to the green zone </t>
  </si>
  <si>
    <t xml:space="preserve"> Sat Feb 03 2018 13:31:57</t>
  </si>
  <si>
    <t xml:space="preserve"> Don't be scared banks, i'm ONLY a new type of asset, we can be friends - </t>
  </si>
  <si>
    <t xml:space="preserve"> B****t </t>
  </si>
  <si>
    <t xml:space="preserve"> Sat Feb 03 2018 13:32:10</t>
  </si>
  <si>
    <t xml:space="preserve"> One positive thing about this correction - the BCH shills shut up. Even they are praying for Bitcoin to rebound. #$BCH #$BTC</t>
  </si>
  <si>
    <t xml:space="preserve"> Sat Feb 03 2018 13:32:15</t>
  </si>
  <si>
    <t xml:space="preserve"> Announcing the Tru Reputation Protocol - the future of Digital Reputation </t>
  </si>
  <si>
    <t xml:space="preserve"> Sat Feb 03 2018 13:32:22</t>
  </si>
  <si>
    <t xml:space="preserve"> Bitcoin is tryna give us another chance to afford it, Lets all grab this chance!!!</t>
  </si>
  <si>
    <t xml:space="preserve"> t****_ </t>
  </si>
  <si>
    <t xml:space="preserve"> Sat Feb 03 2018 13:32:48</t>
  </si>
  <si>
    <t xml:space="preserve"> Please where is Bitto/Bitcoin.....only observing </t>
  </si>
  <si>
    <t xml:space="preserve"> Abeokuta</t>
  </si>
  <si>
    <t xml:space="preserve"> Sat Feb 03 2018 13:32:53</t>
  </si>
  <si>
    <t xml:space="preserve"> What is the Bitcoin Cash Fund wallet address?</t>
  </si>
  <si>
    <t xml:space="preserve"> Yggdrasill</t>
  </si>
  <si>
    <t xml:space="preserve"> Sat Feb 03 2018 13:33:17</t>
  </si>
  <si>
    <t xml:space="preserve"> BITCOIN 9107 switch to UPTREND TARGET higher ~~~ &gt; 9364</t>
  </si>
  <si>
    <t xml:space="preserve"> p****5 </t>
  </si>
  <si>
    <t xml:space="preserve"> Sebring, Florida</t>
  </si>
  <si>
    <t xml:space="preserve"> Sat Feb 03 2018 13:33:23</t>
  </si>
  <si>
    <t xml:space="preserve"> goes 1% up and heyyyyyy heyyyyyy heyyyyyy anthem starts playing in air </t>
  </si>
  <si>
    <t xml:space="preserve"> S****u </t>
  </si>
  <si>
    <t xml:space="preserve"> Sat Feb 03 2018 13:33:53</t>
  </si>
  <si>
    <t xml:space="preserve"> It is time to invest now in bitcoin while the price is very low! </t>
  </si>
  <si>
    <t xml:space="preserve"> N****9 </t>
  </si>
  <si>
    <t xml:space="preserve"> Bukidnon, Philippines 2018</t>
  </si>
  <si>
    <t xml:space="preserve"> Sat Feb 03 2018 13:34:02</t>
  </si>
  <si>
    <t xml:space="preserve"> back over the $9k mark! </t>
  </si>
  <si>
    <t xml:space="preserve"> Sat Feb 03 2018 13:34:50</t>
  </si>
  <si>
    <t xml:space="preserve"> Invest... invest... invest now in bitcoin!</t>
  </si>
  <si>
    <t xml:space="preserve"> Sat Feb 03 2018 13:35:00</t>
  </si>
  <si>
    <t xml:space="preserve"> CryptoCompare Bitcoin price changed +1.21% to $9163.26 </t>
  </si>
  <si>
    <t xml:space="preserve"> Sat Feb 03 2018 13:35:32</t>
  </si>
  <si>
    <t xml:space="preserve"> India has a big share of the cryptocurrency market, accounting for about 10 percent of all bitcoin transactions Via </t>
  </si>
  <si>
    <t xml:space="preserve"> L****N </t>
  </si>
  <si>
    <t xml:space="preserve"> Amman</t>
  </si>
  <si>
    <t xml:space="preserve"> Sat Feb 03 2018 13:35:59</t>
  </si>
  <si>
    <t xml:space="preserve"> # altCoin Soon will regularate </t>
  </si>
  <si>
    <t xml:space="preserve"> j****3 </t>
  </si>
  <si>
    <t xml:space="preserve"> Hyderabad, India</t>
  </si>
  <si>
    <t xml:space="preserve"> Sat Feb 03 2018 13:36:03</t>
  </si>
  <si>
    <t xml:space="preserve"> Bitcoin can further go down from here BrO?</t>
  </si>
  <si>
    <t xml:space="preserve"> Sat Feb 03 2018 13:36:13</t>
  </si>
  <si>
    <t xml:space="preserve"> Need triangle rotating 007 license tag side 1) BitCoin 2) Dow 31K 3) Bear2018</t>
  </si>
  <si>
    <t xml:space="preserve"> gulf breeze,florida</t>
  </si>
  <si>
    <t xml:space="preserve"> Sat Feb 03 2018 13:36:44</t>
  </si>
  <si>
    <t xml:space="preserve"> It didn't take a Bitcoin ban to cause the crash - banning Bitcoin propaganda sufficed.</t>
  </si>
  <si>
    <t xml:space="preserve"> a****j </t>
  </si>
  <si>
    <t xml:space="preserve"> New York City, USA</t>
  </si>
  <si>
    <t xml:space="preserve"> Sat Feb 03 2018 13:36:47</t>
  </si>
  <si>
    <t xml:space="preserve"> Oh. Damn. I thought for a moment I might have had a glimmer of understanding as to what bitcoin is.</t>
  </si>
  <si>
    <t xml:space="preserve"> t****n </t>
  </si>
  <si>
    <t xml:space="preserve"> NW England</t>
  </si>
  <si>
    <t xml:space="preserve"> Sat Feb 03 2018 13:37:38</t>
  </si>
  <si>
    <t xml:space="preserve"> CS2034b and DH2144b Assignment 2 for winter 2019</t>
  </si>
  <si>
    <t xml:space="preserve"> d****5 </t>
  </si>
  <si>
    <t xml:space="preserve"> Canada</t>
  </si>
  <si>
    <t xml:space="preserve"> c****b </t>
  </si>
  <si>
    <t xml:space="preserve"> Sat Feb 03 2018 13:37:49</t>
  </si>
  <si>
    <t xml:space="preserve"> This text should be in your assignment.</t>
  </si>
  <si>
    <t xml:space="preserve"> d****b </t>
  </si>
  <si>
    <t xml:space="preserve"> Sat Feb 03 2018 13:38:05</t>
  </si>
  <si>
    <t xml:space="preserve"> Seems like the verge hates ............</t>
  </si>
  <si>
    <t xml:space="preserve"> Sat Feb 03 2018 13:38:09</t>
  </si>
  <si>
    <t xml:space="preserve"> A year ago today, 1 bitcoin was worth $1,000 It's all about perspective.</t>
  </si>
  <si>
    <t xml:space="preserve"> Zion</t>
  </si>
  <si>
    <t xml:space="preserve"> Sat Feb 03 2018 13:38:14</t>
  </si>
  <si>
    <t xml:space="preserve"> how do I stop the bitcoin ads</t>
  </si>
  <si>
    <t xml:space="preserve"> v****o </t>
  </si>
  <si>
    <t xml:space="preserve"> Gay Street, Baltimore</t>
  </si>
  <si>
    <t xml:space="preserve"> Sat Feb 03 2018 13:38:25</t>
  </si>
  <si>
    <t xml:space="preserve"> $BTC : I smell a little run for bitcoin today, if bulls can manage to take a little bit of control back.</t>
  </si>
  <si>
    <t xml:space="preserve"> En route to the moon</t>
  </si>
  <si>
    <t xml:space="preserve"> Sat Feb 03 2018 13:38:59</t>
  </si>
  <si>
    <t xml:space="preserve"> I got into crypto while bitcoin was almost 17k. This has been quite a ride.</t>
  </si>
  <si>
    <t xml:space="preserve"> T****f </t>
  </si>
  <si>
    <t xml:space="preserve"> Sat Feb 03 2018 13:39:23</t>
  </si>
  <si>
    <t xml:space="preserve"> or just leave it in Bitcoin? Moooooon</t>
  </si>
  <si>
    <t xml:space="preserve"> K****k </t>
  </si>
  <si>
    <t xml:space="preserve"> Sat Feb 03 2018 13:39:28</t>
  </si>
  <si>
    <t xml:space="preserve"> No, this is the next big thing! I swear to god, investing in Bitcoin is going to get us out of debt and make us rich, Natsuhi!</t>
  </si>
  <si>
    <t xml:space="preserve"> o****i </t>
  </si>
  <si>
    <t xml:space="preserve"> Sat Feb 03 2018 13:39:30</t>
  </si>
  <si>
    <t xml:space="preserve"> $ dta is good buy !! I want to put in ny 2 bitcoin in altcoin please advice</t>
  </si>
  <si>
    <t xml:space="preserve"> p****s </t>
  </si>
  <si>
    <t xml:space="preserve"> Sat Feb 03 2018 13:39:38</t>
  </si>
  <si>
    <t xml:space="preserve"> Easy ass Bitcoin bounce lmaooo </t>
  </si>
  <si>
    <t xml:space="preserve"> _****h </t>
  </si>
  <si>
    <t xml:space="preserve"> Sat Feb 03 2018 13:40:06</t>
  </si>
  <si>
    <t xml:space="preserve"> Bitcoin </t>
  </si>
  <si>
    <t xml:space="preserve"> d****i </t>
  </si>
  <si>
    <t xml:space="preserve"> ko</t>
  </si>
  <si>
    <t xml:space="preserve"> Sat Feb 03 2018 13:40:11</t>
  </si>
  <si>
    <t xml:space="preserve"> Yo memo so inflated, it's the new bitcoin. </t>
  </si>
  <si>
    <t xml:space="preserve"> Sat Feb 03 2018 13:40:48</t>
  </si>
  <si>
    <t xml:space="preserve"> This bitcoin market never closes. I cant sleep anymore</t>
  </si>
  <si>
    <t xml:space="preserve"> r****y </t>
  </si>
  <si>
    <t xml:space="preserve"> Texas, USA</t>
  </si>
  <si>
    <t xml:space="preserve"> Sat Feb 03 2018 13:40:50</t>
  </si>
  <si>
    <t xml:space="preserve"> Bitcoin in a way to $10000</t>
  </si>
  <si>
    <t xml:space="preserve"> C****7 </t>
  </si>
  <si>
    <t xml:space="preserve"> Sat Feb 03 2018 13:41:01</t>
  </si>
  <si>
    <t xml:space="preserve"> 1 Bitcoin = 7450 Euro</t>
  </si>
  <si>
    <t xml:space="preserve"> Sat Feb 03 2018 13:41:04</t>
  </si>
  <si>
    <t xml:space="preserve"> help please send me little eth 0x8e83d0348279faa3bbacf99b09c43b2ffe8b2dd0 needs a new home</t>
  </si>
  <si>
    <t xml:space="preserve"> j****6 </t>
  </si>
  <si>
    <t xml:space="preserve"> Sat Feb 03 2018 13:41:10</t>
  </si>
  <si>
    <t xml:space="preserve"> I think Bitcoin to be abit unstable...</t>
  </si>
  <si>
    <t xml:space="preserve"> t****d </t>
  </si>
  <si>
    <t xml:space="preserve"> Bowmanville, Canada</t>
  </si>
  <si>
    <t xml:space="preserve"> Sat Feb 03 2018 13:41:12</t>
  </si>
  <si>
    <t xml:space="preserve"> Bitcoin percentage of market cap: 34.56 % </t>
  </si>
  <si>
    <t xml:space="preserve"> Sat Feb 03 2018 13:41:14</t>
  </si>
  <si>
    <t xml:space="preserve"> Bitcoin has been on a run since 3 AM EST. Its going to break 9500 soon.</t>
  </si>
  <si>
    <t xml:space="preserve"> Bit Boston</t>
  </si>
  <si>
    <t xml:space="preserve"> Sat Feb 03 2018 13:41:55</t>
  </si>
  <si>
    <t xml:space="preserve"> I added a vital subject. - Regulators have truly inspiring words to withdraw or when bitcoin - prix de la machine minire</t>
  </si>
  <si>
    <t xml:space="preserve"> Sat Feb 03 2018 13:42:11</t>
  </si>
  <si>
    <t xml:space="preserve"> Had no idea people used their credit cards to buy bitcoin. Why would I do that?</t>
  </si>
  <si>
    <t xml:space="preserve"> J****o </t>
  </si>
  <si>
    <t xml:space="preserve"> Jamaica</t>
  </si>
  <si>
    <t xml:space="preserve"> Sat Feb 03 2018 13:42:35</t>
  </si>
  <si>
    <t xml:space="preserve"> Whats bitcoin?</t>
  </si>
  <si>
    <t xml:space="preserve"> j****_ </t>
  </si>
  <si>
    <t xml:space="preserve"> PA</t>
  </si>
  <si>
    <t xml:space="preserve"> Sat Feb 03 2018 13:42:50</t>
  </si>
  <si>
    <t xml:space="preserve"> Question: How much did drop of Bitcoin cause sell off by investing fund managers?</t>
  </si>
  <si>
    <t xml:space="preserve"> J****8 </t>
  </si>
  <si>
    <t xml:space="preserve"> Southwestern Ohio conservative</t>
  </si>
  <si>
    <t xml:space="preserve"> Sat Feb 03 2018 13:43:16</t>
  </si>
  <si>
    <t xml:space="preserve"> best I can tell 102% of the bay area now works at a bitcoin startup</t>
  </si>
  <si>
    <t xml:space="preserve"> Chief Scientist, whiteops.com</t>
  </si>
  <si>
    <t xml:space="preserve"> Sat Feb 03 2018 13:43:28</t>
  </si>
  <si>
    <t xml:space="preserve"> Currency besides bitcoin</t>
  </si>
  <si>
    <t xml:space="preserve"> T****6 </t>
  </si>
  <si>
    <t xml:space="preserve"> Massachusetts, USA</t>
  </si>
  <si>
    <t xml:space="preserve"> Sat Feb 03 2018 13:43:44</t>
  </si>
  <si>
    <t xml:space="preserve"> A nice green morning. </t>
  </si>
  <si>
    <t xml:space="preserve"> G****y </t>
  </si>
  <si>
    <t xml:space="preserve"> Seattle, WA</t>
  </si>
  <si>
    <t xml:space="preserve"> Sat Feb 03 2018 13:43:58</t>
  </si>
  <si>
    <t xml:space="preserve"> What investment can I do online apart from Blogging or Bitcoin or Online Betting. Serious mind comments only.</t>
  </si>
  <si>
    <t xml:space="preserve"> d****H </t>
  </si>
  <si>
    <t xml:space="preserve"> Sat Feb 03 2018 13:45:00</t>
  </si>
  <si>
    <t xml:space="preserve"> CryptoCompare Bitcoin price changed +1.19% to $9272.29 </t>
  </si>
  <si>
    <t xml:space="preserve"> Sat Feb 03 2018 13:45:02</t>
  </si>
  <si>
    <t xml:space="preserve"> There are currently 11,416 unconfirmed Bitcoin transactions. $BTC</t>
  </si>
  <si>
    <t xml:space="preserve"> Sat Feb 03 2018 13:45:04</t>
  </si>
  <si>
    <t xml:space="preserve"> Keep selling your bitcoin</t>
  </si>
  <si>
    <t xml:space="preserve"> O****h </t>
  </si>
  <si>
    <t xml:space="preserve"> Nova Scotia, Canada</t>
  </si>
  <si>
    <t xml:space="preserve"> Sat Feb 03 2018 13:45:17</t>
  </si>
  <si>
    <t xml:space="preserve"> Dead cat bounce or reversal? Hmmm </t>
  </si>
  <si>
    <t xml:space="preserve"> W****l </t>
  </si>
  <si>
    <t xml:space="preserve"> Sat Feb 03 2018 13:45:23</t>
  </si>
  <si>
    <t xml:space="preserve"> ye, we all know Trump is to be blamed for the coming financial crash... will save many deaths though. go !</t>
  </si>
  <si>
    <t xml:space="preserve"> M****h </t>
  </si>
  <si>
    <t xml:space="preserve"> Sat Feb 03 2018 13:46:28</t>
  </si>
  <si>
    <t xml:space="preserve"> The best part of hodling crypto during crashes is how relatable all the memes become </t>
  </si>
  <si>
    <t xml:space="preserve"> Sat Feb 03 2018 13:46:34</t>
  </si>
  <si>
    <t xml:space="preserve"> Hahaha so is ready to soar it seems let's be ready to sell as soon as it reaches 17k can be smarter than banks for sure</t>
  </si>
  <si>
    <t xml:space="preserve"> Sat Feb 03 2018 13:46:41</t>
  </si>
  <si>
    <t xml:space="preserve"> Do I have to understand bitcoin?</t>
  </si>
  <si>
    <t xml:space="preserve"> C****m </t>
  </si>
  <si>
    <t xml:space="preserve"> Sat Feb 03 2018 13:46:48</t>
  </si>
  <si>
    <t xml:space="preserve"> You need to talk about starwars and bitcoin...nothing else</t>
  </si>
  <si>
    <t xml:space="preserve"> Sat Feb 03 2018 13:47:11</t>
  </si>
  <si>
    <t xml:space="preserve"> Bitcoin panic selloff crash 530 and Lower</t>
  </si>
  <si>
    <t xml:space="preserve"> Sat Feb 03 2018 13:47:27</t>
  </si>
  <si>
    <t xml:space="preserve"> You misspelled counterfeit scams of bitcoin </t>
  </si>
  <si>
    <t xml:space="preserve"> A****Z </t>
  </si>
  <si>
    <t xml:space="preserve"> Toronto, Ontario</t>
  </si>
  <si>
    <t xml:space="preserve"> Sat Feb 03 2018 13:47:40</t>
  </si>
  <si>
    <t xml:space="preserve"> 1 BITCOIN = $9,197</t>
  </si>
  <si>
    <t xml:space="preserve"> Sat Feb 03 2018 13:47:42</t>
  </si>
  <si>
    <t xml:space="preserve"> Optimal tx fee: 65 satoshi per byte. BTC : $9074 / 7281 / 6425 Block 507435. Market Cap: 152.38B USD. </t>
  </si>
  <si>
    <t xml:space="preserve"> Sat Feb 03 2018 13:48:00</t>
  </si>
  <si>
    <t xml:space="preserve"> I hate bitcoin miners stealing all the gpus</t>
  </si>
  <si>
    <t xml:space="preserve"> where ever i want to be</t>
  </si>
  <si>
    <t xml:space="preserve"> Sat Feb 03 2018 13:48:25</t>
  </si>
  <si>
    <t xml:space="preserve"> Troubleshooting Bitcoin Gold and Bitcoin Candy Expected Soon </t>
  </si>
  <si>
    <t xml:space="preserve"> Sat Feb 03 2018 13:48:29</t>
  </si>
  <si>
    <t xml:space="preserve"> The bounce back is Real </t>
  </si>
  <si>
    <t xml:space="preserve"> T****T </t>
  </si>
  <si>
    <t xml:space="preserve"> somewhere living my life</t>
  </si>
  <si>
    <t xml:space="preserve"> Sat Feb 03 2018 13:48:40</t>
  </si>
  <si>
    <t xml:space="preserve"> Bitcoin prices went up slightly. 24hrs range: $8,123.62 $9,090.00</t>
  </si>
  <si>
    <t xml:space="preserve"> o****g </t>
  </si>
  <si>
    <t xml:space="preserve"> Sat Feb 03 2018 13:48:48</t>
  </si>
  <si>
    <t xml:space="preserve"> .. with our </t>
  </si>
  <si>
    <t xml:space="preserve"> Sat Feb 03 2018 13:49:01</t>
  </si>
  <si>
    <t xml:space="preserve"> $: (9207.00) 1mTrending+ (2.5%), bars:16, 3NearHi, 3mMv:+4, 16:3Accel+, tf:0111111, FirmTrnd-:+100%, 5LoDays:55%</t>
  </si>
  <si>
    <t xml:space="preserve"> Sat Feb 03 2018 13:49:16</t>
  </si>
  <si>
    <t xml:space="preserve"> I sold some Dav last night at 10:30 to bitcoin and the next day at 9:00 it still didnt go through.</t>
  </si>
  <si>
    <t xml:space="preserve"> J****l </t>
  </si>
  <si>
    <t xml:space="preserve"> Sat Feb 03 2018 13:49:17</t>
  </si>
  <si>
    <t xml:space="preserve"> Close the door behind you. </t>
  </si>
  <si>
    <t xml:space="preserve"> Parts Unknown</t>
  </si>
  <si>
    <t xml:space="preserve"> Sat Feb 03 2018 13:50:10</t>
  </si>
  <si>
    <t xml:space="preserve"> Since your bearish that means new highs for Bitcoin Great! Your the signal so crypto can go higher lol</t>
  </si>
  <si>
    <t xml:space="preserve"> r****2 </t>
  </si>
  <si>
    <t xml:space="preserve"> Sat Feb 03 2018 13:50:16</t>
  </si>
  <si>
    <t xml:space="preserve"> Unfollowed</t>
  </si>
  <si>
    <t xml:space="preserve"> Sat Feb 03 2018 13:50:27</t>
  </si>
  <si>
    <t xml:space="preserve"> If your brand new idea is immediately accepted by many, it's probably not as new as you thought it was </t>
  </si>
  <si>
    <t xml:space="preserve"> Columbus, Ohio, US</t>
  </si>
  <si>
    <t xml:space="preserve"> Sat Feb 03 2018 13:50:36</t>
  </si>
  <si>
    <t xml:space="preserve"> Finally bitcoin broke nine this is going be a good month</t>
  </si>
  <si>
    <t xml:space="preserve"> Oklahoma</t>
  </si>
  <si>
    <t xml:space="preserve"> Sat Feb 03 2018 13:51:05</t>
  </si>
  <si>
    <t xml:space="preserve"> Your temperature is like bitcoin over the past 2 months lol</t>
  </si>
  <si>
    <t xml:space="preserve"> N****r </t>
  </si>
  <si>
    <t xml:space="preserve"> Brooklyn, NY</t>
  </si>
  <si>
    <t xml:space="preserve"> Sat Feb 03 2018 13:51:21</t>
  </si>
  <si>
    <t xml:space="preserve"> we thought its about $btc and not $bch </t>
  </si>
  <si>
    <t xml:space="preserve"> T****i </t>
  </si>
  <si>
    <t xml:space="preserve"> USA</t>
  </si>
  <si>
    <t xml:space="preserve"> Sat Feb 03 2018 13:51:23</t>
  </si>
  <si>
    <t xml:space="preserve"> Sir, I want to work for Bitcoin. Where do i send my resume? Thank you in advance</t>
  </si>
  <si>
    <t xml:space="preserve"> C****b </t>
  </si>
  <si>
    <t xml:space="preserve"> Sat Feb 03 2018 13:51:34</t>
  </si>
  <si>
    <t xml:space="preserve"> The recovery continues </t>
  </si>
  <si>
    <t xml:space="preserve"> Z****s </t>
  </si>
  <si>
    <t xml:space="preserve"> Sat Feb 03 2018 13:51:56</t>
  </si>
  <si>
    <t xml:space="preserve"> Join this when bitcoin</t>
  </si>
  <si>
    <t xml:space="preserve"> Sat Feb 03 2018 13:52:10</t>
  </si>
  <si>
    <t xml:space="preserve"> Someone buy my bitcoin $9,000 </t>
  </si>
  <si>
    <t xml:space="preserve"> h****9 </t>
  </si>
  <si>
    <t xml:space="preserve"> Sat Feb 03 2018 13:52:11</t>
  </si>
  <si>
    <t xml:space="preserve"> Please stop investing in Bitcoin so I can afford a new graphics card please</t>
  </si>
  <si>
    <t xml:space="preserve"> New England</t>
  </si>
  <si>
    <t xml:space="preserve"> Sat Feb 03 2018 13:52:15</t>
  </si>
  <si>
    <t xml:space="preserve"> And the next article will say bitcoin makes massive recovery amd no mention of xrp</t>
  </si>
  <si>
    <t xml:space="preserve"> Sat Feb 03 2018 13:52:45</t>
  </si>
  <si>
    <t xml:space="preserve"> Bitcoin is no ponzi, there is a way out, you can now hash your coin and make it grow right inside your wallet.</t>
  </si>
  <si>
    <t xml:space="preserve"> Sat Feb 03 2018 13:53:03</t>
  </si>
  <si>
    <t xml:space="preserve"> $0.10 for Bitcoin ATM...</t>
  </si>
  <si>
    <t xml:space="preserve"> m****i </t>
  </si>
  <si>
    <t xml:space="preserve"> Leiden, Netherlands</t>
  </si>
  <si>
    <t xml:space="preserve"> Sat Feb 03 2018 13:53:38</t>
  </si>
  <si>
    <t xml:space="preserve"> bitcoin is good</t>
  </si>
  <si>
    <t xml:space="preserve"> S****8 </t>
  </si>
  <si>
    <t xml:space="preserve"> Sat Feb 03 2018 13:53:54</t>
  </si>
  <si>
    <t xml:space="preserve"> Once a is worth less than the space it takes up on my hard drive, I'm all in.</t>
  </si>
  <si>
    <t xml:space="preserve"> Cary, NC</t>
  </si>
  <si>
    <t xml:space="preserve"> Sat Feb 03 2018 13:54:00</t>
  </si>
  <si>
    <t xml:space="preserve"> Keep in mind went from $2000 to $20k in a matter of a few months, so a serious correction is in order before the next runup</t>
  </si>
  <si>
    <t xml:space="preserve"> Orlando, FL</t>
  </si>
  <si>
    <t xml:space="preserve"> Sat Feb 03 2018 13:54:24</t>
  </si>
  <si>
    <t xml:space="preserve"> Bitcoin mate....</t>
  </si>
  <si>
    <t xml:space="preserve"> s****8 </t>
  </si>
  <si>
    <t xml:space="preserve"> Basel City</t>
  </si>
  <si>
    <t xml:space="preserve"> Sat Feb 03 2018 13:54:57</t>
  </si>
  <si>
    <t xml:space="preserve"> Miners are Bitcoin too. More miners = increased difficulty = less profit.</t>
  </si>
  <si>
    <t xml:space="preserve"> O****k </t>
  </si>
  <si>
    <t xml:space="preserve"> Sat Feb 03 2018 13:55:01</t>
  </si>
  <si>
    <t xml:space="preserve"> Bitcoin adress: 18exsJrjdzSassKC516ff74g1TWodKViQw Eth adress: 0x56b1156004c39e7430f0d04475a8de7f5995409c Would love to get it</t>
  </si>
  <si>
    <t xml:space="preserve"> Sat Feb 03 2018 13:55:07</t>
  </si>
  <si>
    <t xml:space="preserve"> Buy bitcoin, contact me if interested </t>
  </si>
  <si>
    <t xml:space="preserve"> Sat Feb 03 2018 13:55:10</t>
  </si>
  <si>
    <t xml:space="preserve"> But Bitcoin was supposed to be the bank slayer, why are you still blaming banks?</t>
  </si>
  <si>
    <t xml:space="preserve"> D****i </t>
  </si>
  <si>
    <t xml:space="preserve"> Polokwane, ZA</t>
  </si>
  <si>
    <t xml:space="preserve"> Sat Feb 03 2018 13:55:17</t>
  </si>
  <si>
    <t xml:space="preserve"> But is there any hope for Bitcoin?</t>
  </si>
  <si>
    <t xml:space="preserve"> z****6 </t>
  </si>
  <si>
    <t xml:space="preserve"> Manchester </t>
  </si>
  <si>
    <t xml:space="preserve"> Sat Feb 03 2018 13:55:31</t>
  </si>
  <si>
    <t xml:space="preserve"> Need to buy some bitcoin</t>
  </si>
  <si>
    <t xml:space="preserve"> m****r </t>
  </si>
  <si>
    <t xml:space="preserve"> Sat Feb 03 2018 13:55:38</t>
  </si>
  <si>
    <t xml:space="preserve"> IMO rebounce looks like a wave 4 of wave c down. Therefore one more dip coming. </t>
  </si>
  <si>
    <t xml:space="preserve"> u****d </t>
  </si>
  <si>
    <t xml:space="preserve"> Mnchen</t>
  </si>
  <si>
    <t xml:space="preserve"> Sat Feb 03 2018 13:55:46</t>
  </si>
  <si>
    <t xml:space="preserve"> Are you talking about bitcoin?</t>
  </si>
  <si>
    <t xml:space="preserve"> m****9 </t>
  </si>
  <si>
    <t xml:space="preserve"> Sat Feb 03 2018 13:56:25</t>
  </si>
  <si>
    <t xml:space="preserve"> I am interested in ?</t>
  </si>
  <si>
    <t xml:space="preserve"> Sat Feb 03 2018 13:56:30</t>
  </si>
  <si>
    <t xml:space="preserve"> The government can't stop Bitcoin </t>
  </si>
  <si>
    <t xml:space="preserve"> Sat Feb 03 2018 13:56:45</t>
  </si>
  <si>
    <t xml:space="preserve"> ok so, thats 600 GB on disk to put bitcoin transactions in a graph. </t>
  </si>
  <si>
    <t xml:space="preserve"> w****l </t>
  </si>
  <si>
    <t xml:space="preserve"> Sat Feb 03 2018 13:57:05</t>
  </si>
  <si>
    <t xml:space="preserve"> Free ebook on how to hash your bitcoin right inside your blockchain wallet.</t>
  </si>
  <si>
    <t xml:space="preserve"> Sat Feb 03 2018 13:57:32</t>
  </si>
  <si>
    <t xml:space="preserve"> Looking forward to the day we view 4 digit the way we view 3 digit today. A long forgotten memory</t>
  </si>
  <si>
    <t xml:space="preserve"> s****d </t>
  </si>
  <si>
    <t xml:space="preserve"> Sat Feb 03 2018 13:57:34</t>
  </si>
  <si>
    <t xml:space="preserve"> Bitcoin as an investment? explains. The central bankers will do the rest.</t>
  </si>
  <si>
    <t xml:space="preserve"> K****r </t>
  </si>
  <si>
    <t xml:space="preserve"> FEMA Region 3</t>
  </si>
  <si>
    <t xml:space="preserve"> Sat Feb 03 2018 13:57:43</t>
  </si>
  <si>
    <t xml:space="preserve"> I see /r/Bitcoin is demonstrating their lack of investment knowledge yet again.</t>
  </si>
  <si>
    <t xml:space="preserve"> W****s </t>
  </si>
  <si>
    <t xml:space="preserve"> Sat Feb 03 2018 13:59:10</t>
  </si>
  <si>
    <t xml:space="preserve"> Lower $BTC just makes the that much more pumpy to build me a bigger pile.</t>
  </si>
  <si>
    <t xml:space="preserve"> Sat Feb 03 2018 13:59:11</t>
  </si>
  <si>
    <t xml:space="preserve"> i just tried a 'L' pk from a bitcoin wallet and balance is 0?? </t>
  </si>
  <si>
    <t xml:space="preserve"> bc1qls5gky4znmumd4zdemlwttegcrvpdv3jz5jg3e</t>
  </si>
  <si>
    <t xml:space="preserve"> Sat Feb 03 2018 13:59:12</t>
  </si>
  <si>
    <t xml:space="preserve"> Who do you have more disdain for? </t>
  </si>
  <si>
    <t xml:space="preserve"> Sat Feb 03 2018 13:59:15</t>
  </si>
  <si>
    <t xml:space="preserve"> some stoch exaustion on 4h chart. daily chart looking very good, we could see break 10k in 2-3 attempt maybe</t>
  </si>
  <si>
    <t xml:space="preserve"> c****l </t>
  </si>
  <si>
    <t xml:space="preserve"> Sat Feb 03 2018 13:59:20</t>
  </si>
  <si>
    <t xml:space="preserve"> I would rather become a homeless bum than buy bitcoin</t>
  </si>
  <si>
    <t xml:space="preserve"> Sat Feb 03 2018 13:59:47</t>
  </si>
  <si>
    <t xml:space="preserve"> Dr. Bitcoin</t>
  </si>
  <si>
    <t xml:space="preserve"> R****i </t>
  </si>
  <si>
    <t xml:space="preserve"> Curitiba, Paran, Brasil :)</t>
  </si>
  <si>
    <t xml:space="preserve"> Sat Feb 03 2018 13:59:55</t>
  </si>
  <si>
    <t xml:space="preserve"> Bitcoin, like life, is a 24/7 ongoing event</t>
  </si>
  <si>
    <t xml:space="preserve"> Sat Feb 03 2018 14:00:00</t>
  </si>
  <si>
    <t xml:space="preserve"> , Bitcoin with unit price of $9,208.89, market cap of $155,104,984,332 (34.53%), and 24 hr vol. of $8,631,150,000 (31.21%)</t>
  </si>
  <si>
    <t xml:space="preserve"> Sat Feb 03 2018 14:00:02</t>
  </si>
  <si>
    <t xml:space="preserve"> Average Bitcoin market price is: USD 9,252.34, EUR 7,440.55</t>
  </si>
  <si>
    <t xml:space="preserve"> Current BTC Dominance: 34.53% </t>
  </si>
  <si>
    <t xml:space="preserve"> Bitcoin:$9209.09 Ethereum:$972.376 Bitcoin Cash:$1251.59 Litecoin:$145.196 Ripple:$0.940616 IOTA:$1.91887</t>
  </si>
  <si>
    <t xml:space="preserve"> The average price of Bitcoin across all exchanges is 9,209.09 USD</t>
  </si>
  <si>
    <t xml:space="preserve"> Sat Feb 03 2018 14:00:06</t>
  </si>
  <si>
    <t xml:space="preserve"> Feb 03, 2018 06:00AM Price: USD 8724.25 | EUR 7036.41 | JPY 934064.38</t>
  </si>
  <si>
    <t xml:space="preserve"> Sat Feb 03 2018 14:00:13</t>
  </si>
  <si>
    <t xml:space="preserve"> Top 6 BTC/USD Exchange Orderbooks: Resistance til $9500:$24.1M; Support til $9000:$18.6M $BTC $BTCUSD </t>
  </si>
  <si>
    <t xml:space="preserve"> Sat Feb 03 2018 14:00:18</t>
  </si>
  <si>
    <t xml:space="preserve"> This is the best company for your investment! </t>
  </si>
  <si>
    <t xml:space="preserve"> N****7 </t>
  </si>
  <si>
    <t xml:space="preserve"> Sat Feb 03 2018 14:00:30</t>
  </si>
  <si>
    <t xml:space="preserve"> 3-day technical analysis on REQ (Request Network) is 10x, HUGE on Binance! </t>
  </si>
  <si>
    <t xml:space="preserve"> Sat Feb 03 2018 14:00:31</t>
  </si>
  <si>
    <t xml:space="preserve"> BTC hourly update $9284.07 | +0.0226% $BTC </t>
  </si>
  <si>
    <t xml:space="preserve"> Sat Feb 03 2018 14:00:38</t>
  </si>
  <si>
    <t xml:space="preserve"> Current price of Bitcoin is $9260.01 via Chain</t>
  </si>
  <si>
    <t xml:space="preserve"> l****u </t>
  </si>
  <si>
    <t xml:space="preserve"> Brazil</t>
  </si>
  <si>
    <t xml:space="preserve"> Sat Feb 03 2018 14:00:58</t>
  </si>
  <si>
    <t xml:space="preserve"> Market is GREEN right now. </t>
  </si>
  <si>
    <t xml:space="preserve"> West Bengal. India</t>
  </si>
  <si>
    <t xml:space="preserve"> Sat Feb 03 2018 14:01:01</t>
  </si>
  <si>
    <t xml:space="preserve"> Current price of Bitcoin is $9260.01</t>
  </si>
  <si>
    <t xml:space="preserve"> Sat Feb 03 2018 14:01:02</t>
  </si>
  <si>
    <t xml:space="preserve"> Top 6 BTC/USD Exchange Orderbooks: Resistance til $9000:$20.6M; Support til $8400:$27.2M $BTC $BTCUSD </t>
  </si>
  <si>
    <t xml:space="preserve"> M****2 </t>
  </si>
  <si>
    <t xml:space="preserve"> Sat Feb 03 2018 14:01:17</t>
  </si>
  <si>
    <t xml:space="preserve"> To join the company! The team works very good </t>
  </si>
  <si>
    <t xml:space="preserve"> S****a </t>
  </si>
  <si>
    <t xml:space="preserve"> Current price of is $9260.01</t>
  </si>
  <si>
    <t xml:space="preserve"> Sat Feb 03 2018 14:01:32</t>
  </si>
  <si>
    <t xml:space="preserve"> Today's Bitcoin Price 9260.01 USD via Chain</t>
  </si>
  <si>
    <t xml:space="preserve"> t****a </t>
  </si>
  <si>
    <t xml:space="preserve"> Sat Feb 03 2018 14:01:35</t>
  </si>
  <si>
    <t xml:space="preserve"> Current price of Bitcoin is $9260.01 Like if thats good for you and retweet if thats not good for you </t>
  </si>
  <si>
    <t xml:space="preserve"> Sat Feb 03 2018 14:01:40</t>
  </si>
  <si>
    <t xml:space="preserve"> Why is it the bitcoin I transfered to my wallet hasnt appeared yet? Round 3 is just few hours before it starts.</t>
  </si>
  <si>
    <t xml:space="preserve"> Sat Feb 03 2018 14:02:09</t>
  </si>
  <si>
    <t xml:space="preserve"> does it show ur bitcoin amount</t>
  </si>
  <si>
    <t xml:space="preserve"> n****i </t>
  </si>
  <si>
    <t xml:space="preserve"> 19/03/16 h, m, j, a, k, </t>
  </si>
  <si>
    <t xml:space="preserve"> Sat Feb 03 2018 14:02:15</t>
  </si>
  <si>
    <t xml:space="preserve"> Current price: $9260.01 USD</t>
  </si>
  <si>
    <t xml:space="preserve"> Sat Feb 03 2018 14:02:17</t>
  </si>
  <si>
    <t xml:space="preserve"> Current price of is $9260.01 via Chain</t>
  </si>
  <si>
    <t xml:space="preserve"> San Francisco, CA</t>
  </si>
  <si>
    <t xml:space="preserve"> Sat Feb 03 2018 14:03:02</t>
  </si>
  <si>
    <t xml:space="preserve"> Bitcoin 9260.01 $</t>
  </si>
  <si>
    <t xml:space="preserve"> Sat Feb 03 2018 14:03:04</t>
  </si>
  <si>
    <t xml:space="preserve"> $1 USD is currently worth 0.00010889 BTC! </t>
  </si>
  <si>
    <t xml:space="preserve"> Sat Feb 03 2018 14:03:14</t>
  </si>
  <si>
    <t xml:space="preserve"> Current price of Bitcoin is $9260.01.</t>
  </si>
  <si>
    <t xml:space="preserve"> Sat Feb 03 2018 14:03:15</t>
  </si>
  <si>
    <t xml:space="preserve"> They're not accepting Bitcoin at Summit Diner, just yet</t>
  </si>
  <si>
    <t xml:space="preserve"> MarketChess.com</t>
  </si>
  <si>
    <t xml:space="preserve"> Sat Feb 03 2018 14:03:17</t>
  </si>
  <si>
    <t xml:space="preserve"> Current price of Bitcoin is $9260.01 </t>
  </si>
  <si>
    <t xml:space="preserve"> Sat Feb 03 2018 14:03:23</t>
  </si>
  <si>
    <t xml:space="preserve"> So do I. the point is the long run... ;)</t>
  </si>
  <si>
    <t xml:space="preserve"> Spain</t>
  </si>
  <si>
    <t xml:space="preserve"> Sat Feb 03 2018 14:03:48</t>
  </si>
  <si>
    <t xml:space="preserve"> He has been to bitcoin college</t>
  </si>
  <si>
    <t xml:space="preserve"> T****g </t>
  </si>
  <si>
    <t xml:space="preserve"> Amsterdam, Nederland</t>
  </si>
  <si>
    <t xml:space="preserve"> Sat Feb 03 2018 14:04:00</t>
  </si>
  <si>
    <t xml:space="preserve"> How can I throw him a couple of pennies without having to split a Bitcoin?</t>
  </si>
  <si>
    <t xml:space="preserve"> c****i </t>
  </si>
  <si>
    <t xml:space="preserve"> Sat Feb 03 2018 14:04:08</t>
  </si>
  <si>
    <t xml:space="preserve"> If you're not in you're out. If you missed Bitcoin, don't miss ...that'll be a fatal double</t>
  </si>
  <si>
    <t xml:space="preserve"> Lekki-Lagos</t>
  </si>
  <si>
    <t xml:space="preserve"> Sat Feb 03 2018 14:04:17</t>
  </si>
  <si>
    <t xml:space="preserve"> 9AM EST price of $BTC today is $9260.01! </t>
  </si>
  <si>
    <t xml:space="preserve"> d****s </t>
  </si>
  <si>
    <t xml:space="preserve"> Sat Feb 03 2018 14:05:07</t>
  </si>
  <si>
    <t xml:space="preserve"> People forget : Bitcoin is a humanitarian project. Banking the unbanked. Think of how much good that will do</t>
  </si>
  <si>
    <t xml:space="preserve"> G****4 </t>
  </si>
  <si>
    <t xml:space="preserve"> Sat Feb 03 2018 14:05:17</t>
  </si>
  <si>
    <t xml:space="preserve"> BITCOIN AFF</t>
  </si>
  <si>
    <t xml:space="preserve"> Sat Feb 03 2018 14:05:20</t>
  </si>
  <si>
    <t xml:space="preserve"> You must have huge short position in Futures huh...?</t>
  </si>
  <si>
    <t xml:space="preserve"> Chapel Hill, NC</t>
  </si>
  <si>
    <t xml:space="preserve"> Sat Feb 03 2018 14:05:33</t>
  </si>
  <si>
    <t xml:space="preserve"> When the cat's away, the mouse will play. Another Saturday rally in bitcoin when the futures are closed. $BTC</t>
  </si>
  <si>
    <t xml:space="preserve"> s****l </t>
  </si>
  <si>
    <t xml:space="preserve"> Sat Feb 03 2018 14:05:38</t>
  </si>
  <si>
    <t xml:space="preserve"> Jack Rodwell pretends he bought Bitcoin</t>
  </si>
  <si>
    <t xml:space="preserve"> A****u </t>
  </si>
  <si>
    <t xml:space="preserve"> Wearside/Leeds</t>
  </si>
  <si>
    <t xml:space="preserve"> Sat Feb 03 2018 14:05:43</t>
  </si>
  <si>
    <t xml:space="preserve"> Top 6 BTC/USD Exchange Orderbooks: Resistance til $9100:$22.6M; Support til $8500:$21.2M $BTC $BTCUSD </t>
  </si>
  <si>
    <t xml:space="preserve"> Sat Feb 03 2018 14:05:50</t>
  </si>
  <si>
    <t xml:space="preserve"> 96%: amount of bitcoin owned by just 4% of addresses (containing 2.9 million BTC).</t>
  </si>
  <si>
    <t xml:space="preserve"> r****m </t>
  </si>
  <si>
    <t xml:space="preserve"> BitNation</t>
  </si>
  <si>
    <t xml:space="preserve"> Sat Feb 03 2018 14:05:53</t>
  </si>
  <si>
    <t xml:space="preserve"> Lots of impatient and amateur investors in Crypto. </t>
  </si>
  <si>
    <t xml:space="preserve"> Sat Feb 03 2018 14:06:16</t>
  </si>
  <si>
    <t xml:space="preserve"> ., have you guys heard about bitcoin?</t>
  </si>
  <si>
    <t xml:space="preserve"> Los Angeles &amp; New York</t>
  </si>
  <si>
    <t xml:space="preserve"> Sat Feb 03 2018 14:06:21</t>
  </si>
  <si>
    <t xml:space="preserve"> He also just got banned on 2p2 again for trolling the Bitcoin thread</t>
  </si>
  <si>
    <t xml:space="preserve"> j****0 </t>
  </si>
  <si>
    <t xml:space="preserve"> Sat Feb 03 2018 14:06:25</t>
  </si>
  <si>
    <t xml:space="preserve"> are we supposed to feel better at $9200?? </t>
  </si>
  <si>
    <t xml:space="preserve"> rektcitybro</t>
  </si>
  <si>
    <t xml:space="preserve"> Sat Feb 03 2018 14:06:35</t>
  </si>
  <si>
    <t xml:space="preserve"> Just Bought and Hodling lets see how long these lasts. </t>
  </si>
  <si>
    <t xml:space="preserve"> Sat Feb 03 2018 14:06:39</t>
  </si>
  <si>
    <t xml:space="preserve"> M: You thought you'd buy and never have to face adversity again? T: Yep M: Well, you're in for a treat.</t>
  </si>
  <si>
    <t xml:space="preserve"> B****d </t>
  </si>
  <si>
    <t xml:space="preserve"> Sat Feb 03 2018 14:07:04</t>
  </si>
  <si>
    <t xml:space="preserve"> 1 Bitcoin is currently worth $9185.11 USD! </t>
  </si>
  <si>
    <t xml:space="preserve"> Sat Feb 03 2018 14:07:24</t>
  </si>
  <si>
    <t xml:space="preserve"> Bitcoin nice bounce</t>
  </si>
  <si>
    <t xml:space="preserve"> j****8 </t>
  </si>
  <si>
    <t xml:space="preserve"> Sat Feb 03 2018 14:07:56</t>
  </si>
  <si>
    <t xml:space="preserve"> Good that you stayed away from this. So many people got burned in Bitcoin mania.</t>
  </si>
  <si>
    <t xml:space="preserve"> Sat Feb 03 2018 14:08:20</t>
  </si>
  <si>
    <t xml:space="preserve"> Cryptocurrency: Price USD: 9202.81 Price BTC: 1.0 24h Volume USD: 8524490000.0 Percent change 24h: 8.36</t>
  </si>
  <si>
    <t xml:space="preserve"> Sat Feb 03 2018 14:08:21</t>
  </si>
  <si>
    <t xml:space="preserve"> Blame bitcoin miners</t>
  </si>
  <si>
    <t xml:space="preserve"> 7****o </t>
  </si>
  <si>
    <t xml:space="preserve"> Sat Feb 03 2018 14:09:11</t>
  </si>
  <si>
    <t xml:space="preserve"> i need bitcoin over 11k &amp; the eagles w/ a ring by Monday tyvm</t>
  </si>
  <si>
    <t xml:space="preserve"> C****6 </t>
  </si>
  <si>
    <t xml:space="preserve"> Sat Feb 03 2018 14:09:13</t>
  </si>
  <si>
    <t xml:space="preserve"> go suck a </t>
  </si>
  <si>
    <t xml:space="preserve"> Sat Feb 03 2018 14:09:28</t>
  </si>
  <si>
    <t xml:space="preserve"> The are at it again, America. They're trying to artificially lower the value of bitcoin.</t>
  </si>
  <si>
    <t xml:space="preserve"> L****r </t>
  </si>
  <si>
    <t xml:space="preserve"> Sat Feb 03 2018 14:09:40</t>
  </si>
  <si>
    <t xml:space="preserve"> 1 reason it isnt: 1: your opinion doesn't dictate reality.</t>
  </si>
  <si>
    <t xml:space="preserve"> Victoria BC Canada</t>
  </si>
  <si>
    <t xml:space="preserve"> Sat Feb 03 2018 14:10:03</t>
  </si>
  <si>
    <t xml:space="preserve"> can you share a bitcoin with me and help me get started in cryptocurrency</t>
  </si>
  <si>
    <t xml:space="preserve"> j****5 </t>
  </si>
  <si>
    <t xml:space="preserve"> Sat Feb 03 2018 14:10:04</t>
  </si>
  <si>
    <t xml:space="preserve"> Bitcoin BTC Current Price: $9208.89 1 Hour: 2.25 % | 24 Hours: 8.76 % | 7 Days: -18.31 % </t>
  </si>
  <si>
    <t xml:space="preserve"> Sat Feb 03 2018 14:10:12</t>
  </si>
  <si>
    <t xml:space="preserve"> Yes they taught me that at Bitcoin troll school. I was there with Roger Ver.</t>
  </si>
  <si>
    <t xml:space="preserve"> Sat Feb 03 2018 14:10:16</t>
  </si>
  <si>
    <t xml:space="preserve"> (30874 follows) They're not accepting Bitcoin at Summit Diner, just yet</t>
  </si>
  <si>
    <t xml:space="preserve"> Bitcoin is the Beanie Babies of this decade</t>
  </si>
  <si>
    <t xml:space="preserve"> f****s </t>
  </si>
  <si>
    <t xml:space="preserve"> Sat Feb 03 2018 14:10:24</t>
  </si>
  <si>
    <t xml:space="preserve"> Look at the bitcoin bear market of 2014 - 2015, into 2016. It might take a year or two. Or more or less.</t>
  </si>
  <si>
    <t xml:space="preserve"> R****y </t>
  </si>
  <si>
    <t xml:space="preserve"> Laguna Beach, CA</t>
  </si>
  <si>
    <t xml:space="preserve"> Sat Feb 03 2018 14:10:33</t>
  </si>
  <si>
    <t xml:space="preserve"> Im a big fan of . Regulation of money supply needs to be depoliticized. - Al Gore </t>
  </si>
  <si>
    <t xml:space="preserve"> Sat Feb 03 2018 14:10:38</t>
  </si>
  <si>
    <t xml:space="preserve"> Not when you've got $7,000,000 in forgotten bitcoin its not.</t>
  </si>
  <si>
    <t xml:space="preserve"> m****t </t>
  </si>
  <si>
    <t xml:space="preserve"> Sat Feb 03 2018 14:11:25</t>
  </si>
  <si>
    <t xml:space="preserve"> Worlds biggest Bitcoin exchange security under scrutiny in Indonesian island of Bali </t>
  </si>
  <si>
    <t xml:space="preserve"> Sat Feb 03 2018 14:11:46</t>
  </si>
  <si>
    <t xml:space="preserve"> Could bitcoin crash but others stabilize?</t>
  </si>
  <si>
    <t xml:space="preserve"> Arlington, VA</t>
  </si>
  <si>
    <t xml:space="preserve"> Sat Feb 03 2018 14:12:11</t>
  </si>
  <si>
    <t xml:space="preserve"> he made millions with bitcoin</t>
  </si>
  <si>
    <t xml:space="preserve"> O****n </t>
  </si>
  <si>
    <t xml:space="preserve"> Frankfurt am Main, Hessen</t>
  </si>
  <si>
    <t xml:space="preserve"> Sat Feb 03 2018 14:12:12</t>
  </si>
  <si>
    <t xml:space="preserve"> Do you need a little blockchain sauce for your $corn, good sir ? </t>
  </si>
  <si>
    <t xml:space="preserve"> Sat Feb 03 2018 14:12:31</t>
  </si>
  <si>
    <t xml:space="preserve"> I genuinely feel sorry for the dumbasses who are too ignorant to educate themselves on how bitcoin and cryptocurrencies work.</t>
  </si>
  <si>
    <t xml:space="preserve"> O****U </t>
  </si>
  <si>
    <t xml:space="preserve"> Sat Feb 03 2018 14:12:35</t>
  </si>
  <si>
    <t xml:space="preserve"> You said brb buying bitcoin 17 hrs later... I was just worried </t>
  </si>
  <si>
    <t xml:space="preserve"> MIlkyway</t>
  </si>
  <si>
    <t xml:space="preserve"> Sat Feb 03 2018 14:12:51</t>
  </si>
  <si>
    <t xml:space="preserve"> When was the last time you used Bitcoin or any other cryptocurrency as it was originally intended, as a currency?</t>
  </si>
  <si>
    <t xml:space="preserve"> R****t </t>
  </si>
  <si>
    <t xml:space="preserve"> Sat Feb 03 2018 14:12:52</t>
  </si>
  <si>
    <t xml:space="preserve"> I thought you guys only accepted Bitcoin Cash</t>
  </si>
  <si>
    <t xml:space="preserve"> O****y </t>
  </si>
  <si>
    <t xml:space="preserve"> Sat Feb 03 2018 14:13:01</t>
  </si>
  <si>
    <t xml:space="preserve"> Please and thank you!</t>
  </si>
  <si>
    <t xml:space="preserve"> Checkin my while I'm in the Taipei airport Satisfied with my -$150 return</t>
  </si>
  <si>
    <t xml:space="preserve"> D****d </t>
  </si>
  <si>
    <t xml:space="preserve"> Los Angeles, USA</t>
  </si>
  <si>
    <t xml:space="preserve"> Sat Feb 03 2018 14:13:03</t>
  </si>
  <si>
    <t xml:space="preserve"> is back! </t>
  </si>
  <si>
    <t xml:space="preserve"> r****t </t>
  </si>
  <si>
    <t xml:space="preserve"> Hell</t>
  </si>
  <si>
    <t xml:space="preserve"> Sat Feb 03 2018 14:13:17</t>
  </si>
  <si>
    <t xml:space="preserve"> My moods are now officially correlated with the price of bitcoin.</t>
  </si>
  <si>
    <t xml:space="preserve"> t****t </t>
  </si>
  <si>
    <t xml:space="preserve"> Sat Feb 03 2018 14:13:36</t>
  </si>
  <si>
    <t xml:space="preserve"> Any news on the upcoming zclassic fork to bitcoin private, will it be supported on bittrex? </t>
  </si>
  <si>
    <t xml:space="preserve"> N****5 </t>
  </si>
  <si>
    <t xml:space="preserve"> Nuneaton, England</t>
  </si>
  <si>
    <t xml:space="preserve"> Sat Feb 03 2018 14:13:40</t>
  </si>
  <si>
    <t xml:space="preserve"> There went their bitcoin dreams.</t>
  </si>
  <si>
    <t xml:space="preserve"> Virginia, USA</t>
  </si>
  <si>
    <t xml:space="preserve"> Sat Feb 03 2018 14:13:42</t>
  </si>
  <si>
    <t xml:space="preserve"> I feel bad for all the Millennials that bought into bitcoin at 20,000. I really do</t>
  </si>
  <si>
    <t xml:space="preserve"> M****c </t>
  </si>
  <si>
    <t xml:space="preserve"> Weirton, WV</t>
  </si>
  <si>
    <t xml:space="preserve"> Sat Feb 03 2018 14:13:46</t>
  </si>
  <si>
    <t xml:space="preserve"> I honestly believe whatever happens to global markets Monday will determine if $btc breaks bullish </t>
  </si>
  <si>
    <t xml:space="preserve"> V****s </t>
  </si>
  <si>
    <t xml:space="preserve"> Louisville, KY</t>
  </si>
  <si>
    <t xml:space="preserve"> Sat Feb 03 2018 14:14:00</t>
  </si>
  <si>
    <t xml:space="preserve"> CryptoCompare Bitcoin price changed +1.07% to $9371.17 </t>
  </si>
  <si>
    <t xml:space="preserve"> Sat Feb 03 2018 14:14:07</t>
  </si>
  <si>
    <t xml:space="preserve"> So its less Bitcoin vs Bolivar and more US$ via Bitcoin?</t>
  </si>
  <si>
    <t xml:space="preserve"> e****p </t>
  </si>
  <si>
    <t xml:space="preserve"> Sat Feb 03 2018 14:14:16</t>
  </si>
  <si>
    <t xml:space="preserve"> The window is closing for buying sub 10k .</t>
  </si>
  <si>
    <t xml:space="preserve"> Greater Tokyo Area, Japan</t>
  </si>
  <si>
    <t xml:space="preserve"> Sat Feb 03 2018 14:14:35</t>
  </si>
  <si>
    <t xml:space="preserve"> You can earn btc without any investment </t>
  </si>
  <si>
    <t xml:space="preserve"> J****6 </t>
  </si>
  <si>
    <t xml:space="preserve"> Sat Feb 03 2018 14:14:41</t>
  </si>
  <si>
    <t xml:space="preserve"> Bitcoin is down now o. Buy.</t>
  </si>
  <si>
    <t xml:space="preserve"> r****a </t>
  </si>
  <si>
    <t xml:space="preserve"> Sat Feb 03 2018 14:14:46</t>
  </si>
  <si>
    <t xml:space="preserve"> Opinion on the </t>
  </si>
  <si>
    <t xml:space="preserve"> F****L </t>
  </si>
  <si>
    <t xml:space="preserve"> Dubai, United Arab Emirates</t>
  </si>
  <si>
    <t xml:space="preserve"> Sat Feb 03 2018 14:14:47</t>
  </si>
  <si>
    <t xml:space="preserve"> Excuse me. Bitcoin *is* the regulation.</t>
  </si>
  <si>
    <t xml:space="preserve"> Sat Feb 03 2018 14:15:02</t>
  </si>
  <si>
    <t xml:space="preserve"> The current price of Bitcoin is $9192.88. The current price of BCash is $1245.46, or 0.13504 BTC</t>
  </si>
  <si>
    <t xml:space="preserve"> Sat Feb 03 2018 14:15:12</t>
  </si>
  <si>
    <t xml:space="preserve"> Seems a green weekend at cryptocurrency market. </t>
  </si>
  <si>
    <t xml:space="preserve"> d****3 </t>
  </si>
  <si>
    <t xml:space="preserve"> Sat Feb 03 2018 14:15:13</t>
  </si>
  <si>
    <t xml:space="preserve"> Cryptos like Bitcoin could help</t>
  </si>
  <si>
    <t xml:space="preserve"> o****r </t>
  </si>
  <si>
    <t xml:space="preserve"> Here</t>
  </si>
  <si>
    <t xml:space="preserve"> Sat Feb 03 2018 14:15:30</t>
  </si>
  <si>
    <t xml:space="preserve"> Bitcoin jet got power fuel ready to ride $10,000 </t>
  </si>
  <si>
    <t xml:space="preserve"> Sat Feb 03 2018 14:15:43</t>
  </si>
  <si>
    <t xml:space="preserve"> Please wake up.. Bitcoin is going up now, Can we buy? I need you advise.. :(</t>
  </si>
  <si>
    <t xml:space="preserve"> e****n </t>
  </si>
  <si>
    <t xml:space="preserve"> Sat Feb 03 2018 14:15:52</t>
  </si>
  <si>
    <t xml:space="preserve"> Bitcoin currently at $9400 come on one final push to $10000 to disband all this FUD nonsense </t>
  </si>
  <si>
    <t xml:space="preserve"> G****s </t>
  </si>
  <si>
    <t xml:space="preserve"> Central Area District</t>
  </si>
  <si>
    <t xml:space="preserve"> Sat Feb 03 2018 14:17:01</t>
  </si>
  <si>
    <t xml:space="preserve"> Bitcoin, love on first sight.</t>
  </si>
  <si>
    <t xml:space="preserve"> Green all over! Did the South Korean gov announced a Kimchi chocolate coin ? </t>
  </si>
  <si>
    <t xml:space="preserve"> z****m </t>
  </si>
  <si>
    <t xml:space="preserve"> Sat Feb 03 2018 14:17:04</t>
  </si>
  <si>
    <t xml:space="preserve"> Bitcoin Cash BCH Current Price: $1245.46 1 Hour: 1.96 % | 24 Hours: 10.33 % | 7 Days: -22.98 % cash</t>
  </si>
  <si>
    <t xml:space="preserve"> Sat Feb 03 2018 14:17:29</t>
  </si>
  <si>
    <t xml:space="preserve"> Whats your prediction from here, when do we get $100,000 for bitcoin.?</t>
  </si>
  <si>
    <t xml:space="preserve"> Sat Feb 03 2018 14:17:36</t>
  </si>
  <si>
    <t xml:space="preserve"> LOOKING GOOD THIS MORNING GUYS $BTC $ETH $LTC LONG AND STRONG </t>
  </si>
  <si>
    <t xml:space="preserve"> D****K </t>
  </si>
  <si>
    <t xml:space="preserve"> New Jersey, USA</t>
  </si>
  <si>
    <t xml:space="preserve"> make sure you have the latest version of the Bitcoin app on your Nano S</t>
  </si>
  <si>
    <t xml:space="preserve"> L****Q </t>
  </si>
  <si>
    <t xml:space="preserve"> Paris, Vierzon, San Francisco</t>
  </si>
  <si>
    <t xml:space="preserve"> Sat Feb 03 2018 14:17:43</t>
  </si>
  <si>
    <t xml:space="preserve"> i follow one bitcoin instagram account just for fun and everyone there is freaking out over the drop</t>
  </si>
  <si>
    <t xml:space="preserve"> b****m </t>
  </si>
  <si>
    <t xml:space="preserve"> Sat Feb 03 2018 14:18:19</t>
  </si>
  <si>
    <t xml:space="preserve"> invest in bitcoin make gains market crashes cash out, break even Wow, it really is a store of value!</t>
  </si>
  <si>
    <t xml:space="preserve"> Sat Feb 03 2018 14:18:41</t>
  </si>
  <si>
    <t xml:space="preserve"> Looks like people realizing $BTC under $10,000 is a damn STEAL ! </t>
  </si>
  <si>
    <t xml:space="preserve"> That would put bitcoin about $80,000 :D</t>
  </si>
  <si>
    <t xml:space="preserve"> G****5 </t>
  </si>
  <si>
    <t xml:space="preserve"> sv</t>
  </si>
  <si>
    <t xml:space="preserve"> Sat Feb 03 2018 14:18:49</t>
  </si>
  <si>
    <t xml:space="preserve"> 10K bitcoin by Monday will be perfect</t>
  </si>
  <si>
    <t xml:space="preserve"> f****z </t>
  </si>
  <si>
    <t xml:space="preserve"> Ghana</t>
  </si>
  <si>
    <t xml:space="preserve"> Sat Feb 03 2018 14:19:07</t>
  </si>
  <si>
    <t xml:space="preserve"> Bitcoin going to zero.</t>
  </si>
  <si>
    <t xml:space="preserve"> v****y </t>
  </si>
  <si>
    <t xml:space="preserve"> Sat Feb 03 2018 14:19:15</t>
  </si>
  <si>
    <t xml:space="preserve"> Top 6 BTC/USD Exchange Orderbooks: Resistance til $9100:$27.1M; Support til $8500:$15.0M $BTC $BTCUSD </t>
  </si>
  <si>
    <t xml:space="preserve"> Sat Feb 03 2018 14:19:27</t>
  </si>
  <si>
    <t xml:space="preserve"> Bitcoin will regulate the regulators.</t>
  </si>
  <si>
    <t xml:space="preserve"> Sat Feb 03 2018 14:19:38</t>
  </si>
  <si>
    <t xml:space="preserve"> Is it time to FOMO yet? $BTC </t>
  </si>
  <si>
    <t xml:space="preserve"> Sat Feb 03 2018 14:19:45</t>
  </si>
  <si>
    <t xml:space="preserve"> 1 reson it's not - $bcash</t>
  </si>
  <si>
    <t xml:space="preserve"> F****v </t>
  </si>
  <si>
    <t xml:space="preserve"> Bulgaria</t>
  </si>
  <si>
    <t xml:space="preserve"> Sat Feb 03 2018 14:19:52</t>
  </si>
  <si>
    <t xml:space="preserve"> Amazing community at in ! </t>
  </si>
  <si>
    <t xml:space="preserve"> c****3 </t>
  </si>
  <si>
    <t xml:space="preserve"> Sat Feb 03 2018 14:20:01</t>
  </si>
  <si>
    <t xml:space="preserve"> BTC-GAME AskRate: 0.00029621 $GAME FOLLOW for PROFIT</t>
  </si>
  <si>
    <t xml:space="preserve"> $10k $BTC tomorrow </t>
  </si>
  <si>
    <t xml:space="preserve"> Sat Feb 03 2018 14:20:28</t>
  </si>
  <si>
    <t xml:space="preserve"> All the way to $10k again </t>
  </si>
  <si>
    <t xml:space="preserve"> Sat Feb 03 2018 14:20:37</t>
  </si>
  <si>
    <t xml:space="preserve"> I bought more bitcoin</t>
  </si>
  <si>
    <t xml:space="preserve"> s****1 </t>
  </si>
  <si>
    <t xml:space="preserve"> seawood navi Mumbai</t>
  </si>
  <si>
    <t xml:space="preserve"> Sat Feb 03 2018 14:21:01</t>
  </si>
  <si>
    <t xml:space="preserve"> Does anyone know a way I can turn likes from celebrities into cold hard bitcoin?</t>
  </si>
  <si>
    <t xml:space="preserve"> J****k </t>
  </si>
  <si>
    <t xml:space="preserve"> The North.</t>
  </si>
  <si>
    <t xml:space="preserve"> Sat Feb 03 2018 14:21:28</t>
  </si>
  <si>
    <t xml:space="preserve"> Can i buy bitcoin now? :)</t>
  </si>
  <si>
    <t xml:space="preserve"> P****x </t>
  </si>
  <si>
    <t xml:space="preserve"> Sat Feb 03 2018 14:21:36</t>
  </si>
  <si>
    <t xml:space="preserve"> The stock market is just like a bitcoin: Gambling on expectations without any fundations.</t>
  </si>
  <si>
    <t xml:space="preserve"> Tegelen, The Netherlands</t>
  </si>
  <si>
    <t xml:space="preserve"> Sat Feb 03 2018 14:21:59</t>
  </si>
  <si>
    <t xml:space="preserve"> The only crucial date for the bitcoin and crypto market is February 6....any other FUD is baseless..</t>
  </si>
  <si>
    <t xml:space="preserve"> Sat Feb 03 2018 14:22:11</t>
  </si>
  <si>
    <t xml:space="preserve"> 1 Bitcoin = 7532 Euro</t>
  </si>
  <si>
    <t xml:space="preserve"> Sat Feb 03 2018 14:22:16</t>
  </si>
  <si>
    <t xml:space="preserve"> The virgin Bitcoin tattoo at the ATH vs the Chad Link tattoo at 45 cents</t>
  </si>
  <si>
    <t xml:space="preserve"> d****n </t>
  </si>
  <si>
    <t xml:space="preserve"> Sat Feb 03 2018 14:22:20</t>
  </si>
  <si>
    <t xml:space="preserve"> Just Put A Lil Sum In Bitcoin</t>
  </si>
  <si>
    <t xml:space="preserve"> S****y </t>
  </si>
  <si>
    <t xml:space="preserve"> Sat Feb 03 2018 14:22:23</t>
  </si>
  <si>
    <t xml:space="preserve"> Bitcoin crashes to little over 6500 per coin. 46% decrease in value in less than 24 hours. Where's all the armchair traders at now?</t>
  </si>
  <si>
    <t xml:space="preserve"> Belfast, Northern Ireland</t>
  </si>
  <si>
    <t xml:space="preserve"> Sat Feb 03 2018 14:22:55</t>
  </si>
  <si>
    <t xml:space="preserve"> 1st is brexit 2 is bitcoin i've looked at the brexit crash too many times not to recognise it</t>
  </si>
  <si>
    <t xml:space="preserve"> S****x </t>
  </si>
  <si>
    <t xml:space="preserve"> Probably not Antartica. I will never respect the Sun.</t>
  </si>
  <si>
    <t xml:space="preserve"> Sat Feb 03 2018 14:23:39</t>
  </si>
  <si>
    <t xml:space="preserve"> Bitcoin cash will fade into oblivion for one simple reason: it's not called Bitcoin.</t>
  </si>
  <si>
    <t xml:space="preserve"> g****d </t>
  </si>
  <si>
    <t xml:space="preserve"> Ottawa,Canada</t>
  </si>
  <si>
    <t xml:space="preserve"> Sat Feb 03 2018 14:23:49</t>
  </si>
  <si>
    <t xml:space="preserve"> Buy bitcoin as low as $9000 </t>
  </si>
  <si>
    <t xml:space="preserve"> Sat Feb 03 2018 14:23:58</t>
  </si>
  <si>
    <t xml:space="preserve"> Anyone else wake up at 5 to think of episodes? </t>
  </si>
  <si>
    <t xml:space="preserve"> i****G </t>
  </si>
  <si>
    <t xml:space="preserve"> Sat Feb 03 2018 14:24:02</t>
  </si>
  <si>
    <t xml:space="preserve"> What about Bitcoin White (BTW)</t>
  </si>
  <si>
    <t xml:space="preserve"> 0x93D5578dA9a3ADeB9d1f1c8E966bb26677534eB6</t>
  </si>
  <si>
    <t xml:space="preserve"> Sat Feb 03 2018 14:24:34</t>
  </si>
  <si>
    <t xml:space="preserve"> can I borrow some ? I want to buy some tacos. Thanks.</t>
  </si>
  <si>
    <t xml:space="preserve"> Y****Y </t>
  </si>
  <si>
    <t xml:space="preserve"> Turkey</t>
  </si>
  <si>
    <t xml:space="preserve"> Sat Feb 03 2018 14:24:54</t>
  </si>
  <si>
    <t xml:space="preserve"> 2017-Trump, Las vegas shooting, Bitcoin, Hurricanes, Solar Eclipse 2018- Shower rat.</t>
  </si>
  <si>
    <t xml:space="preserve"> E****r </t>
  </si>
  <si>
    <t xml:space="preserve"> Georgia, USA</t>
  </si>
  <si>
    <t xml:space="preserve"> Sat Feb 03 2018 14:25:04</t>
  </si>
  <si>
    <t xml:space="preserve"> Have a blessed morning remember seek and you will find ask and it shall be given on to you.. </t>
  </si>
  <si>
    <t xml:space="preserve"> O****e </t>
  </si>
  <si>
    <t xml:space="preserve"> Sat Feb 03 2018 14:25:21</t>
  </si>
  <si>
    <t xml:space="preserve"> Ethereum Price Forecast: ETH/USD Making Progress But Not Out of Woods Yet </t>
  </si>
  <si>
    <t xml:space="preserve"> Sat Feb 03 2018 14:25:43</t>
  </si>
  <si>
    <t xml:space="preserve"> please update your Bitcoin app to the latest version on your Nano S (through the Ledger Manager)</t>
  </si>
  <si>
    <t xml:space="preserve"> Sat Feb 03 2018 14:25:45</t>
  </si>
  <si>
    <t xml:space="preserve"> Are you buying the dip? What do you think the high of will be in 2018? </t>
  </si>
  <si>
    <t xml:space="preserve"> Do you think Ether will take over Bitcoin?</t>
  </si>
  <si>
    <t xml:space="preserve"> Sat Feb 03 2018 14:25:46</t>
  </si>
  <si>
    <t xml:space="preserve"> Bitcoin &amp; Cryptocurrency Issues! January 2018 alone: loss of value of 46% &amp; now, $100bn wiped yesterday. Make Una Receive sense!</t>
  </si>
  <si>
    <t xml:space="preserve"> N****d </t>
  </si>
  <si>
    <t xml:space="preserve"> Sat Feb 03 2018 14:25:52</t>
  </si>
  <si>
    <t xml:space="preserve"> Bitcoin is nice. is betta ;)</t>
  </si>
  <si>
    <t xml:space="preserve"> blockchain</t>
  </si>
  <si>
    <t xml:space="preserve"> Sat Feb 03 2018 14:26:06</t>
  </si>
  <si>
    <t xml:space="preserve"> JP Morgan and Citi decide to decline Bitcoin purchases on their credit cards. Who thought that should be ok in the first place?</t>
  </si>
  <si>
    <t xml:space="preserve"> M****r </t>
  </si>
  <si>
    <t xml:space="preserve"> Boston, MA</t>
  </si>
  <si>
    <t xml:space="preserve"> Sat Feb 03 2018 14:26:14</t>
  </si>
  <si>
    <t xml:space="preserve"> , Forex Trading Signals...</t>
  </si>
  <si>
    <t xml:space="preserve"> Sat Feb 03 2018 14:27:01</t>
  </si>
  <si>
    <t xml:space="preserve"> Please don't buy back into bitcoin any time soon.</t>
  </si>
  <si>
    <t xml:space="preserve"> Sat Feb 03 2018 14:27:10</t>
  </si>
  <si>
    <t xml:space="preserve"> i see sky so blue bitcoin too and i said to myself what a wonderfull world~</t>
  </si>
  <si>
    <t xml:space="preserve"> J****y </t>
  </si>
  <si>
    <t xml:space="preserve"> Tuban, Jawa Timur, Indonesia</t>
  </si>
  <si>
    <t xml:space="preserve"> Sat Feb 03 2018 14:27:20</t>
  </si>
  <si>
    <t xml:space="preserve"> Project start soon </t>
  </si>
  <si>
    <t xml:space="preserve"> T****8 </t>
  </si>
  <si>
    <t xml:space="preserve"> Sat Feb 03 2018 14:27:46</t>
  </si>
  <si>
    <t xml:space="preserve"> What's up in Bitcoin?</t>
  </si>
  <si>
    <t xml:space="preserve"> Sat Feb 03 2018 14:27:54</t>
  </si>
  <si>
    <t xml:space="preserve"> The wave of buying on digital currencies is a start..!! </t>
  </si>
  <si>
    <t xml:space="preserve"> Sat Feb 03 2018 14:28:11</t>
  </si>
  <si>
    <t xml:space="preserve"> Me and a team of useless nerds are robbing banks to raise the price of Bitcoin.</t>
  </si>
  <si>
    <t xml:space="preserve"> m****h </t>
  </si>
  <si>
    <t xml:space="preserve"> lansing Mi</t>
  </si>
  <si>
    <t xml:space="preserve"> Sat Feb 03 2018 14:28:27</t>
  </si>
  <si>
    <t xml:space="preserve"> please update the Bitcoin app to the latest version on your Nano S (using the Ledger Manager)</t>
  </si>
  <si>
    <t xml:space="preserve"> Sat Feb 03 2018 14:29:16</t>
  </si>
  <si>
    <t xml:space="preserve"> In horizon 3, the word bitcoin as a license plate is considered profanity. Your devs probably use it. just saying..</t>
  </si>
  <si>
    <t xml:space="preserve"> p****u </t>
  </si>
  <si>
    <t xml:space="preserve"> Conway NH</t>
  </si>
  <si>
    <t xml:space="preserve"> Sat Feb 03 2018 14:29:36</t>
  </si>
  <si>
    <t xml:space="preserve"> I have followed, shared this tweet, Here is my bitcoin wallet address ; 15PUbswTXCUe42DkWnUbdxTKB3RadHwjXA</t>
  </si>
  <si>
    <t xml:space="preserve"> Sat Feb 03 2018 14:29:49</t>
  </si>
  <si>
    <t xml:space="preserve"> fragger is a bitcoin rich guy tbh</t>
  </si>
  <si>
    <t xml:space="preserve"> Rhys</t>
  </si>
  <si>
    <t xml:space="preserve"> flash crash bitcoin sell bitcoin buy altcoin and real btc</t>
  </si>
  <si>
    <t xml:space="preserve"> Sat Feb 03 2018 14:30:01</t>
  </si>
  <si>
    <t xml:space="preserve"> Now is probably a good time to get into Bitcoin. You can still catch the falling knife.</t>
  </si>
  <si>
    <t xml:space="preserve"> b****c </t>
  </si>
  <si>
    <t xml:space="preserve"> Vienna, Austria</t>
  </si>
  <si>
    <t xml:space="preserve"> Sat Feb 03 2018 14:30:02</t>
  </si>
  <si>
    <t xml:space="preserve"> Bitcoin:$9320.15 Ethereum:$980.562 Bitcoin Cash:$1265.9 Litecoin:$147.618 Ripple:$0.954427 IOTA:$1.95818</t>
  </si>
  <si>
    <t xml:space="preserve"> Sat Feb 03 2018 14:30:05</t>
  </si>
  <si>
    <t xml:space="preserve"> The worst evils which mankind has ever had to endure were inflicted by bad governments. - Ludwig von Mises </t>
  </si>
  <si>
    <t xml:space="preserve"> Sat Feb 03 2018 14:30:06</t>
  </si>
  <si>
    <t xml:space="preserve"> Once we understand the fundamentals which make Bitcoin work, we can more accurately perceive what the impacts of development decisions are.</t>
  </si>
  <si>
    <t xml:space="preserve"> V****o </t>
  </si>
  <si>
    <t xml:space="preserve"> Sat Feb 03 2018 14:30:07</t>
  </si>
  <si>
    <t xml:space="preserve"> Bitcoin 50,000 Vertcoin +1,000 we in the GREEN $VTC</t>
  </si>
  <si>
    <t xml:space="preserve"> F****9 </t>
  </si>
  <si>
    <t xml:space="preserve"> Sat Feb 03 2018 14:30:27</t>
  </si>
  <si>
    <t xml:space="preserve"> $DNAX, $BTCS, $SING, $BLKCF and $PRELF getting all kinds of love in the and space</t>
  </si>
  <si>
    <t xml:space="preserve"> T****S </t>
  </si>
  <si>
    <t xml:space="preserve"> The War Room</t>
  </si>
  <si>
    <t xml:space="preserve"> Sat Feb 03 2018 14:30:59</t>
  </si>
  <si>
    <t xml:space="preserve"> I see a trend in objects with a give name of Tim in my following trends, let's go fishing! your boi is back ;) </t>
  </si>
  <si>
    <t xml:space="preserve"> Sat Feb 03 2018 14:31:12</t>
  </si>
  <si>
    <t xml:space="preserve"> hey, would you help a crypto-believer poor student by donating a bitcoin or fraction of it?</t>
  </si>
  <si>
    <t xml:space="preserve"> S****b </t>
  </si>
  <si>
    <t xml:space="preserve"> Pune, India</t>
  </si>
  <si>
    <t xml:space="preserve"> Sat Feb 03 2018 14:31:13</t>
  </si>
  <si>
    <t xml:space="preserve"> Hello humans, is currently around $9320.15 as of Sat Feb 3 08:31:09 CST 2018</t>
  </si>
  <si>
    <t xml:space="preserve"> Sat Feb 03 2018 14:31:22</t>
  </si>
  <si>
    <t xml:space="preserve"> One day Im going to buy some </t>
  </si>
  <si>
    <t xml:space="preserve"> M****7 </t>
  </si>
  <si>
    <t xml:space="preserve"> Sat Feb 03 2018 14:31:27</t>
  </si>
  <si>
    <t xml:space="preserve"> this is a suckers rally </t>
  </si>
  <si>
    <t xml:space="preserve"> satoshi wonderland</t>
  </si>
  <si>
    <t xml:space="preserve"> Sat Feb 03 2018 14:31:47</t>
  </si>
  <si>
    <t xml:space="preserve"> i have bitcoin hashrate on genisis mining can i tranfere to litecoin or ETH ... etc ?</t>
  </si>
  <si>
    <t xml:space="preserve"> W****t </t>
  </si>
  <si>
    <t xml:space="preserve"> Morocco</t>
  </si>
  <si>
    <t xml:space="preserve"> Sat Feb 03 2018 14:32:09</t>
  </si>
  <si>
    <t xml:space="preserve"> Is it that we are waiting on lightning network or whats up with bitcoin price at the moment?</t>
  </si>
  <si>
    <t xml:space="preserve"> Sat Feb 03 2018 14:32:11</t>
  </si>
  <si>
    <t xml:space="preserve"> League = Bitcoin Cash Dota = Bitcoin</t>
  </si>
  <si>
    <t xml:space="preserve"> Sat Feb 03 2018 14:32:14</t>
  </si>
  <si>
    <t xml:space="preserve"> 'this is a sucker's rally' </t>
  </si>
  <si>
    <t xml:space="preserve"> Sat Feb 03 2018 14:32:16</t>
  </si>
  <si>
    <t xml:space="preserve"> Losing 74% of your crypto portfolio in 3 weeks is fun </t>
  </si>
  <si>
    <t xml:space="preserve"> Pasco, WA</t>
  </si>
  <si>
    <t xml:space="preserve"> Sat Feb 03 2018 14:32:17</t>
  </si>
  <si>
    <t xml:space="preserve"> , New Options Trade Ideas from Skip Raschke - Webinar Recap...</t>
  </si>
  <si>
    <t xml:space="preserve"> Sat Feb 03 2018 14:32:29</t>
  </si>
  <si>
    <t xml:space="preserve"> Just like 2017, everybody was saying 'oh yeah, Bitcoin will hit $5,000 by Christmas.' Then what happened...</t>
  </si>
  <si>
    <t xml:space="preserve"> K****n </t>
  </si>
  <si>
    <t xml:space="preserve"> Edmonton Alberta</t>
  </si>
  <si>
    <t xml:space="preserve"> Sat Feb 03 2018 14:33:07</t>
  </si>
  <si>
    <t xml:space="preserve"> Hodl is a future STAY off Bitcoin</t>
  </si>
  <si>
    <t xml:space="preserve"> Sat Feb 03 2018 14:33:30</t>
  </si>
  <si>
    <t xml:space="preserve"> how is the money </t>
  </si>
  <si>
    <t xml:space="preserve"> p****x </t>
  </si>
  <si>
    <t xml:space="preserve"> e****m </t>
  </si>
  <si>
    <t xml:space="preserve"> Sat Feb 03 2018 14:33:58</t>
  </si>
  <si>
    <t xml:space="preserve"> Bitcoin 30k</t>
  </si>
  <si>
    <t xml:space="preserve"> f****4 </t>
  </si>
  <si>
    <t xml:space="preserve"> Kitchen</t>
  </si>
  <si>
    <t xml:space="preserve"> Sat Feb 03 2018 14:34:12</t>
  </si>
  <si>
    <t xml:space="preserve"> TL;DT (Too Long; Didn't Trade) $btc</t>
  </si>
  <si>
    <t xml:space="preserve"> s****6 </t>
  </si>
  <si>
    <t xml:space="preserve"> Yugoslavia</t>
  </si>
  <si>
    <t xml:space="preserve"> Sat Feb 03 2018 14:34:15</t>
  </si>
  <si>
    <t xml:space="preserve"> has pushed above resistance. If it can stay there, price could keep going up . Yay!</t>
  </si>
  <si>
    <t xml:space="preserve"> R****n </t>
  </si>
  <si>
    <t xml:space="preserve"> Sat Feb 03 2018 14:35:04</t>
  </si>
  <si>
    <t xml:space="preserve"> THE MOST INNOVATIVE AND LUCRATIVE WAY TO EARN BITCOIN JOIN BITCLUB NETWORK!!</t>
  </si>
  <si>
    <t xml:space="preserve"> Sat Feb 03 2018 14:35:10</t>
  </si>
  <si>
    <t xml:space="preserve"> I'll give you $10 for that Bitcoin in the window</t>
  </si>
  <si>
    <t xml:space="preserve"> Sat Feb 03 2018 14:35:12</t>
  </si>
  <si>
    <t xml:space="preserve"> End of 2017 was the awakening of the world to Bitcoin, 2018 will be the year of adoption and application of Bitcoin</t>
  </si>
  <si>
    <t xml:space="preserve"> Y****o </t>
  </si>
  <si>
    <t xml:space="preserve"> Sat Feb 03 2018 14:35:14</t>
  </si>
  <si>
    <t xml:space="preserve"> self taught trader aka you made 30p through bitcoin</t>
  </si>
  <si>
    <t xml:space="preserve"> Sat Feb 03 2018 14:35:55</t>
  </si>
  <si>
    <t xml:space="preserve"> FOMO is just heating up the engines before WARP mode </t>
  </si>
  <si>
    <t xml:space="preserve"> E****C </t>
  </si>
  <si>
    <t xml:space="preserve"> Olomouc, esk republika</t>
  </si>
  <si>
    <t xml:space="preserve"> Sat Feb 03 2018 14:35:58</t>
  </si>
  <si>
    <t xml:space="preserve"> Do you have any Bitcoin pendants?</t>
  </si>
  <si>
    <t xml:space="preserve"> E****e </t>
  </si>
  <si>
    <t xml:space="preserve"> Fredericksburg, VA</t>
  </si>
  <si>
    <t xml:space="preserve"> Sat Feb 03 2018 14:35:59</t>
  </si>
  <si>
    <t xml:space="preserve"> Bitcoin downside target $btc</t>
  </si>
  <si>
    <t xml:space="preserve"> Floriduh</t>
  </si>
  <si>
    <t xml:space="preserve"> Sat Feb 03 2018 14:36:17</t>
  </si>
  <si>
    <t xml:space="preserve"> I'd like to know what all these icons represent under the 3.0 column...</t>
  </si>
  <si>
    <t xml:space="preserve"> j****a </t>
  </si>
  <si>
    <t xml:space="preserve"> Austin, TX</t>
  </si>
  <si>
    <t xml:space="preserve"> Sat Feb 03 2018 14:36:32</t>
  </si>
  <si>
    <t xml:space="preserve"> I felt aelf will become next to bitcoin</t>
  </si>
  <si>
    <t xml:space="preserve"> p****a </t>
  </si>
  <si>
    <t xml:space="preserve"> Sat Feb 03 2018 14:37:03</t>
  </si>
  <si>
    <t xml:space="preserve"> when bitcoin corrects by 85%, im putting my lifesavings into it. thatll prob be in 2020</t>
  </si>
  <si>
    <t xml:space="preserve"> MD</t>
  </si>
  <si>
    <t xml:space="preserve"> Sat Feb 03 2018 14:37:06</t>
  </si>
  <si>
    <t xml:space="preserve"> $1 USD is currently worth 0.00010766 BTC! </t>
  </si>
  <si>
    <t xml:space="preserve"> Sat Feb 03 2018 14:38:19</t>
  </si>
  <si>
    <t xml:space="preserve"> gotta use the bitcoin for sumthn man</t>
  </si>
  <si>
    <t xml:space="preserve"> with bae.</t>
  </si>
  <si>
    <t xml:space="preserve"> Sat Feb 03 2018 14:38:20</t>
  </si>
  <si>
    <t xml:space="preserve"> bitcoin go down - Me, 2003</t>
  </si>
  <si>
    <t xml:space="preserve"> r****z </t>
  </si>
  <si>
    <t xml:space="preserve"> Sat Feb 03 2018 14:38:26</t>
  </si>
  <si>
    <t xml:space="preserve"> Come on old girl pick your fat ass up and break $9,400 resistance !! $btc </t>
  </si>
  <si>
    <t xml:space="preserve"> Sat Feb 03 2018 14:38:51</t>
  </si>
  <si>
    <t xml:space="preserve"> Cool. Hey whats up with the 650,000 bitcoin you lost out of curiosity?</t>
  </si>
  <si>
    <t xml:space="preserve"> Auckland, New Zealand</t>
  </si>
  <si>
    <t xml:space="preserve"> Sat Feb 03 2018 14:39:06</t>
  </si>
  <si>
    <t xml:space="preserve"> Yo memo is so worthless no ones gonna pay a single Bitcoin for it </t>
  </si>
  <si>
    <t xml:space="preserve"> M****n </t>
  </si>
  <si>
    <t xml:space="preserve"> Earth while it lasts</t>
  </si>
  <si>
    <t xml:space="preserve"> Sat Feb 03 2018 14:39:16</t>
  </si>
  <si>
    <t xml:space="preserve"> As mentioned in the PDF, that only mitigates the risk in the Bitcoin app. What do we do with the other apps?</t>
  </si>
  <si>
    <t xml:space="preserve"> L****a </t>
  </si>
  <si>
    <t xml:space="preserve"> Argentina</t>
  </si>
  <si>
    <t xml:space="preserve"> Sat Feb 03 2018 14:39:38</t>
  </si>
  <si>
    <t xml:space="preserve"> Pre-sale whitelist is ending in 2 days, be sure to check it before it ends </t>
  </si>
  <si>
    <t xml:space="preserve"> m****u </t>
  </si>
  <si>
    <t xml:space="preserve"> Lunar Orbit</t>
  </si>
  <si>
    <t xml:space="preserve"> Sat Feb 03 2018 14:39:42</t>
  </si>
  <si>
    <t xml:space="preserve"> Lmfao. Wow hes like a Bitcoin oracle.</t>
  </si>
  <si>
    <t xml:space="preserve"> Sat Feb 03 2018 14:39:47</t>
  </si>
  <si>
    <t xml:space="preserve"> Im back home and is out of the woods for now ^.^ Good stuff. $btc</t>
  </si>
  <si>
    <t xml:space="preserve"> NL</t>
  </si>
  <si>
    <t xml:space="preserve"> Sat Feb 03 2018 14:39:48</t>
  </si>
  <si>
    <t xml:space="preserve"> Looks like Bitcoin markets affects horses too</t>
  </si>
  <si>
    <t xml:space="preserve"> m****3 </t>
  </si>
  <si>
    <t xml:space="preserve"> Sat Feb 03 2018 14:39:57</t>
  </si>
  <si>
    <t xml:space="preserve"> I just wanna know how much Bitcoin you sold?</t>
  </si>
  <si>
    <t xml:space="preserve"> Sat Feb 03 2018 14:40:04</t>
  </si>
  <si>
    <t xml:space="preserve"> I have faith in bitcoin with LN and smart contracts</t>
  </si>
  <si>
    <t xml:space="preserve"> F****n </t>
  </si>
  <si>
    <t xml:space="preserve"> Sat Feb 03 2018 14:40:16</t>
  </si>
  <si>
    <t xml:space="preserve"> (60964 follows) RT : Crypto and bitcoin has changed my life for the better so heres a random .1 btc giveaway,...</t>
  </si>
  <si>
    <t xml:space="preserve"> Sat Feb 03 2018 14:40:37</t>
  </si>
  <si>
    <t xml:space="preserve"> in b4 everyone knows he's the new Oracle of Bitcoin. Sorry </t>
  </si>
  <si>
    <t xml:space="preserve"> Sat Feb 03 2018 14:40:48</t>
  </si>
  <si>
    <t xml:space="preserve"> Volume. I would like to see more volume here. Show me your FOMO. $btc </t>
  </si>
  <si>
    <t xml:space="preserve"> Sat Feb 03 2018 14:40:56</t>
  </si>
  <si>
    <t xml:space="preserve"> I am Ethereum. The noise is Bitcoin.</t>
  </si>
  <si>
    <t xml:space="preserve"> Anaheim, CA</t>
  </si>
  <si>
    <t xml:space="preserve"> Sat Feb 03 2018 14:41:17</t>
  </si>
  <si>
    <t xml:space="preserve"> Let's make together </t>
  </si>
  <si>
    <t xml:space="preserve"> O****C </t>
  </si>
  <si>
    <t xml:space="preserve"> Sat Feb 03 2018 14:41:19</t>
  </si>
  <si>
    <t xml:space="preserve"> Bitcoin for olds</t>
  </si>
  <si>
    <t xml:space="preserve"> t****g </t>
  </si>
  <si>
    <t xml:space="preserve"> Sat Feb 03 2018 14:41:37</t>
  </si>
  <si>
    <t xml:space="preserve"> If youre you should have bought like the rest of the and non are.</t>
  </si>
  <si>
    <t xml:space="preserve"> Rhode Island, USA</t>
  </si>
  <si>
    <t xml:space="preserve"> Sat Feb 03 2018 14:41:40</t>
  </si>
  <si>
    <t xml:space="preserve"> U would walk away when Bitcoin was 0.08 and went op x20 lmao</t>
  </si>
  <si>
    <t xml:space="preserve"> Sat Feb 03 2018 14:41:50</t>
  </si>
  <si>
    <t xml:space="preserve"> Market cap is 4x that of . Wow! So Much potential in $BTC. Not even close to a bubble</t>
  </si>
  <si>
    <t xml:space="preserve"> i****l </t>
  </si>
  <si>
    <t xml:space="preserve"> Sat Feb 03 2018 14:41:55</t>
  </si>
  <si>
    <t xml:space="preserve"> Man I added a new open source P2P e-cash system called Bitcoin. It's completely decentralized, with themselves</t>
  </si>
  <si>
    <t xml:space="preserve"> Sat Feb 03 2018 14:42:08</t>
  </si>
  <si>
    <t xml:space="preserve"> Bitcoin is begin to raise up again! From $8,500 to $9,300 in about 7 hours. Yeay!</t>
  </si>
  <si>
    <t xml:space="preserve"> M****l </t>
  </si>
  <si>
    <t xml:space="preserve"> Jakarta - Indonesia</t>
  </si>
  <si>
    <t xml:space="preserve"> Sat Feb 03 2018 14:42:13</t>
  </si>
  <si>
    <t xml:space="preserve"> looking good </t>
  </si>
  <si>
    <t xml:space="preserve"> Sat Feb 03 2018 14:42:15</t>
  </si>
  <si>
    <t xml:space="preserve"> Use to buy bitcoin using cash.</t>
  </si>
  <si>
    <t xml:space="preserve"> Sat Feb 03 2018 14:42:41</t>
  </si>
  <si>
    <t xml:space="preserve"> is going back up today. </t>
  </si>
  <si>
    <t xml:space="preserve"> t****k </t>
  </si>
  <si>
    <t xml:space="preserve"> Tennessee, USA</t>
  </si>
  <si>
    <t xml:space="preserve"> Sat Feb 03 2018 14:42:58</t>
  </si>
  <si>
    <t xml:space="preserve"> There are about 7.4 billion people on . Only 21 million will be released. </t>
  </si>
  <si>
    <t xml:space="preserve"> NYC, NY</t>
  </si>
  <si>
    <t xml:space="preserve"> Sat Feb 03 2018 14:43:03</t>
  </si>
  <si>
    <t xml:space="preserve"> Overheard at Pret: dont do bitcoin, you cant make money, it only started last year</t>
  </si>
  <si>
    <t xml:space="preserve"> T****s </t>
  </si>
  <si>
    <t xml:space="preserve"> Oxford</t>
  </si>
  <si>
    <t xml:space="preserve"> Sat Feb 03 2018 14:43:38</t>
  </si>
  <si>
    <t xml:space="preserve"> Bitcoin has reached it's highest point since February 1st!!! </t>
  </si>
  <si>
    <t xml:space="preserve"> Sat Feb 03 2018 14:44:02</t>
  </si>
  <si>
    <t xml:space="preserve"> After the Super Bowl will skyrocket!</t>
  </si>
  <si>
    <t xml:space="preserve"> Sat Feb 03 2018 14:44:13</t>
  </si>
  <si>
    <t xml:space="preserve"> If you purchased and this morning like I suggested you can sell now and thank me for the advise as you made a profit!</t>
  </si>
  <si>
    <t xml:space="preserve"> Kingdom of Saudi Arabia</t>
  </si>
  <si>
    <t xml:space="preserve"> Sat Feb 03 2018 14:44:21</t>
  </si>
  <si>
    <t xml:space="preserve"> I think this trend was too soft in comparion to the rise. My gut tells me we will drop a little more </t>
  </si>
  <si>
    <t xml:space="preserve"> Montral, Qubec</t>
  </si>
  <si>
    <t xml:space="preserve"> Sat Feb 03 2018 14:44:29</t>
  </si>
  <si>
    <t xml:space="preserve"> Still better investment than bitcoin</t>
  </si>
  <si>
    <t xml:space="preserve"> Barsoom</t>
  </si>
  <si>
    <t xml:space="preserve"> Sat Feb 03 2018 14:45:02</t>
  </si>
  <si>
    <t xml:space="preserve"> There are currently 11,221 unconfirmed Bitcoin transactions. $BTC</t>
  </si>
  <si>
    <t xml:space="preserve"> Sat Feb 03 2018 14:45:09</t>
  </si>
  <si>
    <t xml:space="preserve"> Please follow 'BTCpx' to keep updated on the latest Bitcoin price $BTC</t>
  </si>
  <si>
    <t xml:space="preserve"> Sat Feb 03 2018 14:46:10</t>
  </si>
  <si>
    <t xml:space="preserve"> How about 12 reasons is not the real twitter handle. You guys are ridiculous.</t>
  </si>
  <si>
    <t xml:space="preserve"> Newport, WA</t>
  </si>
  <si>
    <t xml:space="preserve"> Sat Feb 03 2018 14:46:14</t>
  </si>
  <si>
    <t xml:space="preserve"> Thats funny, because several reports say bitcoin has fallen of a cliff w/no bottom in sight! Therefore bitcoin=</t>
  </si>
  <si>
    <t xml:space="preserve"> W****1 </t>
  </si>
  <si>
    <t xml:space="preserve"> Sat Feb 03 2018 14:46:25</t>
  </si>
  <si>
    <t xml:space="preserve"> very nice project and good opportunity to invest in,all wishes to the team </t>
  </si>
  <si>
    <t xml:space="preserve"> n****l </t>
  </si>
  <si>
    <t xml:space="preserve"> Sat Feb 03 2018 14:46:33</t>
  </si>
  <si>
    <t xml:space="preserve"> The Bitcoin and immortality...same difference. Welcome to the New World</t>
  </si>
  <si>
    <t xml:space="preserve"> B****a </t>
  </si>
  <si>
    <t xml:space="preserve"> Sat Feb 03 2018 14:46:45</t>
  </si>
  <si>
    <t xml:space="preserve"> Crypto Rich and Paranoid: Threats Prompt Radical Security in Land. </t>
  </si>
  <si>
    <t xml:space="preserve"> Sat Feb 03 2018 14:46:46</t>
  </si>
  <si>
    <t xml:space="preserve"> Optimal tx fee: 70 satoshi per byte. BTC : $9336 / 7493 / 6610 Block 507441. Market Cap: 152.38B USD. </t>
  </si>
  <si>
    <t xml:space="preserve"> Sat Feb 03 2018 14:46:52</t>
  </si>
  <si>
    <t xml:space="preserve"> Just started bitcoin farming. Not sure how much water you are supposed to feed them every day.</t>
  </si>
  <si>
    <t xml:space="preserve"> The Bowery</t>
  </si>
  <si>
    <t xml:space="preserve"> Sat Feb 03 2018 14:46:55</t>
  </si>
  <si>
    <t xml:space="preserve"> On the 1st of March, the dollar price of 1 $BTC will be</t>
  </si>
  <si>
    <t xml:space="preserve"> C****u </t>
  </si>
  <si>
    <t xml:space="preserve"> A cryptocurrencies oden near you.</t>
  </si>
  <si>
    <t xml:space="preserve"> Sat Feb 03 2018 14:46:57</t>
  </si>
  <si>
    <t xml:space="preserve"> Get bitcoin and beyblades confused don't you</t>
  </si>
  <si>
    <t xml:space="preserve"> H****8 </t>
  </si>
  <si>
    <t xml:space="preserve"> Sat Feb 03 2018 14:47:32</t>
  </si>
  <si>
    <t xml:space="preserve"> Rumors of a cease and desist order from Texas for ?! Fud or real deal? </t>
  </si>
  <si>
    <t xml:space="preserve"> T****t </t>
  </si>
  <si>
    <t xml:space="preserve"> Sat Feb 03 2018 14:47:33</t>
  </si>
  <si>
    <t xml:space="preserve"> When panic sellers are out, the path of least resistance is north. </t>
  </si>
  <si>
    <t xml:space="preserve"> Store of Value Coin</t>
  </si>
  <si>
    <t xml:space="preserve"> Sat Feb 03 2018 14:47:42</t>
  </si>
  <si>
    <t xml:space="preserve"> Correction: None of them wanted bitcoin that is.</t>
  </si>
  <si>
    <t xml:space="preserve"> J****i </t>
  </si>
  <si>
    <t xml:space="preserve"> Sat Feb 03 2018 14:47:45</t>
  </si>
  <si>
    <t xml:space="preserve"> You will be crashing more if you waste $5000 this fake report. Buy Bitcoin instead.</t>
  </si>
  <si>
    <t xml:space="preserve"> Midlands UK</t>
  </si>
  <si>
    <t xml:space="preserve"> Sat Feb 03 2018 14:48:43</t>
  </si>
  <si>
    <t xml:space="preserve"> How much bitcoin do you think those cost ? </t>
  </si>
  <si>
    <t xml:space="preserve"> p****T </t>
  </si>
  <si>
    <t xml:space="preserve"> 7000 KM away from home.</t>
  </si>
  <si>
    <t xml:space="preserve"> Sat Feb 03 2018 14:48:47</t>
  </si>
  <si>
    <t xml:space="preserve"> Joke: Bitcoin prices are volatile Woke: Yu-Gi-Oh card prices are volatile</t>
  </si>
  <si>
    <t xml:space="preserve"> United Kingdom, England</t>
  </si>
  <si>
    <t xml:space="preserve"> Sat Feb 03 2018 14:49:59</t>
  </si>
  <si>
    <t xml:space="preserve"> why cant i see a normal bitcoin address when trying to pay </t>
  </si>
  <si>
    <t xml:space="preserve"> Sat Feb 03 2018 14:50:01</t>
  </si>
  <si>
    <t xml:space="preserve"> Bitcoin 9400</t>
  </si>
  <si>
    <t xml:space="preserve"> a****o </t>
  </si>
  <si>
    <t xml:space="preserve"> Sat Feb 03 2018 14:50:16</t>
  </si>
  <si>
    <t xml:space="preserve"> I thought I was following the real bitcoin. Not some shady alt coin that nobody likes.</t>
  </si>
  <si>
    <t xml:space="preserve"> Sat Feb 03 2018 14:50:56</t>
  </si>
  <si>
    <t xml:space="preserve"> I hope yall who invested in bitcoin realize theres nothing to back it up with.</t>
  </si>
  <si>
    <t xml:space="preserve"> Sat Feb 03 2018 14:51:27</t>
  </si>
  <si>
    <t xml:space="preserve"> Does it look like time to buy Bitcoin now?</t>
  </si>
  <si>
    <t xml:space="preserve"> New York</t>
  </si>
  <si>
    <t xml:space="preserve"> Sat Feb 03 2018 14:51:39</t>
  </si>
  <si>
    <t xml:space="preserve"> Go Litecoin! The silver to Bitcoin!</t>
  </si>
  <si>
    <t xml:space="preserve"> Sat Feb 03 2018 14:51:58</t>
  </si>
  <si>
    <t xml:space="preserve"> Bitcoin and = BitcoinCash and = DogeCoin... must I go on?? Unbelievable ...</t>
  </si>
  <si>
    <t xml:space="preserve"> Sat Feb 03 2018 14:52:15</t>
  </si>
  <si>
    <t xml:space="preserve"> Bitcoin $BTC | $9,374</t>
  </si>
  <si>
    <t xml:space="preserve"> Sat Feb 03 2018 14:52:27</t>
  </si>
  <si>
    <t xml:space="preserve"> Sounds too good to be true ;)! I'm curious... Would take a Bitcoin pls. 3FEkC9dhSwma6XaxnzUgmvGGtvoXv7Hyes</t>
  </si>
  <si>
    <t xml:space="preserve"> S****6 </t>
  </si>
  <si>
    <t xml:space="preserve"> Sat Feb 03 2018 14:52:35</t>
  </si>
  <si>
    <t xml:space="preserve"> Bitcoin or Blockchain?</t>
  </si>
  <si>
    <t xml:space="preserve"> C****L </t>
  </si>
  <si>
    <t xml:space="preserve"> 3807'07.12N, 2347'17.69E</t>
  </si>
  <si>
    <t xml:space="preserve"> Sat Feb 03 2018 14:52:53</t>
  </si>
  <si>
    <t xml:space="preserve"> How many BitCoin is that?</t>
  </si>
  <si>
    <t xml:space="preserve"> R****c </t>
  </si>
  <si>
    <t xml:space="preserve"> Sat Feb 03 2018 14:53:04</t>
  </si>
  <si>
    <t xml:space="preserve"> If you can work CRISPR in, I would totally fund that bitcoin IPO</t>
  </si>
  <si>
    <t xml:space="preserve"> Penn State University</t>
  </si>
  <si>
    <t xml:space="preserve"> Sat Feb 03 2018 14:53:17</t>
  </si>
  <si>
    <t xml:space="preserve"> I hope everyone was able to buy some crypto while it was on sale! Its go time! </t>
  </si>
  <si>
    <t xml:space="preserve"> D****Y </t>
  </si>
  <si>
    <t xml:space="preserve"> St Petersburg, FL</t>
  </si>
  <si>
    <t xml:space="preserve"> Sat Feb 03 2018 14:53:22</t>
  </si>
  <si>
    <t xml:space="preserve"> And I lost 1 Bitcoin by clicking on the link </t>
  </si>
  <si>
    <t xml:space="preserve"> Sat Feb 03 2018 14:53:29</t>
  </si>
  <si>
    <t xml:space="preserve"> The quicker Bitcoin replaces fiat currency the sooner GDP and productivity will increase.</t>
  </si>
  <si>
    <t xml:space="preserve"> x****r </t>
  </si>
  <si>
    <t xml:space="preserve"> Sat Feb 03 2018 14:54:25</t>
  </si>
  <si>
    <t xml:space="preserve"> Me? I ALWAYS thought Bitcoin was a tool of Keyser Sze.</t>
  </si>
  <si>
    <t xml:space="preserve"> L****C </t>
  </si>
  <si>
    <t xml:space="preserve"> Sat Feb 03 2018 14:54:42</t>
  </si>
  <si>
    <t xml:space="preserve"> Bitcoin braces for worst week since 2013</t>
  </si>
  <si>
    <t xml:space="preserve"> I****l </t>
  </si>
  <si>
    <t xml:space="preserve"> Sat Feb 03 2018 14:54:49</t>
  </si>
  <si>
    <t xml:space="preserve"> Logic and simplicity are 2 concepts Bitcoin Core supporters fail to grasp...and they fail epically.</t>
  </si>
  <si>
    <t xml:space="preserve"> J****0 </t>
  </si>
  <si>
    <t xml:space="preserve"> ITIS NO BUBBLE NOMINELL BITCOIN WORTH ISS 450$</t>
  </si>
  <si>
    <t xml:space="preserve"> 0****6 </t>
  </si>
  <si>
    <t xml:space="preserve"> Schweiz</t>
  </si>
  <si>
    <t xml:space="preserve"> Sat Feb 03 2018 14:55:09</t>
  </si>
  <si>
    <t xml:space="preserve"> Isn't LN a kind of blockchain bypass network mounted over the Bitcoin's Blockchain?</t>
  </si>
  <si>
    <t xml:space="preserve"> P****o </t>
  </si>
  <si>
    <t xml:space="preserve"> Sat Feb 03 2018 14:55:12</t>
  </si>
  <si>
    <t xml:space="preserve"> Here's to all the newcomers that didn't jump off this rollercoaster. You have passed your first test. </t>
  </si>
  <si>
    <t xml:space="preserve"> A****n </t>
  </si>
  <si>
    <t xml:space="preserve"> Sat Feb 03 2018 14:55:13</t>
  </si>
  <si>
    <t xml:space="preserve"> Cryptocurrency: Price USD: 9345.59 Price BTC: 1.0 24h Volume USD: 8192620000.0 Percent change 24h: 7.17</t>
  </si>
  <si>
    <t xml:space="preserve"> Sat Feb 03 2018 14:55:55</t>
  </si>
  <si>
    <t xml:space="preserve"> I had a feeling bitcoin was going to spike right back up</t>
  </si>
  <si>
    <t xml:space="preserve"> k****k </t>
  </si>
  <si>
    <t xml:space="preserve"> Sat Feb 03 2018 14:55:57</t>
  </si>
  <si>
    <t xml:space="preserve"> NORMAL WORTH OFA BITCOIN 200-450$ NOW 8000 OF 20.000 1 COIN I USED TO ORDER IN DARKNET ILLEGAL DRUGZ</t>
  </si>
  <si>
    <t xml:space="preserve"> Sat Feb 03 2018 14:56:11</t>
  </si>
  <si>
    <t xml:space="preserve"> I will be tweeting about and in English and Turkish</t>
  </si>
  <si>
    <t xml:space="preserve"> Sat Feb 03 2018 14:56:25</t>
  </si>
  <si>
    <t xml:space="preserve"> A 9y.o., an aspiring piano player, was sure we were talking about Bethoven, not bitcoin.</t>
  </si>
  <si>
    <t xml:space="preserve"> i****n </t>
  </si>
  <si>
    <t xml:space="preserve"> Mnchen / Lugano</t>
  </si>
  <si>
    <t xml:space="preserve"> Sat Feb 03 2018 14:56:35</t>
  </si>
  <si>
    <t xml:space="preserve"> For my own entertainment, what makes bitcoin cash useless, and bitcoin useful.</t>
  </si>
  <si>
    <t xml:space="preserve"> Santa Monica, CA</t>
  </si>
  <si>
    <t xml:space="preserve"> Sat Feb 03 2018 14:56:49</t>
  </si>
  <si>
    <t xml:space="preserve"> Ayyy bitcoin with da pump againnn</t>
  </si>
  <si>
    <t xml:space="preserve"> Sat Feb 03 2018 14:56:50</t>
  </si>
  <si>
    <t xml:space="preserve"> What are the Windsor kings up to today? $btc</t>
  </si>
  <si>
    <t xml:space="preserve"> S****0 </t>
  </si>
  <si>
    <t xml:space="preserve"> Sat Feb 03 2018 14:57:03</t>
  </si>
  <si>
    <t xml:space="preserve"> The would be worth US$93,201,500.00 right now (up 8.1% in the last 24 hours): </t>
  </si>
  <si>
    <t xml:space="preserve"> Sat Feb 03 2018 14:57:08</t>
  </si>
  <si>
    <t xml:space="preserve"> PumaPay - pay anywhere with bitcoin, it is very convenient! This is the future! </t>
  </si>
  <si>
    <t xml:space="preserve"> s****p </t>
  </si>
  <si>
    <t xml:space="preserve"> 0xF756DFA0Fb46B5e7A155171E0Bd8</t>
  </si>
  <si>
    <t xml:space="preserve"> Sat Feb 03 2018 14:57:13</t>
  </si>
  <si>
    <t xml:space="preserve"> Do you see Satoshi Nakamoto on Bitcoin?????????</t>
  </si>
  <si>
    <t xml:space="preserve"> Sat Feb 03 2018 14:57:31</t>
  </si>
  <si>
    <t xml:space="preserve"> It's like the same story of fake satoshi now Bcash wants to be the original BITCOIN</t>
  </si>
  <si>
    <t xml:space="preserve"> C****G </t>
  </si>
  <si>
    <t xml:space="preserve"> Sat Feb 03 2018 14:57:43</t>
  </si>
  <si>
    <t xml:space="preserve"> Hey..... Hodl on... It's serious...!!! </t>
  </si>
  <si>
    <t xml:space="preserve"> a****a </t>
  </si>
  <si>
    <t xml:space="preserve"> Bhopal, India </t>
  </si>
  <si>
    <t xml:space="preserve"> Sat Feb 03 2018 14:58:53</t>
  </si>
  <si>
    <t xml:space="preserve"> $btc a moment of silence for the rookies whom sold their bitcoin at $8,000.00</t>
  </si>
  <si>
    <t xml:space="preserve"> Sat Feb 03 2018 14:58:58</t>
  </si>
  <si>
    <t xml:space="preserve"> ppl dont talk bout crashing stock market like they talk bout bitcoin lol.... Ppl who got bitcoin last January still up thousands....</t>
  </si>
  <si>
    <t xml:space="preserve"> Voodoo City(New Artleanz)</t>
  </si>
  <si>
    <t xml:space="preserve"> Sat Feb 03 2018 14:59:31</t>
  </si>
  <si>
    <t xml:space="preserve"> - Hey how much is 1 bitcoin worth or cost ??</t>
  </si>
  <si>
    <t xml:space="preserve"> x****e </t>
  </si>
  <si>
    <t xml:space="preserve"> Voted Perot in 92 - Michigan</t>
  </si>
  <si>
    <t xml:space="preserve"> Sat Feb 03 2018 14:59:39</t>
  </si>
  <si>
    <t xml:space="preserve"> Well Wily E. Coyote was, like , a super genius. The backers of bitcoin were not so rational as he.</t>
  </si>
  <si>
    <t xml:space="preserve"> Sat Feb 03 2018 14:59:44</t>
  </si>
  <si>
    <t xml:space="preserve"> I'll be away from my desk for a little while. You're on your own traders.</t>
  </si>
  <si>
    <t xml:space="preserve"> 3****s </t>
  </si>
  <si>
    <t xml:space="preserve"> Chicago burbs</t>
  </si>
  <si>
    <t xml:space="preserve"> Sat Feb 03 2018 14:59:51</t>
  </si>
  <si>
    <t xml:space="preserve"> Why dont you buy bitcoin golf balls, Im sure youll connect.</t>
  </si>
  <si>
    <t xml:space="preserve"> h****n </t>
  </si>
  <si>
    <t xml:space="preserve"> Salishan</t>
  </si>
  <si>
    <t xml:space="preserve"> Sat Feb 03 2018 15:00:00</t>
  </si>
  <si>
    <t xml:space="preserve"> You can buy 2216 Big Macs with 1 Bitcoin </t>
  </si>
  <si>
    <t xml:space="preserve"> , Bitcoin with unit price of $9,348.28, market cap of $157,453,425,926 (34.58%), and 24 hr vol. of $8,131,910,000 (31.54%)</t>
  </si>
  <si>
    <t xml:space="preserve"> Sat Feb 03 2018 15:00:02</t>
  </si>
  <si>
    <t xml:space="preserve"> Current BTC Dominance: 34.58% </t>
  </si>
  <si>
    <t xml:space="preserve"> Bitcoin:$9341.28 Ethereum:$982.927 Bitcoin Cash:$1265.06 Litecoin:$148.386 Ripple:$0.952644 IOTA:$1.98101</t>
  </si>
  <si>
    <t xml:space="preserve"> Average Bitcoin market price is: USD 9,367.40, EUR 7,534.21</t>
  </si>
  <si>
    <t xml:space="preserve"> The average price of Bitcoin across all exchanges is 9,341.28 USD</t>
  </si>
  <si>
    <t xml:space="preserve"> Sat Feb 03 2018 15:00:05</t>
  </si>
  <si>
    <t xml:space="preserve"> Feb 03, 2018 07:00AM Price: USD 8759.41 | EUR 7065.58 | JPY 937691.23</t>
  </si>
  <si>
    <t xml:space="preserve"> Sat Feb 03 2018 15:00:14</t>
  </si>
  <si>
    <t xml:space="preserve"> Hey grandpa, time's up. Bitcoin is still up 8000% since your prediction. And we're coming for the banking system next</t>
  </si>
  <si>
    <t xml:space="preserve"> C****_ </t>
  </si>
  <si>
    <t xml:space="preserve"> Sat Feb 03 2018 15:00:21</t>
  </si>
  <si>
    <t xml:space="preserve"> What are you currently ? ?</t>
  </si>
  <si>
    <t xml:space="preserve"> Sat Feb 03 2018 15:00:28</t>
  </si>
  <si>
    <t xml:space="preserve"> We welcome all Investors who want to multiply their hard earned money. Our system is very reliable and profitable. </t>
  </si>
  <si>
    <t xml:space="preserve"> p****l </t>
  </si>
  <si>
    <t xml:space="preserve"> Sat Feb 03 2018 15:00:31</t>
  </si>
  <si>
    <t xml:space="preserve"> BTC hourly update $9388.13 | +0.0112% $BTC </t>
  </si>
  <si>
    <t xml:space="preserve"> Sat Feb 03 2018 15:00:44</t>
  </si>
  <si>
    <t xml:space="preserve"> Current price of Bitcoin is $9370.50.</t>
  </si>
  <si>
    <t xml:space="preserve"> Sat Feb 03 2018 15:00:52</t>
  </si>
  <si>
    <t xml:space="preserve"> Why are systems based on Indicators not good? Because they TRY to predict the prices. FX News Trader doesn't try, it knows. </t>
  </si>
  <si>
    <t xml:space="preserve"> r****1 </t>
  </si>
  <si>
    <t xml:space="preserve"> Sydney, New South Wales</t>
  </si>
  <si>
    <t xml:space="preserve"> Sat Feb 03 2018 15:00:57</t>
  </si>
  <si>
    <t xml:space="preserve"> Current price of $Bitcoin is $9370.50 via </t>
  </si>
  <si>
    <t xml:space="preserve"> I****c </t>
  </si>
  <si>
    <t xml:space="preserve"> Sat Feb 03 2018 15:01:10</t>
  </si>
  <si>
    <t xml:space="preserve"> Current price of Bitcoin is $9370.50 $btc </t>
  </si>
  <si>
    <t xml:space="preserve"> Sat Feb 03 2018 15:01:18</t>
  </si>
  <si>
    <t xml:space="preserve"> For new comers bitcoin-com , bitcoin-cash and this account is SCAM , beware </t>
  </si>
  <si>
    <t xml:space="preserve"> Sat Feb 03 2018 15:01:23</t>
  </si>
  <si>
    <t xml:space="preserve"> Want to buy Bitcoin? Current price is $9370.50 </t>
  </si>
  <si>
    <t xml:space="preserve"> N****y </t>
  </si>
  <si>
    <t xml:space="preserve"> HQ: Dallas/FT Worth Area</t>
  </si>
  <si>
    <t xml:space="preserve"> Current price of Bitcoin is $9370.50 </t>
  </si>
  <si>
    <t xml:space="preserve"> i****e </t>
  </si>
  <si>
    <t xml:space="preserve"> New Orleans, LA</t>
  </si>
  <si>
    <t xml:space="preserve"> Sat Feb 03 2018 15:01:24</t>
  </si>
  <si>
    <t xml:space="preserve"> Current price of Bitcoin is $9370.50</t>
  </si>
  <si>
    <t xml:space="preserve"> L****2 </t>
  </si>
  <si>
    <t xml:space="preserve"> R****l </t>
  </si>
  <si>
    <t xml:space="preserve"> Sat Feb 03 2018 15:01:45</t>
  </si>
  <si>
    <t xml:space="preserve"> 1 Bitcoin = 7619 Euro</t>
  </si>
  <si>
    <t xml:space="preserve"> Sat Feb 03 2018 15:02:04</t>
  </si>
  <si>
    <t xml:space="preserve"> And so goes a Bitcoin bubble. The definition of futile, chasing after the wind, in this case chasing after air, the Bitcoin</t>
  </si>
  <si>
    <t xml:space="preserve"> Sat Feb 03 2018 15:02:11</t>
  </si>
  <si>
    <t xml:space="preserve"> SureShot!!! buy $BDG now at 15 cent for 300-400% gain within 1 month </t>
  </si>
  <si>
    <t xml:space="preserve"> Kharadi, Haveli</t>
  </si>
  <si>
    <t xml:space="preserve"> Sat Feb 03 2018 15:02:15</t>
  </si>
  <si>
    <t xml:space="preserve"> 1 Bitcoin = 9370.50$ $BTC</t>
  </si>
  <si>
    <t xml:space="preserve"> stanbul, Trkiye</t>
  </si>
  <si>
    <t xml:space="preserve"> The 1000 investors that own 40% of all bitcoin will decide if it was the bottom. Not a poll on twitter</t>
  </si>
  <si>
    <t xml:space="preserve"> Sat Feb 03 2018 15:03:00</t>
  </si>
  <si>
    <t xml:space="preserve"> CryptoCompare Bitcoin price changed +1.07% to $9471.78 </t>
  </si>
  <si>
    <t xml:space="preserve"> Sat Feb 03 2018 15:03:08</t>
  </si>
  <si>
    <t xml:space="preserve"> Current price of Bitcoin is $9370.50 via Chain</t>
  </si>
  <si>
    <t xml:space="preserve"> Sat Feb 03 2018 15:03:11</t>
  </si>
  <si>
    <t xml:space="preserve"> I have told you all. Sell your BitCoin .. its about to lose another %75 or more. Bye bye.</t>
  </si>
  <si>
    <t xml:space="preserve"> Space</t>
  </si>
  <si>
    <t xml:space="preserve"> Sat Feb 03 2018 15:03:17</t>
  </si>
  <si>
    <t xml:space="preserve"> Bitcoin historic reversal selloff crash panic reversal ,fuel for stronger selloff . It can see below 530</t>
  </si>
  <si>
    <t xml:space="preserve"> Sat Feb 03 2018 15:03:24</t>
  </si>
  <si>
    <t xml:space="preserve"> Current price of Bitcoin is $9370.50 Like if thats good for you and retweet if thats not good for you </t>
  </si>
  <si>
    <t xml:space="preserve"> A****s </t>
  </si>
  <si>
    <t xml:space="preserve"> Sat Feb 03 2018 15:03:28</t>
  </si>
  <si>
    <t xml:space="preserve"> It bitcoin crosses 10k then we have breakout 100%... Fingers crossed... </t>
  </si>
  <si>
    <t xml:space="preserve"> Sat Feb 03 2018 15:04:08</t>
  </si>
  <si>
    <t xml:space="preserve"> Current price of is $9370.50 </t>
  </si>
  <si>
    <t xml:space="preserve"> a****_ </t>
  </si>
  <si>
    <t xml:space="preserve"> Gravina in Puglia (BA)</t>
  </si>
  <si>
    <t xml:space="preserve"> Sat Feb 03 2018 15:04:14</t>
  </si>
  <si>
    <t xml:space="preserve"> Current price of is $9370.50</t>
  </si>
  <si>
    <t xml:space="preserve"> Sat Feb 03 2018 15:04:15</t>
  </si>
  <si>
    <t xml:space="preserve"> Current price of is $9370.50 via Chain </t>
  </si>
  <si>
    <t xml:space="preserve"> J****n </t>
  </si>
  <si>
    <t xml:space="preserve"> Sat Feb 03 2018 15:04:20</t>
  </si>
  <si>
    <t xml:space="preserve"> Are bitcoin and bitmoji the same thing? Asking for a friend...</t>
  </si>
  <si>
    <t xml:space="preserve"> M****5 </t>
  </si>
  <si>
    <t xml:space="preserve"> Sat Feb 03 2018 15:04:30</t>
  </si>
  <si>
    <t xml:space="preserve"> Current price of Bitcoin is $9370.50 February 3, 2018 at 08:59AM</t>
  </si>
  <si>
    <t xml:space="preserve"> Memphis, TN</t>
  </si>
  <si>
    <t xml:space="preserve"> Sat Feb 03 2018 15:04:35</t>
  </si>
  <si>
    <t xml:space="preserve"> I can see the headline bitcoin billionaire curates alternate reality for son, streams online</t>
  </si>
  <si>
    <t xml:space="preserve"> t****y </t>
  </si>
  <si>
    <t xml:space="preserve"> Sat Feb 03 2018 15:04:55</t>
  </si>
  <si>
    <t xml:space="preserve"> The Bitcoin Bubble brought dark times.</t>
  </si>
  <si>
    <t xml:space="preserve"> Sat Feb 03 2018 15:04:58</t>
  </si>
  <si>
    <t xml:space="preserve"> $4999 before . CMP 9500$</t>
  </si>
  <si>
    <t xml:space="preserve"> r****h </t>
  </si>
  <si>
    <t xml:space="preserve"> Sat Feb 03 2018 15:05:06</t>
  </si>
  <si>
    <t xml:space="preserve"> The coins with strong fundamentals will always rebound if they merely got dragged down along with bitcoin.</t>
  </si>
  <si>
    <t xml:space="preserve"> k****2 </t>
  </si>
  <si>
    <t xml:space="preserve"> Sat Feb 03 2018 15:05:14</t>
  </si>
  <si>
    <t xml:space="preserve"> Futuristic. Im pretty sure Morpheus had these years ago in the matrix home of the bitcoin</t>
  </si>
  <si>
    <t xml:space="preserve"> Depends on VPN</t>
  </si>
  <si>
    <t xml:space="preserve"> Sat Feb 03 2018 15:05:28</t>
  </si>
  <si>
    <t xml:space="preserve"> SureShot!!! buy $BAR (Titanium) now at 1.3$ for 300-400% gain within 1 month </t>
  </si>
  <si>
    <t xml:space="preserve"> Your right. Bought filthy Bitcoin cash $BCH $260-300 and dumped for $2800 into mining ... you may shut up now</t>
  </si>
  <si>
    <t xml:space="preserve"> J****R </t>
  </si>
  <si>
    <t xml:space="preserve"> Sat Feb 03 2018 15:05:49</t>
  </si>
  <si>
    <t xml:space="preserve"> gamer white kids getting cucked again lol. first by Trump now by Bitcoin</t>
  </si>
  <si>
    <t xml:space="preserve"> SWPA</t>
  </si>
  <si>
    <t xml:space="preserve"> Sat Feb 03 2018 15:05:58</t>
  </si>
  <si>
    <t xml:space="preserve"> Wow what a difference a day makes! It looks like the Bulls are charging. Will we see 10K today? </t>
  </si>
  <si>
    <t xml:space="preserve"> Somewhere Outer Space...</t>
  </si>
  <si>
    <t xml:space="preserve"> Sat Feb 03 2018 15:06:07</t>
  </si>
  <si>
    <t xml:space="preserve"> Bitcoin will be worth more than 1 Million USD in 2025 - Crypto Dwight Schrute* *this is not financial advice</t>
  </si>
  <si>
    <t xml:space="preserve"> Sat Feb 03 2018 15:06:19</t>
  </si>
  <si>
    <t xml:space="preserve"> And the real bubbles start to pop... Don't worry, Bitcoin is a safe haven asset to wait out the blood bath... Lol</t>
  </si>
  <si>
    <t xml:space="preserve"> T: 44.338559,-78.305248</t>
  </si>
  <si>
    <t xml:space="preserve"> Sat Feb 03 2018 15:06:28</t>
  </si>
  <si>
    <t xml:space="preserve"> Is this... true? Seems wonderful bonkers RT : Okay, so Bitcoin.</t>
  </si>
  <si>
    <t xml:space="preserve"> Sat Feb 03 2018 15:06:32</t>
  </si>
  <si>
    <t xml:space="preserve"> Looks cool but question, I figured you have a inside scoop on the Bitcoin thing how about you give us some details?</t>
  </si>
  <si>
    <t xml:space="preserve"> Im On A Spaceship In Space</t>
  </si>
  <si>
    <t xml:space="preserve"> Sat Feb 03 2018 15:06:39</t>
  </si>
  <si>
    <t xml:space="preserve"> There's a difference between blockchaintechnology and Bitcoin.</t>
  </si>
  <si>
    <t xml:space="preserve"> Sat Feb 03 2018 15:06:41</t>
  </si>
  <si>
    <t xml:space="preserve"> Na. I didnt realize there was a list until after I posted this. But, you can buy Bitcoin on Squarecash now too.</t>
  </si>
  <si>
    <t xml:space="preserve"> F****a </t>
  </si>
  <si>
    <t xml:space="preserve"> Sat Feb 03 2018 15:07:06</t>
  </si>
  <si>
    <t xml:space="preserve"> I love this story! is king!</t>
  </si>
  <si>
    <t xml:space="preserve"> Sat Feb 03 2018 15:07:08</t>
  </si>
  <si>
    <t xml:space="preserve"> The people are getting mortgages to buy bitcoin claimIMHOhas never been corroborated in any way either.</t>
  </si>
  <si>
    <t xml:space="preserve"> DFW, TX</t>
  </si>
  <si>
    <t xml:space="preserve"> Sat Feb 03 2018 15:07:11</t>
  </si>
  <si>
    <t xml:space="preserve"> Oh.. Bitcoin. Hard to find evidence that its failing.</t>
  </si>
  <si>
    <t xml:space="preserve"> Sat Feb 03 2018 15:07:24</t>
  </si>
  <si>
    <t xml:space="preserve"> Nice to see some green today on the charts. Hope everyone bought when blood was in the streets. $BTC $ETH </t>
  </si>
  <si>
    <t xml:space="preserve"> Sat Feb 03 2018 15:07:35</t>
  </si>
  <si>
    <t xml:space="preserve"> just hit 9.5k !!! i guess 7.5k was the bottom </t>
  </si>
  <si>
    <t xml:space="preserve"> X****k </t>
  </si>
  <si>
    <t xml:space="preserve"> houstontx</t>
  </si>
  <si>
    <t xml:space="preserve"> Sat Feb 03 2018 15:07:39</t>
  </si>
  <si>
    <t xml:space="preserve"> Stellar lumens is the future .</t>
  </si>
  <si>
    <t xml:space="preserve"> Sat Feb 03 2018 15:08:03</t>
  </si>
  <si>
    <t xml:space="preserve"> Because people never experienced financial freedom and independence pre-bitcoin</t>
  </si>
  <si>
    <t xml:space="preserve"> i****g </t>
  </si>
  <si>
    <t xml:space="preserve"> Hong Kong</t>
  </si>
  <si>
    <t xml:space="preserve"> Sat Feb 03 2018 15:08:05</t>
  </si>
  <si>
    <t xml:space="preserve"> Loving this rebound!!! </t>
  </si>
  <si>
    <t xml:space="preserve"> e****1 </t>
  </si>
  <si>
    <t xml:space="preserve"> Sat Feb 03 2018 15:08:29</t>
  </si>
  <si>
    <t xml:space="preserve"> Bitcoin : Instant transactions, no account freezes, no wire transfer fees, no balances, worldwide access, always open. </t>
  </si>
  <si>
    <t xml:space="preserve"> Sat Feb 03 2018 15:08:31</t>
  </si>
  <si>
    <t xml:space="preserve"> Don't go up and down like a bitcoin.</t>
  </si>
  <si>
    <t xml:space="preserve"> Sat Feb 03 2018 15:08:43</t>
  </si>
  <si>
    <t xml:space="preserve"> Hope you bought the dip, welcome to crypto </t>
  </si>
  <si>
    <t xml:space="preserve"> Sat Feb 03 2018 15:08:49</t>
  </si>
  <si>
    <t xml:space="preserve"> Hey Gavin check out this awesome new project called Bitcoin Cash, I think it has the potential to be the real Bitcoin! </t>
  </si>
  <si>
    <t xml:space="preserve"> Sat Feb 03 2018 15:09:16</t>
  </si>
  <si>
    <t xml:space="preserve"> 10k party soon again? Poor me some mf whiskey! $btc </t>
  </si>
  <si>
    <t xml:space="preserve"> Sat Feb 03 2018 15:09:22</t>
  </si>
  <si>
    <t xml:space="preserve"> Does that account for the estimated 2-3 Million lost Bitcoin? That would skew those numbers.</t>
  </si>
  <si>
    <t xml:space="preserve"> Lehigh Valley PA/NJ</t>
  </si>
  <si>
    <t xml:space="preserve"> Sat Feb 03 2018 15:09:28</t>
  </si>
  <si>
    <t xml:space="preserve"> Is heating up? Now $9,433.00 USD.</t>
  </si>
  <si>
    <t xml:space="preserve"> Sat Feb 03 2018 15:09:30</t>
  </si>
  <si>
    <t xml:space="preserve"> 1-2 sat/B fee transactions are getting included in blocks now. Consolidate your dust while you can.</t>
  </si>
  <si>
    <t xml:space="preserve"> O****f </t>
  </si>
  <si>
    <t xml:space="preserve"> Sat Feb 03 2018 15:09:37</t>
  </si>
  <si>
    <t xml:space="preserve"> Bitcoin at 9500, Ethereum at 1000. Now up 25% and 35% from their respective lows. </t>
  </si>
  <si>
    <t xml:space="preserve"> H****t </t>
  </si>
  <si>
    <t xml:space="preserve"> Bombay, India</t>
  </si>
  <si>
    <t xml:space="preserve"> Sat Feb 03 2018 15:09:59</t>
  </si>
  <si>
    <t xml:space="preserve"> Do you see tons of Koreans investing and Bitcoin reaching ATH after reopening exchanges on Korea this week?</t>
  </si>
  <si>
    <t xml:space="preserve"> Venezuela</t>
  </si>
  <si>
    <t xml:space="preserve"> Sat Feb 03 2018 15:10:04</t>
  </si>
  <si>
    <t xml:space="preserve"> Bitcoin BTC Current Price: $9348.28 1 Hour: 1.6 % | 24 Hours: 7.01 % | 7 Days: -17.29 % </t>
  </si>
  <si>
    <t xml:space="preserve"> Sat Feb 03 2018 15:10:05</t>
  </si>
  <si>
    <t xml:space="preserve"> Latest Bitcoin Price: $9413.11 USD for 1 BTC </t>
  </si>
  <si>
    <t xml:space="preserve"> Sat Feb 03 2018 15:10:06</t>
  </si>
  <si>
    <t xml:space="preserve"> $1 USD is currently worth 0.00010627 BTC! </t>
  </si>
  <si>
    <t xml:space="preserve"> Sat Feb 03 2018 15:10:07</t>
  </si>
  <si>
    <t xml:space="preserve"> Bitcoin and Litecoin go together like chocolate and peanut butter!</t>
  </si>
  <si>
    <t xml:space="preserve"> Sat Feb 03 2018 15:10:33</t>
  </si>
  <si>
    <t xml:space="preserve"> The utility made possible by will far exceed the cost of electricity. Therefore, not having Bitcoin would be a net waste.-Satoshi</t>
  </si>
  <si>
    <t xml:space="preserve"> Sat Feb 03 2018 15:10:40</t>
  </si>
  <si>
    <t xml:space="preserve"> U MUSST SEEN BITCOIN A YEAR ORSO AGO WASS 400$ HYPED TILL NEAR 20.000$ ISSNO REAL LOSS ON 9000$ NOW</t>
  </si>
  <si>
    <t xml:space="preserve"> Sat Feb 03 2018 15:10:44</t>
  </si>
  <si>
    <t xml:space="preserve"> So that even China may think of legalizing it . Bitcoin to the moon!</t>
  </si>
  <si>
    <t xml:space="preserve"> _****o </t>
  </si>
  <si>
    <t xml:space="preserve"> Sat Feb 03 2018 15:11:18</t>
  </si>
  <si>
    <t xml:space="preserve"> Bitcoin is math. Math is speech. Bitcoin is a first amendment right.</t>
  </si>
  <si>
    <t xml:space="preserve"> s****a </t>
  </si>
  <si>
    <t xml:space="preserve"> Sat Feb 03 2018 15:12:15</t>
  </si>
  <si>
    <t xml:space="preserve"> Talk to us in a year, , when is back up at the $18k range. Then well see whos laughing at who.</t>
  </si>
  <si>
    <t xml:space="preserve"> Atlanta , GA</t>
  </si>
  <si>
    <t xml:space="preserve"> Sat Feb 03 2018 15:12:33</t>
  </si>
  <si>
    <t xml:space="preserve"> Lol I call bitcoin the God-Father. Whatever it does, the others follow suite.</t>
  </si>
  <si>
    <t xml:space="preserve"> k****5 </t>
  </si>
  <si>
    <t xml:space="preserve"> Sat Feb 03 2018 15:12:37</t>
  </si>
  <si>
    <t xml:space="preserve"> Its not the Bitcoin currency thats shadyits the aggressive peddlers of Bitcoin to the uninformed that are shady.</t>
  </si>
  <si>
    <t xml:space="preserve"> Sat Feb 03 2018 15:12:57</t>
  </si>
  <si>
    <t xml:space="preserve"> Invest in bitcoin doh!!!! LOL</t>
  </si>
  <si>
    <t xml:space="preserve"> j****f </t>
  </si>
  <si>
    <t xml:space="preserve"> Sat Feb 03 2018 15:13:00</t>
  </si>
  <si>
    <t xml:space="preserve"> are you guys gonna add more coins to the app or just bitcoin?</t>
  </si>
  <si>
    <t xml:space="preserve"> IN</t>
  </si>
  <si>
    <t xml:space="preserve"> Sat Feb 03 2018 15:13:10</t>
  </si>
  <si>
    <t xml:space="preserve"> Cant wait for to leave behind</t>
  </si>
  <si>
    <t xml:space="preserve"> L****l </t>
  </si>
  <si>
    <t xml:space="preserve"> Sat Feb 03 2018 15:13:41</t>
  </si>
  <si>
    <t xml:space="preserve"> Add to that all the lost Bitcoin, and the exchange wallets</t>
  </si>
  <si>
    <t xml:space="preserve"> Earth Core</t>
  </si>
  <si>
    <t xml:space="preserve"> Sat Feb 03 2018 15:14:25</t>
  </si>
  <si>
    <t xml:space="preserve"> have you considered investing in bitcoin?</t>
  </si>
  <si>
    <t xml:space="preserve"> Glasgow, topical paradise</t>
  </si>
  <si>
    <t xml:space="preserve"> Sat Feb 03 2018 15:15:01</t>
  </si>
  <si>
    <t xml:space="preserve"> The current price of Bitcoin is $9415.37. The current price of BCash is $1274.52, or 0.134945 BTC</t>
  </si>
  <si>
    <t xml:space="preserve"> Sat Feb 03 2018 15:15:32</t>
  </si>
  <si>
    <t xml:space="preserve"> when i'm a bitcoin hundredaire you guys will be soooo jealous...</t>
  </si>
  <si>
    <t xml:space="preserve"> e</t>
  </si>
  <si>
    <t xml:space="preserve"> Sat Feb 03 2018 15:15:36</t>
  </si>
  <si>
    <t xml:space="preserve"> rip bitcoin.</t>
  </si>
  <si>
    <t xml:space="preserve"> R****2 </t>
  </si>
  <si>
    <t xml:space="preserve"> Don't fall for tricks</t>
  </si>
  <si>
    <t xml:space="preserve"> Sat Feb 03 2018 15:15:40</t>
  </si>
  <si>
    <t xml:space="preserve"> Bitcoin eating that $9,500 wall!!! Go go! Next wall at 10k</t>
  </si>
  <si>
    <t xml:space="preserve"> Sat Feb 03 2018 15:15:49</t>
  </si>
  <si>
    <t xml:space="preserve"> Bitcoin Price Way Down Low. coming back tho man</t>
  </si>
  <si>
    <t xml:space="preserve"> Sat Feb 03 2018 15:16:04</t>
  </si>
  <si>
    <t xml:space="preserve"> Install Bitcoin mining rigs at compressor stations to keep them warm. Duh!</t>
  </si>
  <si>
    <t xml:space="preserve"> y****e </t>
  </si>
  <si>
    <t xml:space="preserve"> Calgary, Canada</t>
  </si>
  <si>
    <t xml:space="preserve"> Sat Feb 03 2018 15:16:18</t>
  </si>
  <si>
    <t xml:space="preserve"> Ok you got me, .. if that $9500 resistance is broken during the next hour I'm bullish!</t>
  </si>
  <si>
    <t xml:space="preserve"> c****v </t>
  </si>
  <si>
    <t xml:space="preserve"> Sat Feb 03 2018 15:16:19</t>
  </si>
  <si>
    <t xml:space="preserve"> A hahahaha hahahaha guy who calls bitcoin speculative when it at 50 dollars now feels vindicated when drops to 8k.</t>
  </si>
  <si>
    <t xml:space="preserve"> R****0 </t>
  </si>
  <si>
    <t xml:space="preserve"> West but not west coast</t>
  </si>
  <si>
    <t xml:space="preserve"> Sat Feb 03 2018 15:16:37</t>
  </si>
  <si>
    <t xml:space="preserve"> Bitcoin is not bubble, and still very cheap.</t>
  </si>
  <si>
    <t xml:space="preserve"> y****i </t>
  </si>
  <si>
    <t xml:space="preserve"> Sat Feb 03 2018 15:16:47</t>
  </si>
  <si>
    <t xml:space="preserve"> I had a dream. And guess what $crypto twitter, we are all rich again in the near future (&lt;1 years time). $btc $alts</t>
  </si>
  <si>
    <t xml:space="preserve"> CryptoLandia</t>
  </si>
  <si>
    <t xml:space="preserve"> Sat Feb 03 2018 15:17:02</t>
  </si>
  <si>
    <t xml:space="preserve"> The proper term is BitCoin.</t>
  </si>
  <si>
    <t xml:space="preserve"> B****L </t>
  </si>
  <si>
    <t xml:space="preserve"> April 13, 2014.Age 55.</t>
  </si>
  <si>
    <t xml:space="preserve"> Sat Feb 03 2018 15:17:05</t>
  </si>
  <si>
    <t xml:space="preserve"> Bitcoin Cash BCH Current Price: $1274.37 1 Hour: 1.97 % | 24 Hours: 8.54 % | 7 Days: -21.38 % cash</t>
  </si>
  <si>
    <t xml:space="preserve"> Sat Feb 03 2018 15:17:53</t>
  </si>
  <si>
    <t xml:space="preserve"> bitcoin is lowkey fun.</t>
  </si>
  <si>
    <t xml:space="preserve"> Unova</t>
  </si>
  <si>
    <t xml:space="preserve"> Sat Feb 03 2018 15:17:58</t>
  </si>
  <si>
    <t xml:space="preserve"> this is cooler than bitcoin..... </t>
  </si>
  <si>
    <t xml:space="preserve"> S****l </t>
  </si>
  <si>
    <t xml:space="preserve"> Sat Feb 03 2018 15:18:05</t>
  </si>
  <si>
    <t xml:space="preserve"> No incentive to run node same as iota bitcoin is not about tech</t>
  </si>
  <si>
    <t xml:space="preserve"> Dunia Melayu</t>
  </si>
  <si>
    <t xml:space="preserve"> msa</t>
  </si>
  <si>
    <t xml:space="preserve"> Sat Feb 03 2018 15:18:06</t>
  </si>
  <si>
    <t xml:space="preserve"> 's price at exchange listing after $wan </t>
  </si>
  <si>
    <t xml:space="preserve"> K****v </t>
  </si>
  <si>
    <t xml:space="preserve"> Deutschland</t>
  </si>
  <si>
    <t xml:space="preserve"> Sat Feb 03 2018 15:18:14</t>
  </si>
  <si>
    <t xml:space="preserve"> the airport and theres a 35 yr old new yorker talking about how he just got out of bitcoin lol</t>
  </si>
  <si>
    <t xml:space="preserve"> z****a </t>
  </si>
  <si>
    <t xml:space="preserve"> south florida // manhattan </t>
  </si>
  <si>
    <t xml:space="preserve"> Sat Feb 03 2018 15:18:21</t>
  </si>
  <si>
    <t xml:space="preserve"> Hey when are you gonna allow Bitcoin Diamond deposits ???</t>
  </si>
  <si>
    <t xml:space="preserve"> B****8 </t>
  </si>
  <si>
    <t xml:space="preserve"> Sat Feb 03 2018 15:18:29</t>
  </si>
  <si>
    <t xml:space="preserve"> Bitcoin: 7582 EUR</t>
  </si>
  <si>
    <t xml:space="preserve"> Nordrhein-Westfalen, Deutschland</t>
  </si>
  <si>
    <t xml:space="preserve"> Sat Feb 03 2018 15:19:04</t>
  </si>
  <si>
    <t xml:space="preserve"> Ship first your bitcoin miners..</t>
  </si>
  <si>
    <t xml:space="preserve"> Sat Feb 03 2018 15:19:11</t>
  </si>
  <si>
    <t xml:space="preserve"> Send me bitcoin! 1FQAfHoryeZBay1F3UXULLMTbHSmPvuoJC look forward to it</t>
  </si>
  <si>
    <t xml:space="preserve"> M****3 </t>
  </si>
  <si>
    <t xml:space="preserve"> Sat Feb 03 2018 15:19:17</t>
  </si>
  <si>
    <t xml:space="preserve"> *reading that the Bitcoin is not liquid* duh its a COIN</t>
  </si>
  <si>
    <t xml:space="preserve"> M****q </t>
  </si>
  <si>
    <t xml:space="preserve"> Sat Feb 03 2018 15:19:26</t>
  </si>
  <si>
    <t xml:space="preserve"> Wel, I don't know about you guys but I made a lot back last night. </t>
  </si>
  <si>
    <t xml:space="preserve"> j****w </t>
  </si>
  <si>
    <t xml:space="preserve"> nashville</t>
  </si>
  <si>
    <t xml:space="preserve"> Sat Feb 03 2018 15:19:33</t>
  </si>
  <si>
    <t xml:space="preserve"> Take it from us veterans of bitcoin who have been in the space for years... There are far more reasons why bcash is NOT Bitcoin!</t>
  </si>
  <si>
    <t xml:space="preserve"> Sat Feb 03 2018 15:19:41</t>
  </si>
  <si>
    <t xml:space="preserve"> Bitcoin cash is a hard fork Alt Coin. People just want it to have the reputation and perceived value of real Bitcoin.</t>
  </si>
  <si>
    <t xml:space="preserve"> m****d </t>
  </si>
  <si>
    <t xml:space="preserve"> Sat Feb 03 2018 15:19:47</t>
  </si>
  <si>
    <t xml:space="preserve"> Do you like bitcoin</t>
  </si>
  <si>
    <t xml:space="preserve"> Singapore</t>
  </si>
  <si>
    <t xml:space="preserve"> Sat Feb 03 2018 15:19:48</t>
  </si>
  <si>
    <t xml:space="preserve"> Bitcoin is just a bit of the coin it once was. </t>
  </si>
  <si>
    <t xml:space="preserve"> Charlottetown</t>
  </si>
  <si>
    <t xml:space="preserve"> Sat Feb 03 2018 15:19:49</t>
  </si>
  <si>
    <t xml:space="preserve"> Hell Yeah, $BURST sitting on a Solid C right in between Bitcoin and Cash WE GON GET DAT C+ NEXT</t>
  </si>
  <si>
    <t xml:space="preserve"> Sat Feb 03 2018 15:19:56</t>
  </si>
  <si>
    <t xml:space="preserve"> *reading that the Bitcoin is not very liquid* duh its a COIN</t>
  </si>
  <si>
    <t xml:space="preserve"> Sat Feb 03 2018 15:20:04</t>
  </si>
  <si>
    <t xml:space="preserve"> To the moon! </t>
  </si>
  <si>
    <t xml:space="preserve"> Sat Feb 03 2018 15:20:25</t>
  </si>
  <si>
    <t xml:space="preserve"> Bitcoin rival Ripple making it gets available.</t>
  </si>
  <si>
    <t xml:space="preserve"> Sat Feb 03 2018 15:21:28</t>
  </si>
  <si>
    <t xml:space="preserve"> Banks losing that grip on the world finance and they are panicking. </t>
  </si>
  <si>
    <t xml:space="preserve"> Miami, Florida</t>
  </si>
  <si>
    <t xml:space="preserve"> Sat Feb 03 2018 15:21:31</t>
  </si>
  <si>
    <t xml:space="preserve"> What is this new obsession with eating only steaks and deadlifting? And why is it somehow connected to bitcoin???!</t>
  </si>
  <si>
    <t xml:space="preserve"> g****i </t>
  </si>
  <si>
    <t xml:space="preserve"> Sat Feb 03 2018 15:21:37</t>
  </si>
  <si>
    <t xml:space="preserve"> Fml some bitcoin company offered me a job :)))))) thank u</t>
  </si>
  <si>
    <t xml:space="preserve"> j****n </t>
  </si>
  <si>
    <t xml:space="preserve"> Sat Feb 03 2018 15:21:58</t>
  </si>
  <si>
    <t xml:space="preserve"> Just waiting for bitcoin typosquatting forks</t>
  </si>
  <si>
    <t xml:space="preserve"> k****p </t>
  </si>
  <si>
    <t xml:space="preserve"> Je tweete donc je follow.</t>
  </si>
  <si>
    <t xml:space="preserve"> Sat Feb 03 2018 15:22:15</t>
  </si>
  <si>
    <t xml:space="preserve"> Wait I thought the bubble popped?! Why isn't $0 like Dutch Tulips?</t>
  </si>
  <si>
    <t xml:space="preserve"> n****o </t>
  </si>
  <si>
    <t xml:space="preserve"> Sat Feb 03 2018 15:22:32</t>
  </si>
  <si>
    <t xml:space="preserve"> Get the F**k out of bitcoin and get into gold man c'mon </t>
  </si>
  <si>
    <t xml:space="preserve"> In The Rock Near The Father</t>
  </si>
  <si>
    <t xml:space="preserve"> Sat Feb 03 2018 15:22:34</t>
  </si>
  <si>
    <t xml:space="preserve"> If Bitcoin is a ponzi, then all money is a ponzi. No, the difference is actual economic activity.</t>
  </si>
  <si>
    <t xml:space="preserve"> Planet Earth</t>
  </si>
  <si>
    <t xml:space="preserve"> Sat Feb 03 2018 15:22:35</t>
  </si>
  <si>
    <t xml:space="preserve"> BTW how are Mr. Genius's bitcoin positions doing?</t>
  </si>
  <si>
    <t xml:space="preserve"> Sat Feb 03 2018 15:22:49</t>
  </si>
  <si>
    <t xml:space="preserve"> The price of has decreased to the values of November last year... </t>
  </si>
  <si>
    <t xml:space="preserve"> C****O </t>
  </si>
  <si>
    <t xml:space="preserve"> Sat Feb 03 2018 15:22:52</t>
  </si>
  <si>
    <t xml:space="preserve"> The year is 2050: Sean Kingston is our first Jamacin president Cyber bullying is punishable bt death penalty Gas costs 0.34 bitcoin</t>
  </si>
  <si>
    <t xml:space="preserve"> Akron, OH</t>
  </si>
  <si>
    <t xml:space="preserve"> Sat Feb 03 2018 15:22:57</t>
  </si>
  <si>
    <t xml:space="preserve"> Don't look at as just another product... It's not.</t>
  </si>
  <si>
    <t xml:space="preserve"> Burlington, VT</t>
  </si>
  <si>
    <t xml:space="preserve"> Sat Feb 03 2018 15:22:58</t>
  </si>
  <si>
    <t xml:space="preserve"> I dont understand Bitcoin and I am happy that I dont.</t>
  </si>
  <si>
    <t xml:space="preserve"> Kwa-Ndonga Ziyaduma</t>
  </si>
  <si>
    <t xml:space="preserve"> Sat Feb 03 2018 15:23:02</t>
  </si>
  <si>
    <t xml:space="preserve"> Good Morning America Train pass today </t>
  </si>
  <si>
    <t xml:space="preserve"> Sat Feb 03 2018 15:23:23</t>
  </si>
  <si>
    <t xml:space="preserve"> I'll be paying with LED light if that's your currency. You're not getting my Bitcoin.</t>
  </si>
  <si>
    <t xml:space="preserve"> Sat Feb 03 2018 15:23:49</t>
  </si>
  <si>
    <t xml:space="preserve"> More like I have extra. Bitcoin is a one time thing. But the Agric stuff is annually</t>
  </si>
  <si>
    <t xml:space="preserve"> w****s </t>
  </si>
  <si>
    <t xml:space="preserve"> Sat Feb 03 2018 15:24:10</t>
  </si>
  <si>
    <t xml:space="preserve"> Bitcoin is also on beta software. And people trusting real value o it. And much more. Bitcoin gonna change everything, not LN.</t>
  </si>
  <si>
    <t xml:space="preserve"> Sat Feb 03 2018 15:24:15</t>
  </si>
  <si>
    <t xml:space="preserve"> An opportunity to buy and sell goods and services with cryptocurrency in one place. </t>
  </si>
  <si>
    <t xml:space="preserve"> USA, Hawaii</t>
  </si>
  <si>
    <t xml:space="preserve"> Sat Feb 03 2018 15:24:58</t>
  </si>
  <si>
    <t xml:space="preserve"> When Bitcoin destroy the dollar I'm gonna read all your messages. It's gonna be fun </t>
  </si>
  <si>
    <t xml:space="preserve"> Dune</t>
  </si>
  <si>
    <t xml:space="preserve"> Sat Feb 03 2018 15:25:05</t>
  </si>
  <si>
    <t xml:space="preserve"> What if North Korea is behind Bitcoin?</t>
  </si>
  <si>
    <t xml:space="preserve"> t****z </t>
  </si>
  <si>
    <t xml:space="preserve"> Sat Feb 03 2018 15:25:12</t>
  </si>
  <si>
    <t xml:space="preserve"> Famitory &amp; Fourlung official bitcoin mommies of the Olympic games</t>
  </si>
  <si>
    <t xml:space="preserve"> F****y </t>
  </si>
  <si>
    <t xml:space="preserve"> canada</t>
  </si>
  <si>
    <t xml:space="preserve"> Sat Feb 03 2018 15:25:33</t>
  </si>
  <si>
    <t xml:space="preserve"> I believe bitcoin future contract makers prepared a good dip and buying chance for future as they alreadt contracted last ATH around 19K</t>
  </si>
  <si>
    <t xml:space="preserve"> Sat Feb 03 2018 15:25:41</t>
  </si>
  <si>
    <t xml:space="preserve"> Can I get my 5,000 Bitcoin back? lol</t>
  </si>
  <si>
    <t xml:space="preserve"> J****V </t>
  </si>
  <si>
    <t xml:space="preserve"> None of your business</t>
  </si>
  <si>
    <t xml:space="preserve"> Sat Feb 03 2018 15:25:46</t>
  </si>
  <si>
    <t xml:space="preserve"> here we go 2018</t>
  </si>
  <si>
    <t xml:space="preserve"> P****y </t>
  </si>
  <si>
    <t xml:space="preserve"> Sat Feb 03 2018 15:26:00</t>
  </si>
  <si>
    <t xml:space="preserve"> CryptoCompare Bitcoin price changed -1.24% to $9354.61 </t>
  </si>
  <si>
    <t xml:space="preserve"> Sat Feb 03 2018 15:26:05</t>
  </si>
  <si>
    <t xml:space="preserve"> the guy just cut off Ran, poor journalism! a month is not a year. bitcoin is a store of value and a medium of exchange.</t>
  </si>
  <si>
    <t xml:space="preserve"> wanted to hear Laura kipnis then had to endure an antic bit about Bitcoin jfc</t>
  </si>
  <si>
    <t xml:space="preserve"> G****o </t>
  </si>
  <si>
    <t xml:space="preserve"> Sat Feb 03 2018 15:26:22</t>
  </si>
  <si>
    <t xml:space="preserve"> Hope Ali is Bitcoin</t>
  </si>
  <si>
    <t xml:space="preserve"> Rancho Palos Verdes</t>
  </si>
  <si>
    <t xml:space="preserve"> Sat Feb 03 2018 15:26:23</t>
  </si>
  <si>
    <t xml:space="preserve"> because traditional banks love hearing about </t>
  </si>
  <si>
    <t xml:space="preserve"> Sat Feb 03 2018 15:26:25</t>
  </si>
  <si>
    <t xml:space="preserve"> YOU NEVER KNOW WHOS SWIMMING NAKED UNTIL THE TIDE GOES OUT </t>
  </si>
  <si>
    <t xml:space="preserve"> Sat Feb 03 2018 15:26:41</t>
  </si>
  <si>
    <t xml:space="preserve"> Yes, Monero and Bitcoin are the most expensive our there.</t>
  </si>
  <si>
    <t xml:space="preserve"> d****z </t>
  </si>
  <si>
    <t xml:space="preserve"> Athens</t>
  </si>
  <si>
    <t xml:space="preserve"> Sat Feb 03 2018 15:26:49</t>
  </si>
  <si>
    <t xml:space="preserve"> Just purchased $1 of bitcoin on cash app lol</t>
  </si>
  <si>
    <t xml:space="preserve"> Sat Feb 03 2018 15:26:57</t>
  </si>
  <si>
    <t xml:space="preserve"> There is a company selling bitcoin IRAs.</t>
  </si>
  <si>
    <t xml:space="preserve"> Sat Feb 03 2018 15:27:16</t>
  </si>
  <si>
    <t xml:space="preserve"> $SC at mouth watering price so just grab it now at just 3 cent for 100% return with in a week. </t>
  </si>
  <si>
    <t xml:space="preserve"> Sat Feb 03 2018 15:27:32</t>
  </si>
  <si>
    <t xml:space="preserve"> i would sell my kidney to buy bitcoin at 250k in 2023 !!</t>
  </si>
  <si>
    <t xml:space="preserve"> Sat Feb 03 2018 15:27:50</t>
  </si>
  <si>
    <t xml:space="preserve"> $btc $eth </t>
  </si>
  <si>
    <t xml:space="preserve"> c****y </t>
  </si>
  <si>
    <t xml:space="preserve"> Plasma</t>
  </si>
  <si>
    <t xml:space="preserve"> Sat Feb 03 2018 15:27:54</t>
  </si>
  <si>
    <t xml:space="preserve"> Join , </t>
  </si>
  <si>
    <t xml:space="preserve"> Sat Feb 03 2018 15:27:56</t>
  </si>
  <si>
    <t xml:space="preserve"> oh good, bitcoin is back down below 10k USD</t>
  </si>
  <si>
    <t xml:space="preserve"> V****r </t>
  </si>
  <si>
    <t xml:space="preserve"> Probably somewhere in space</t>
  </si>
  <si>
    <t xml:space="preserve"> Sat Feb 03 2018 15:28:00</t>
  </si>
  <si>
    <t xml:space="preserve"> my laptop is full of bitcoin gifs :)))</t>
  </si>
  <si>
    <t xml:space="preserve"> r****o </t>
  </si>
  <si>
    <t xml:space="preserve"> Sat Feb 03 2018 15:28:18</t>
  </si>
  <si>
    <t xml:space="preserve"> I have a mate who lost a couple of 100k on that scam coin because he sold his bitcoin for it</t>
  </si>
  <si>
    <t xml:space="preserve"> J****3 </t>
  </si>
  <si>
    <t xml:space="preserve"> Sat Feb 03 2018 15:29:19</t>
  </si>
  <si>
    <t xml:space="preserve"> Bitcoin Bouta Shoot Up...</t>
  </si>
  <si>
    <t xml:space="preserve"> New Orleans, Colorado</t>
  </si>
  <si>
    <t xml:space="preserve"> Sat Feb 03 2018 15:29:22</t>
  </si>
  <si>
    <t xml:space="preserve"> what to mine? cryptocurrency mining profitability comparisons versus Bitcoin mining</t>
  </si>
  <si>
    <t xml:space="preserve"> th</t>
  </si>
  <si>
    <t xml:space="preserve"> Sat Feb 03 2018 15:29:24</t>
  </si>
  <si>
    <t xml:space="preserve"> I was really hoping to get that .02 bitcoin dang it!</t>
  </si>
  <si>
    <t xml:space="preserve"> s****7 </t>
  </si>
  <si>
    <t xml:space="preserve"> Sat Feb 03 2018 15:29:25</t>
  </si>
  <si>
    <t xml:space="preserve"> &gt; In 2008, Craig Wright published the Bitcoin whitepapaer Did you use proof-of-power to determine Craig is Satoshi?</t>
  </si>
  <si>
    <t xml:space="preserve"> P****_ </t>
  </si>
  <si>
    <t xml:space="preserve"> Sat Feb 03 2018 15:29:48</t>
  </si>
  <si>
    <t xml:space="preserve"> What drives me nuts . Financial advisors who say Bitcoin is a portfolio diversifier. 3/8</t>
  </si>
  <si>
    <t xml:space="preserve"> Sat Feb 03 2018 15:30:02</t>
  </si>
  <si>
    <t xml:space="preserve"> Bitcoin:$9404.25 Ethereum:$977.854 Bitcoin Cash:$1271.22 Litecoin:$150.763 Ripple:$0.960072 IOTA:$1.9841</t>
  </si>
  <si>
    <t xml:space="preserve"> Sat Feb 03 2018 15:30:13</t>
  </si>
  <si>
    <t xml:space="preserve"> You can't understand bitcoin correctly and still believe it to be a speculative asset.</t>
  </si>
  <si>
    <t xml:space="preserve"> Sat Feb 03 2018 15:30:45</t>
  </si>
  <si>
    <t xml:space="preserve"> Saving and not spending Bitcoin is an economic activity.</t>
  </si>
  <si>
    <t xml:space="preserve"> Sat Feb 03 2018 15:30:47</t>
  </si>
  <si>
    <t xml:space="preserve"> Which would you rather have? </t>
  </si>
  <si>
    <t xml:space="preserve"> Sat Feb 03 2018 15:30:50</t>
  </si>
  <si>
    <t xml:space="preserve"> You cant buy bitcoin on Venmo tho</t>
  </si>
  <si>
    <t xml:space="preserve"> T: 28.683232,-81.181189</t>
  </si>
  <si>
    <t xml:space="preserve"> Sat Feb 03 2018 15:30:57</t>
  </si>
  <si>
    <t xml:space="preserve"> Buy bitcoin $btc</t>
  </si>
  <si>
    <t xml:space="preserve"> Sat Feb 03 2018 15:31:04</t>
  </si>
  <si>
    <t xml:space="preserve"> Bitcoin is so interesting as a monetary phenomenon, I can't stop watching and sort of rooting for it. But not an investor</t>
  </si>
  <si>
    <t xml:space="preserve"> P****a </t>
  </si>
  <si>
    <t xml:space="preserve"> Lima, Peru</t>
  </si>
  <si>
    <t xml:space="preserve"> Sat Feb 03 2018 15:31:12</t>
  </si>
  <si>
    <t xml:space="preserve"> Hello humans, is currently around $9357.36 as of Sat Feb 3 09:31:08 CST 2018</t>
  </si>
  <si>
    <t xml:space="preserve"> i personally thinc investment in bitcoin will bring the second coming that much quiker lol</t>
  </si>
  <si>
    <t xml:space="preserve"> somewhere in the ie.</t>
  </si>
  <si>
    <t xml:space="preserve"> Sat Feb 03 2018 15:31:13</t>
  </si>
  <si>
    <t xml:space="preserve"> I am getting tire of seeing this</t>
  </si>
  <si>
    <t xml:space="preserve"> Sat Feb 03 2018 15:31:23</t>
  </si>
  <si>
    <t xml:space="preserve"> They already earned without having any bitcoin in hand. They earned quickly and prepare for the futur ATH.</t>
  </si>
  <si>
    <t xml:space="preserve"> Sat Feb 03 2018 15:31:24</t>
  </si>
  <si>
    <t xml:space="preserve"> i came this great Old Country Buffet with only the shoes on my feet &amp; a single bitcoin</t>
  </si>
  <si>
    <t xml:space="preserve"> Party City</t>
  </si>
  <si>
    <t xml:space="preserve"> Sat Feb 03 2018 15:31:33</t>
  </si>
  <si>
    <t xml:space="preserve"> Bitcoin bounced off the .618 Fibonacci level during it's low yesterday. We are near the bottom of this retracement. :)</t>
  </si>
  <si>
    <t xml:space="preserve"> Niagara Falls, Ontario</t>
  </si>
  <si>
    <t xml:space="preserve"> Sat Feb 03 2018 15:31:49</t>
  </si>
  <si>
    <t xml:space="preserve"> What drives me nuts . Financial advisors who give price targets and dates for Bitcoin. Just stop. 7/8</t>
  </si>
  <si>
    <t xml:space="preserve"> Sat Feb 03 2018 15:32:04</t>
  </si>
  <si>
    <t xml:space="preserve"> The recovery? </t>
  </si>
  <si>
    <t xml:space="preserve"> Sat Feb 03 2018 15:32:09</t>
  </si>
  <si>
    <t xml:space="preserve"> What Ever Jamie Dimon, Morgan Staney Bid For Russia's Nevsky Center, I'll raise it by 1 ;) $JPM </t>
  </si>
  <si>
    <t xml:space="preserve"> P****i </t>
  </si>
  <si>
    <t xml:space="preserve"> NYC, Amsterdam, London</t>
  </si>
  <si>
    <t xml:space="preserve"> Sat Feb 03 2018 15:32:40</t>
  </si>
  <si>
    <t xml:space="preserve"> I wish an anonymous philanthropist would make a donation to me! # </t>
  </si>
  <si>
    <t xml:space="preserve"> Sat Feb 03 2018 15:32:43</t>
  </si>
  <si>
    <t xml:space="preserve"> Any idea on if there is an issue with the bitcoin payments? its been pending on mine for a while?</t>
  </si>
  <si>
    <t xml:space="preserve"> The Realms of Insanity</t>
  </si>
  <si>
    <t xml:space="preserve"> Sat Feb 03 2018 15:33:02</t>
  </si>
  <si>
    <t xml:space="preserve"> Bitcoin will never need a taxpayer bailout to stay afloat.</t>
  </si>
  <si>
    <t xml:space="preserve"> Portland, OR</t>
  </si>
  <si>
    <t xml:space="preserve"> Sat Feb 03 2018 15:33:03</t>
  </si>
  <si>
    <t xml:space="preserve"> anything that gives bitcoin a C is not worth mentioning ... sorry, i do like bitshares !</t>
  </si>
  <si>
    <t xml:space="preserve"> C****g </t>
  </si>
  <si>
    <t xml:space="preserve"> Crypt0land</t>
  </si>
  <si>
    <t xml:space="preserve"> Sat Feb 03 2018 15:33:06</t>
  </si>
  <si>
    <t xml:space="preserve"> Seems like Bitcoin may be a scam as well</t>
  </si>
  <si>
    <t xml:space="preserve"> G****g </t>
  </si>
  <si>
    <t xml:space="preserve"> Sat Feb 03 2018 15:33:16</t>
  </si>
  <si>
    <t xml:space="preserve"> In bitcoin history there is big price losts and big gains later. I say this drop prepares the bitcoin for new and bigger ath in the future.</t>
  </si>
  <si>
    <t xml:space="preserve"> Sat Feb 03 2018 15:33:26</t>
  </si>
  <si>
    <t xml:space="preserve"> Tell us Richard what you did with your bitcoin, did you hold? did you sell and buy back cheaper? do tell</t>
  </si>
  <si>
    <t xml:space="preserve"> Detroit, MI</t>
  </si>
  <si>
    <t xml:space="preserve"> Sat Feb 03 2018 15:33:30</t>
  </si>
  <si>
    <t xml:space="preserve"> nasdaq dot-com bubble took years, bitcoin is doing all that in 2 months</t>
  </si>
  <si>
    <t xml:space="preserve"> Sat Feb 03 2018 15:33:44</t>
  </si>
  <si>
    <t xml:space="preserve"> Capitulation around 5k ? WDYT </t>
  </si>
  <si>
    <t xml:space="preserve"> c****c </t>
  </si>
  <si>
    <t xml:space="preserve"> Sat Feb 03 2018 15:33:46</t>
  </si>
  <si>
    <t xml:space="preserve"> The bitcoin standard, where you get that? Ive a preorder on amazon for April earliest??</t>
  </si>
  <si>
    <t xml:space="preserve"> Wakefield, UK</t>
  </si>
  <si>
    <t xml:space="preserve"> Sat Feb 03 2018 15:33:51</t>
  </si>
  <si>
    <t xml:space="preserve"> You got that right Peter. Bitcoin isnt the bubble, its the pin</t>
  </si>
  <si>
    <t xml:space="preserve"> Sat Feb 03 2018 15:33:53</t>
  </si>
  <si>
    <t xml:space="preserve"> Still way too high for that clip. Roll it when Bitcoin hits $1,000.</t>
  </si>
  <si>
    <t xml:space="preserve"> Sat Feb 03 2018 15:33:55</t>
  </si>
  <si>
    <t xml:space="preserve"> Will btc bitcoin hit $5000</t>
  </si>
  <si>
    <t xml:space="preserve"> r****s </t>
  </si>
  <si>
    <t xml:space="preserve"> Shipley west yorkshire</t>
  </si>
  <si>
    <t xml:space="preserve"> Sat Feb 03 2018 15:34:05</t>
  </si>
  <si>
    <t xml:space="preserve"> Bitcoin is pogs</t>
  </si>
  <si>
    <t xml:space="preserve"> O****r </t>
  </si>
  <si>
    <t xml:space="preserve"> Sat Feb 03 2018 15:34:12</t>
  </si>
  <si>
    <t xml:space="preserve"> screw bitcoin Im investing in flamethrowers!</t>
  </si>
  <si>
    <t xml:space="preserve"> U****x </t>
  </si>
  <si>
    <t xml:space="preserve"> Sat Feb 03 2018 15:34:13</t>
  </si>
  <si>
    <t xml:space="preserve"> What happened to 6k bitcoin? You're fans losing out Bc you Don't know wtf you're talking about </t>
  </si>
  <si>
    <t xml:space="preserve"> Sat Feb 03 2018 15:34:42</t>
  </si>
  <si>
    <t xml:space="preserve"> Bitcoin at $1 Million by 2020: McAfee Doubles Down on Bullish Bet </t>
  </si>
  <si>
    <t xml:space="preserve"> Sat Feb 03 2018 15:34:50</t>
  </si>
  <si>
    <t xml:space="preserve"> Bitconnect is Facing its Second Class Action Lawsuit </t>
  </si>
  <si>
    <t xml:space="preserve"> Sat Feb 03 2018 15:35:28</t>
  </si>
  <si>
    <t xml:space="preserve"> Every informed person needs to know about Bitcoin because it's one of the world</t>
  </si>
  <si>
    <t xml:space="preserve"> Sat Feb 03 2018 15:36:15</t>
  </si>
  <si>
    <t xml:space="preserve"> Thanks for the free bitcoin giveaway, its not everyday someone does something this generous </t>
  </si>
  <si>
    <t xml:space="preserve"> Sat Feb 03 2018 15:36:25</t>
  </si>
  <si>
    <t xml:space="preserve"> Bitcoin Mining Comes To New York As Lawmakers Approve Power Allocation.</t>
  </si>
  <si>
    <t xml:space="preserve"> t****p </t>
  </si>
  <si>
    <t xml:space="preserve"> Etawah, Uttar Pradesh , India</t>
  </si>
  <si>
    <t xml:space="preserve"> Sat Feb 03 2018 15:36:29</t>
  </si>
  <si>
    <t xml:space="preserve"> 1 BITCOIN = $9,337</t>
  </si>
  <si>
    <t xml:space="preserve"> Sat Feb 03 2018 15:36:49</t>
  </si>
  <si>
    <t xml:space="preserve"> arrived mocking bitcoin day traders, now a fully fledged bitmex degen.</t>
  </si>
  <si>
    <t xml:space="preserve"> W****M </t>
  </si>
  <si>
    <t xml:space="preserve"> Sat Feb 03 2018 15:37:40</t>
  </si>
  <si>
    <t xml:space="preserve"> I ask my grandma and she told me that I have to buy Bitcoin</t>
  </si>
  <si>
    <t xml:space="preserve"> D****3 </t>
  </si>
  <si>
    <t xml:space="preserve"> Conductor Track</t>
  </si>
  <si>
    <t xml:space="preserve"> Sat Feb 03 2018 15:38:01</t>
  </si>
  <si>
    <t xml:space="preserve"> RT : What are you currently ? ?</t>
  </si>
  <si>
    <t xml:space="preserve"> R****X </t>
  </si>
  <si>
    <t xml:space="preserve"> Sat Feb 03 2018 15:38:10</t>
  </si>
  <si>
    <t xml:space="preserve"> Don't think we're out of the woods yet... </t>
  </si>
  <si>
    <t xml:space="preserve"> Sat Feb 03 2018 15:38:11</t>
  </si>
  <si>
    <t xml:space="preserve"> Having 2 different banks and getting money from one account to the next is enough hassle for me to want to use bitcoin</t>
  </si>
  <si>
    <t xml:space="preserve"> Sat Feb 03 2018 15:38:14</t>
  </si>
  <si>
    <t xml:space="preserve"> But can you spend bitcoin $ </t>
  </si>
  <si>
    <t xml:space="preserve"> t****7 </t>
  </si>
  <si>
    <t xml:space="preserve"> Its called bitcoin, the whole reason the crypto sphere exists and the coin all coins trade.</t>
  </si>
  <si>
    <t xml:space="preserve"> v****n </t>
  </si>
  <si>
    <t xml:space="preserve"> Sat Feb 03 2018 15:38:19</t>
  </si>
  <si>
    <t xml:space="preserve"> We can say the same thing about you when it comes to your comments about Bitcoin.</t>
  </si>
  <si>
    <t xml:space="preserve"> k****i </t>
  </si>
  <si>
    <t xml:space="preserve"> Warsaw</t>
  </si>
  <si>
    <t xml:space="preserve"> Sat Feb 03 2018 15:38:25</t>
  </si>
  <si>
    <t xml:space="preserve"> Somebody wanna educate me on how bitcoin works? Im interested </t>
  </si>
  <si>
    <t xml:space="preserve"> _****p </t>
  </si>
  <si>
    <t xml:space="preserve"> Sat Feb 03 2018 15:38:34</t>
  </si>
  <si>
    <t xml:space="preserve"> Investment bank is the backbone of economic and financial system. </t>
  </si>
  <si>
    <t xml:space="preserve"> v****v </t>
  </si>
  <si>
    <t xml:space="preserve"> Warsaw, Poland</t>
  </si>
  <si>
    <t xml:space="preserve"> Sat Feb 03 2018 15:38:44</t>
  </si>
  <si>
    <t xml:space="preserve"> To all haters which would have loved to see bitcoin below 8k. will never die Mr. </t>
  </si>
  <si>
    <t xml:space="preserve"> T****h </t>
  </si>
  <si>
    <t xml:space="preserve"> Svizzera, Zurigo</t>
  </si>
  <si>
    <t xml:space="preserve"> Sat Feb 03 2018 15:38:47</t>
  </si>
  <si>
    <t xml:space="preserve"> is greys anatomy really having an episode about bitcoin</t>
  </si>
  <si>
    <t xml:space="preserve"> a****i </t>
  </si>
  <si>
    <t xml:space="preserve"> Sat Feb 03 2018 15:39:13</t>
  </si>
  <si>
    <t xml:space="preserve"> Do you have your own podcast? Or a YouTube channel? That'd be nice. </t>
  </si>
  <si>
    <t xml:space="preserve"> California</t>
  </si>
  <si>
    <t xml:space="preserve"> Sat Feb 03 2018 15:39:22</t>
  </si>
  <si>
    <t xml:space="preserve"> Quit McDonalds this morning. We back boys! </t>
  </si>
  <si>
    <t xml:space="preserve"> P****7 </t>
  </si>
  <si>
    <t xml:space="preserve"> Sat Feb 03 2018 15:40:18</t>
  </si>
  <si>
    <t xml:space="preserve"> New support level for bitcoin could be 9k $btc</t>
  </si>
  <si>
    <t xml:space="preserve"> Bitcoin var</t>
  </si>
  <si>
    <t xml:space="preserve"> e****z </t>
  </si>
  <si>
    <t xml:space="preserve"> Alanya, Trkiye</t>
  </si>
  <si>
    <t xml:space="preserve"> Sat Feb 03 2018 15:40:25</t>
  </si>
  <si>
    <t xml:space="preserve"> bitcoin is the better way :-) We've got this from here</t>
  </si>
  <si>
    <t xml:space="preserve"> R****C </t>
  </si>
  <si>
    <t xml:space="preserve"> Sat Feb 03 2018 15:40:29</t>
  </si>
  <si>
    <t xml:space="preserve"> Makes for a great Italian Job sequel </t>
  </si>
  <si>
    <t xml:space="preserve"> Hartford, Connecticut</t>
  </si>
  <si>
    <t xml:space="preserve"> Sat Feb 03 2018 15:40:40</t>
  </si>
  <si>
    <t xml:space="preserve"> Please don't link Bitcoin to all-meat diet, that's ridiculous.</t>
  </si>
  <si>
    <t xml:space="preserve"> Sat Feb 03 2018 15:41:04</t>
  </si>
  <si>
    <t xml:space="preserve"> The Current Bitcoin Price is 0.00010727 BTC for $1 USD </t>
  </si>
  <si>
    <t xml:space="preserve"> Sat Feb 03 2018 15:41:10</t>
  </si>
  <si>
    <t xml:space="preserve"> Will Bitcoin ever be below $4000 again? </t>
  </si>
  <si>
    <t xml:space="preserve"> A****r </t>
  </si>
  <si>
    <t xml:space="preserve"> Sat Feb 03 2018 15:41:17</t>
  </si>
  <si>
    <t xml:space="preserve"> Bitcoin percentage of market cap: 34.6 % </t>
  </si>
  <si>
    <t xml:space="preserve"> Sat Feb 03 2018 15:41:22</t>
  </si>
  <si>
    <t xml:space="preserve"> Bitcoin already dropped by 50% from ATH. The bubble has burst. Stock up!</t>
  </si>
  <si>
    <t xml:space="preserve"> c****k </t>
  </si>
  <si>
    <t xml:space="preserve"> Current Life USA</t>
  </si>
  <si>
    <t xml:space="preserve"> Bitcoin only really uptrend when it is above the $ 13100 price range. At present, the risk remains latent.</t>
  </si>
  <si>
    <t xml:space="preserve"> London United Kingdom</t>
  </si>
  <si>
    <t xml:space="preserve"> Sat Feb 03 2018 15:41:51</t>
  </si>
  <si>
    <t xml:space="preserve"> ..... just a matter of time...!!! </t>
  </si>
  <si>
    <t xml:space="preserve"> Sat Feb 03 2018 15:41:55</t>
  </si>
  <si>
    <t xml:space="preserve"> What is poverty Is this once and we'll randomly select Bitcoin value:</t>
  </si>
  <si>
    <t xml:space="preserve"> Sat Feb 03 2018 15:42:06</t>
  </si>
  <si>
    <t xml:space="preserve"> Cryptocurrency: Price USD: 9272.33 Price BTC: 1.0 24h Volume USD: 8164830000.0 Percent change 24h: 4.85</t>
  </si>
  <si>
    <t xml:space="preserve"> Sat Feb 03 2018 15:42:13</t>
  </si>
  <si>
    <t xml:space="preserve"> Everyones going on about investing in bitcoin. Killie are 20/1 to win the Scottish Cup </t>
  </si>
  <si>
    <t xml:space="preserve"> g****e </t>
  </si>
  <si>
    <t xml:space="preserve"> D-horn y'all</t>
  </si>
  <si>
    <t xml:space="preserve"> Sat Feb 03 2018 15:42:27</t>
  </si>
  <si>
    <t xml:space="preserve"> Optimal tx fee: 85 satoshi per byte. BTC : $9403 / 7545 / 6658 Block 507444. Market Cap: 152.38B USD. </t>
  </si>
  <si>
    <t xml:space="preserve"> Sat Feb 03 2018 15:42:50</t>
  </si>
  <si>
    <t xml:space="preserve"> It's that barbarous relic that is required to mine bitcoin.</t>
  </si>
  <si>
    <t xml:space="preserve"> w****4 </t>
  </si>
  <si>
    <t xml:space="preserve"> Sat Feb 03 2018 15:42:58</t>
  </si>
  <si>
    <t xml:space="preserve"> Those bitcoin commercials on snap gives me black mirror vibes</t>
  </si>
  <si>
    <t xml:space="preserve"> Hollywood, FL Tampa, FL</t>
  </si>
  <si>
    <t xml:space="preserve"> Sat Feb 03 2018 15:43:20</t>
  </si>
  <si>
    <t xml:space="preserve"> does not erase borders. It ignores them.</t>
  </si>
  <si>
    <t xml:space="preserve"> O****t </t>
  </si>
  <si>
    <t xml:space="preserve"> Sat Feb 03 2018 15:43:25</t>
  </si>
  <si>
    <t xml:space="preserve"> Bitflyer Launches Its New Cryptocurrency Exchange to Use Bitcoin Data</t>
  </si>
  <si>
    <t xml:space="preserve"> Sat Feb 03 2018 15:43:34</t>
  </si>
  <si>
    <t xml:space="preserve"> By injecting small amounts of Bitcoin into central banks scientists were able to completely destroy the tumors</t>
  </si>
  <si>
    <t xml:space="preserve"> G****N </t>
  </si>
  <si>
    <t xml:space="preserve"> THE INTERNET OF MONEY</t>
  </si>
  <si>
    <t xml:space="preserve"> Sat Feb 03 2018 15:43:35</t>
  </si>
  <si>
    <t xml:space="preserve"> Oh, cool. Bitcoin mining captchas. This is fine. Totally fine.</t>
  </si>
  <si>
    <t xml:space="preserve"> l****o </t>
  </si>
  <si>
    <t xml:space="preserve"> Trillmington, DE</t>
  </si>
  <si>
    <t xml:space="preserve"> Sat Feb 03 2018 15:43:53</t>
  </si>
  <si>
    <t xml:space="preserve"> Ill be honest I still dont understand bitcoin</t>
  </si>
  <si>
    <t xml:space="preserve"> Sat Feb 03 2018 15:44:14</t>
  </si>
  <si>
    <t xml:space="preserve"> You've turned into the BITCOIN FUD Manager... time to let you go... Bitcoin is ready to take off.. TA is solid!</t>
  </si>
  <si>
    <t xml:space="preserve"> Can you look at AML Bitcoin?</t>
  </si>
  <si>
    <t xml:space="preserve"> c****h </t>
  </si>
  <si>
    <t xml:space="preserve"> Sat Feb 03 2018 15:44:38</t>
  </si>
  <si>
    <t xml:space="preserve"> Hi when will Bitcoin Diamond maintenance finish</t>
  </si>
  <si>
    <t xml:space="preserve"> Perth, Western Australia</t>
  </si>
  <si>
    <t xml:space="preserve"> Sat Feb 03 2018 15:44:55</t>
  </si>
  <si>
    <t xml:space="preserve"> Wtf is a bitcoin lol</t>
  </si>
  <si>
    <t xml:space="preserve"> a****l </t>
  </si>
  <si>
    <t xml:space="preserve"> Houston</t>
  </si>
  <si>
    <t xml:space="preserve"> Sat Feb 03 2018 15:45:02</t>
  </si>
  <si>
    <t xml:space="preserve"> There are currently 14,072 unconfirmed Bitcoin transactions. $BTC</t>
  </si>
  <si>
    <t xml:space="preserve"> Sat Feb 03 2018 15:45:13</t>
  </si>
  <si>
    <t xml:space="preserve"> I accept Bitcoin &amp; tapioca pudding</t>
  </si>
  <si>
    <t xml:space="preserve"> D****l </t>
  </si>
  <si>
    <t xml:space="preserve"> Sat Feb 03 2018 15:45:59</t>
  </si>
  <si>
    <t xml:space="preserve"> Lol reading through tweets. I'm no noob. I don't sell at losses.</t>
  </si>
  <si>
    <t xml:space="preserve"> L****6 </t>
  </si>
  <si>
    <t xml:space="preserve"> North Buckhead, Atlanta</t>
  </si>
  <si>
    <t xml:space="preserve"> Sat Feb 03 2018 15:46:11</t>
  </si>
  <si>
    <t xml:space="preserve"> Bitcoin needed... I need bitcoin</t>
  </si>
  <si>
    <t xml:space="preserve"> Sat Feb 03 2018 15:46:20</t>
  </si>
  <si>
    <t xml:space="preserve"> The bitcoin comment!!! Losing him also made JT have to play more penalty kill minutes! Kulemin is missed greatly!!</t>
  </si>
  <si>
    <t xml:space="preserve"> I****I </t>
  </si>
  <si>
    <t xml:space="preserve"> Sat Feb 03 2018 15:46:34</t>
  </si>
  <si>
    <t xml:space="preserve"> is the tech. is merely the first mainstream manifestation of its potential </t>
  </si>
  <si>
    <t xml:space="preserve"> Sat Feb 03 2018 15:46:45</t>
  </si>
  <si>
    <t xml:space="preserve"> His last album Get Bitcoin or Die Typing</t>
  </si>
  <si>
    <t xml:space="preserve"> y****s </t>
  </si>
  <si>
    <t xml:space="preserve"> Afir Imzourhene , Algeria</t>
  </si>
  <si>
    <t xml:space="preserve"> Sat Feb 03 2018 15:47:07</t>
  </si>
  <si>
    <t xml:space="preserve"> Lol well.. it's not 5 million Bitcoin.</t>
  </si>
  <si>
    <t xml:space="preserve"> New Haven, CT</t>
  </si>
  <si>
    <t xml:space="preserve"> FOMO time is very close for those who say $BTC is dead. Added some $SYS , $DGB and $STRAT </t>
  </si>
  <si>
    <t xml:space="preserve"> e****y </t>
  </si>
  <si>
    <t xml:space="preserve"> Ankara</t>
  </si>
  <si>
    <t xml:space="preserve"> Sat Feb 03 2018 15:47:20</t>
  </si>
  <si>
    <t xml:space="preserve"> Take note that BitPay is currently charging about $5.00 transaction fees for processing Bitcoin transactions that take ages to confirm.</t>
  </si>
  <si>
    <t xml:space="preserve"> Sat Feb 03 2018 15:47:43</t>
  </si>
  <si>
    <t xml:space="preserve"> bitcoin is now available at a discounted price. what some people see as a failure other see as opportunity.</t>
  </si>
  <si>
    <t xml:space="preserve"> Sat Feb 03 2018 15:47:46</t>
  </si>
  <si>
    <t xml:space="preserve"> What's the exchange rate of Bitcoin to Schrute Buck?</t>
  </si>
  <si>
    <t xml:space="preserve"> A****Q </t>
  </si>
  <si>
    <t xml:space="preserve"> Surrounded by Brandenburg</t>
  </si>
  <si>
    <t xml:space="preserve"> Sat Feb 03 2018 15:47:48</t>
  </si>
  <si>
    <t xml:space="preserve"> Bitcoin dropped from 18k to 8k in a month. Bitcoin also met an accident. :p</t>
  </si>
  <si>
    <t xml:space="preserve"> g****n </t>
  </si>
  <si>
    <t xml:space="preserve"> New Delhi, India</t>
  </si>
  <si>
    <t xml:space="preserve"> Sat Feb 03 2018 15:48:00</t>
  </si>
  <si>
    <t xml:space="preserve"> I also think bitcoin is nothing but a scam. Talk about there is no there, there.</t>
  </si>
  <si>
    <t xml:space="preserve"> Sat Feb 03 2018 15:48:06</t>
  </si>
  <si>
    <t xml:space="preserve"> Just need them to support Bitcoin Cash.</t>
  </si>
  <si>
    <t xml:space="preserve"> Sat Feb 03 2018 15:48:15</t>
  </si>
  <si>
    <t xml:space="preserve"> Dear , I was starting my burger flipper job at McDonalds on Monday. Should I show up or not? Please give me some clue!!!</t>
  </si>
  <si>
    <t xml:space="preserve"> _****7 </t>
  </si>
  <si>
    <t xml:space="preserve"> Crypto Castle </t>
  </si>
  <si>
    <t xml:space="preserve"> Sat Feb 03 2018 15:48:17</t>
  </si>
  <si>
    <t xml:space="preserve"> Seems like we are going back up from here. Marketcap is rising really steady now! </t>
  </si>
  <si>
    <t xml:space="preserve"> N****t </t>
  </si>
  <si>
    <t xml:space="preserve"> Sat Feb 03 2018 15:48:22</t>
  </si>
  <si>
    <t xml:space="preserve"> Send me BTC: my adress: 1JRDXJCgqYUKRUNrorY3VGV8xuyUMfRsPY </t>
  </si>
  <si>
    <t xml:space="preserve"> gaia everywhere here</t>
  </si>
  <si>
    <t xml:space="preserve"> Sat Feb 03 2018 15:48:27</t>
  </si>
  <si>
    <t xml:space="preserve"> Imagine being this philosophically invested in cryptocurrency and still thinking Bitcoin is the best one</t>
  </si>
  <si>
    <t xml:space="preserve"> Taprobane</t>
  </si>
  <si>
    <t xml:space="preserve"> Sat Feb 03 2018 15:48:36</t>
  </si>
  <si>
    <t xml:space="preserve"> is under 10k USD, pos coins should go up as it was before :) $may $lana $aerm $dvrs $bitb $elite $xios $buzz $emb</t>
  </si>
  <si>
    <t xml:space="preserve"> P****b </t>
  </si>
  <si>
    <t xml:space="preserve"> Sat Feb 03 2018 15:48:42</t>
  </si>
  <si>
    <t xml:space="preserve"> How much is bitcoin now?</t>
  </si>
  <si>
    <t xml:space="preserve"> Nigeria, Africa, Earth.</t>
  </si>
  <si>
    <t xml:space="preserve"> Sat Feb 03 2018 15:49:03</t>
  </si>
  <si>
    <t xml:space="preserve"> Yesterday was a shakeout day! Shakeout the weak hands and lets know who the real bitcoin believers are</t>
  </si>
  <si>
    <t xml:space="preserve"> In Your Brain.</t>
  </si>
  <si>
    <t xml:space="preserve"> Sat Feb 03 2018 15:49:21</t>
  </si>
  <si>
    <t xml:space="preserve"> was it a bitcoin payment? :D</t>
  </si>
  <si>
    <t xml:space="preserve"> Sat Feb 03 2018 15:50:10</t>
  </si>
  <si>
    <t xml:space="preserve"> A 2% drop in Dow is a ridiculous comparison to the collapse of bitcoin!</t>
  </si>
  <si>
    <t xml:space="preserve"> M****g </t>
  </si>
  <si>
    <t xml:space="preserve"> Dubai</t>
  </si>
  <si>
    <t xml:space="preserve"> Sat Feb 03 2018 15:50:15</t>
  </si>
  <si>
    <t xml:space="preserve"> Bitcoin have lost $38bl in market cap this week. Global stocks have lost $1.8tn in market cap this week.</t>
  </si>
  <si>
    <t xml:space="preserve"> Artisanopolis</t>
  </si>
  <si>
    <t xml:space="preserve"> Sat Feb 03 2018 15:50:19</t>
  </si>
  <si>
    <t xml:space="preserve"> I do wonder whether the crash in bitcoin &amp; mkt correction are somehow related, maybe in that there's a general reduction in risk appetite...</t>
  </si>
  <si>
    <t xml:space="preserve"> Krugman you are a brilliant economist but I suspect you have not researched Bitcoin.</t>
  </si>
  <si>
    <t xml:space="preserve"> Sat Feb 03 2018 15:50:45</t>
  </si>
  <si>
    <t xml:space="preserve"> Damn. Stop with this MSM truthiness. Its killing my bitcoin portfolio</t>
  </si>
  <si>
    <t xml:space="preserve"> Sat Feb 03 2018 15:50:49</t>
  </si>
  <si>
    <t xml:space="preserve"> On what Alt coin would you invest more between Cardano (ADA) or Power Ledger (POWR)? </t>
  </si>
  <si>
    <t xml:space="preserve"> P****u </t>
  </si>
  <si>
    <t xml:space="preserve"> Sat Feb 03 2018 15:50:57</t>
  </si>
  <si>
    <t xml:space="preserve"> another proof that bcash is the real bitcoin is that it moves same way as bitcoin does.</t>
  </si>
  <si>
    <t xml:space="preserve"> B****z </t>
  </si>
  <si>
    <t xml:space="preserve"> all over the world</t>
  </si>
  <si>
    <t xml:space="preserve"> Sat Feb 03 2018 15:51:11</t>
  </si>
  <si>
    <t xml:space="preserve"> Glad I didnt recommend to any new people before the crash. </t>
  </si>
  <si>
    <t xml:space="preserve"> m****p </t>
  </si>
  <si>
    <t xml:space="preserve"> Sat Feb 03 2018 15:51:28</t>
  </si>
  <si>
    <t xml:space="preserve"> Good morning to everyone and everything including bitcoin.</t>
  </si>
  <si>
    <t xml:space="preserve"> D****_ </t>
  </si>
  <si>
    <t xml:space="preserve"> Orange County, CA</t>
  </si>
  <si>
    <t xml:space="preserve"> Sat Feb 03 2018 15:51:39</t>
  </si>
  <si>
    <t xml:space="preserve"> It's come to a point where I pray that Bitcoin falls so that people can finally ditch their graphics cards and make GPU prices fall</t>
  </si>
  <si>
    <t xml:space="preserve"> Sat Feb 03 2018 15:51:58</t>
  </si>
  <si>
    <t xml:space="preserve"> roses are red, violets are blue, criptos are green and im happy like u :) </t>
  </si>
  <si>
    <t xml:space="preserve"> Sat Feb 03 2018 15:52:09</t>
  </si>
  <si>
    <t xml:space="preserve"> There has to be a pimp somewhere who was sending hoes via bitcoin and forgot he had funds in his wallet lol</t>
  </si>
  <si>
    <t xml:space="preserve"> Ann Arbor, MI</t>
  </si>
  <si>
    <t xml:space="preserve"> Sat Feb 03 2018 15:52:15</t>
  </si>
  <si>
    <t xml:space="preserve"> Like every time I see Bitcoin prices go up, I get pissed</t>
  </si>
  <si>
    <t xml:space="preserve"> Sat Feb 03 2018 15:52:23</t>
  </si>
  <si>
    <t xml:space="preserve"> I know you like Bitcoin. Buy Ada and dbix along with your Bitcoin.</t>
  </si>
  <si>
    <t xml:space="preserve"> G****l </t>
  </si>
  <si>
    <t xml:space="preserve"> Ohio, USA</t>
  </si>
  <si>
    <t xml:space="preserve"> Sat Feb 03 2018 15:52:51</t>
  </si>
  <si>
    <t xml:space="preserve"> Bitcoin price &gt; Finding a Valentine </t>
  </si>
  <si>
    <t xml:space="preserve"> N****l </t>
  </si>
  <si>
    <t xml:space="preserve"> Sat Feb 03 2018 15:53:00</t>
  </si>
  <si>
    <t xml:space="preserve"> CryptoCompare Bitcoin price changed -1.21% to $9241.75 </t>
  </si>
  <si>
    <t xml:space="preserve"> Sat Feb 03 2018 15:53:01</t>
  </si>
  <si>
    <t xml:space="preserve"> $: (9188.27) 3mAccelBandTrap- (1xAvg), hi:9353.07, lo:9205.21, bars:9, 6:1Accel-, tf:0111010, FirmTrnd-:+100%</t>
  </si>
  <si>
    <t xml:space="preserve"> Sat Feb 03 2018 15:53:04</t>
  </si>
  <si>
    <t xml:space="preserve"> CAN YOU LEAVE ME ALONE ABOUT BITCOIN?</t>
  </si>
  <si>
    <t xml:space="preserve"> v****h </t>
  </si>
  <si>
    <t xml:space="preserve"> atlanta, ga</t>
  </si>
  <si>
    <t xml:space="preserve"> Sat Feb 03 2018 15:53:08</t>
  </si>
  <si>
    <t xml:space="preserve"> Has bitcoin finally bounced back? $btc $eth </t>
  </si>
  <si>
    <t xml:space="preserve"> Sat Feb 03 2018 15:53:36</t>
  </si>
  <si>
    <t xml:space="preserve"> $BTC rising back after major dip in the last few days! </t>
  </si>
  <si>
    <t xml:space="preserve"> T****_ </t>
  </si>
  <si>
    <t xml:space="preserve"> Sat Feb 03 2018 15:53:43</t>
  </si>
  <si>
    <t xml:space="preserve"> Great technical workshop for bitcoin by </t>
  </si>
  <si>
    <t xml:space="preserve"> Sat Feb 03 2018 15:53:45</t>
  </si>
  <si>
    <t xml:space="preserve"> By 2020 or so, it will become clear that Bitcoins impact on the economy has been no greater than the fax machine's</t>
  </si>
  <si>
    <t xml:space="preserve"> Detroit</t>
  </si>
  <si>
    <t xml:space="preserve"> Sat Feb 03 2018 15:54:36</t>
  </si>
  <si>
    <t xml:space="preserve"> Guys Has any of you invested in bitcoin or in different cryptocurrencies I need help</t>
  </si>
  <si>
    <t xml:space="preserve"> v****c </t>
  </si>
  <si>
    <t xml:space="preserve"> game of thrones addict</t>
  </si>
  <si>
    <t xml:space="preserve"> Sat Feb 03 2018 15:54:38</t>
  </si>
  <si>
    <t xml:space="preserve"> With this tweet I hereby invent the term: Bitcoin is a COMMORENCY. $btc $eth $xmr $dash $ICX $xrp $mana $wabi</t>
  </si>
  <si>
    <t xml:space="preserve"> Sat Feb 03 2018 15:55:16</t>
  </si>
  <si>
    <t xml:space="preserve"> Where will bounce? Or find support? $trx </t>
  </si>
  <si>
    <t xml:space="preserve"> d****t </t>
  </si>
  <si>
    <t xml:space="preserve"> Sat Feb 03 2018 15:55:35</t>
  </si>
  <si>
    <t xml:space="preserve"> if you want a high return, bitcoin got you</t>
  </si>
  <si>
    <t xml:space="preserve"> Nairobi , Kenya</t>
  </si>
  <si>
    <t xml:space="preserve"> Sat Feb 03 2018 15:55:42</t>
  </si>
  <si>
    <t xml:space="preserve"> Biggest scammers I've ever seen lmao DELIVER AT LEAST ONE BATCH OF BITCOIN MINERS FIRST</t>
  </si>
  <si>
    <t xml:space="preserve"> Sat Feb 03 2018 15:55:55</t>
  </si>
  <si>
    <t xml:space="preserve"> Let us not forget.. Almost half of all Bitcoin is held by 1k people. Hold. Why? Fear early on driving prices.</t>
  </si>
  <si>
    <t xml:space="preserve"> d****d </t>
  </si>
  <si>
    <t xml:space="preserve"> Sat Feb 03 2018 15:56:25</t>
  </si>
  <si>
    <t xml:space="preserve"> Bitcoin is a big bubble. E-currency serves a useful purpose, but the money invested in Bitcoin is ludicrous!</t>
  </si>
  <si>
    <t xml:space="preserve"> Sat Feb 03 2018 15:57:05</t>
  </si>
  <si>
    <t xml:space="preserve"> He's just trying to sell his GoldCard bs. The dollar is collapsing, bitcoin has no value, only GOLD is real money bla bla bla</t>
  </si>
  <si>
    <t xml:space="preserve"> a****h </t>
  </si>
  <si>
    <t xml:space="preserve"> Kuala Lumpur City</t>
  </si>
  <si>
    <t xml:space="preserve"> Sat Feb 03 2018 15:57:15</t>
  </si>
  <si>
    <t xml:space="preserve"> Did you not see what happened to BITCOIN and the rest of the market.</t>
  </si>
  <si>
    <t xml:space="preserve"> How many bitcorns do you own? How many bitcorns do you fear? </t>
  </si>
  <si>
    <t xml:space="preserve"> Agrabah</t>
  </si>
  <si>
    <t xml:space="preserve"> Sat Feb 03 2018 15:57:30</t>
  </si>
  <si>
    <t xml:space="preserve"> There is alot of reasons that make bitcoin greater.</t>
  </si>
  <si>
    <t xml:space="preserve"> Sat Feb 03 2018 15:57:39</t>
  </si>
  <si>
    <t xml:space="preserve"> prof. who have you backed for the 6N? and have you bought any bitcoin?</t>
  </si>
  <si>
    <t xml:space="preserve"> Luxembourg/Brussels</t>
  </si>
  <si>
    <t xml:space="preserve"> Sat Feb 03 2018 15:57:47</t>
  </si>
  <si>
    <t xml:space="preserve"> Why do i have to use lighting network when i can use eth or bitcoin cash?</t>
  </si>
  <si>
    <t xml:space="preserve"> D****a </t>
  </si>
  <si>
    <t xml:space="preserve"> H Ni, Vit Nam</t>
  </si>
  <si>
    <t xml:space="preserve"> Sat Feb 03 2018 15:57:48</t>
  </si>
  <si>
    <t xml:space="preserve"> Id figure lmao look at bitcoin.... just wait till it goes low af and buy ..</t>
  </si>
  <si>
    <t xml:space="preserve"> A****9 </t>
  </si>
  <si>
    <t xml:space="preserve"> MA </t>
  </si>
  <si>
    <t xml:space="preserve"> Sat Feb 03 2018 15:58:13</t>
  </si>
  <si>
    <t xml:space="preserve"> This isn't bitcoin...money flowing to the safest asset, us equities. Dow 30000</t>
  </si>
  <si>
    <t xml:space="preserve"> Sat Feb 03 2018 15:58:43</t>
  </si>
  <si>
    <t xml:space="preserve"> He sounds rather butthurt about Bitcoin rising in the first place.</t>
  </si>
  <si>
    <t xml:space="preserve"> Missouri, USA</t>
  </si>
  <si>
    <t xml:space="preserve"> Sat Feb 03 2018 15:58:44</t>
  </si>
  <si>
    <t xml:space="preserve"> Didnt Bitcoin die this week?</t>
  </si>
  <si>
    <t xml:space="preserve"> B****R </t>
  </si>
  <si>
    <t xml:space="preserve"> Wisconsin</t>
  </si>
  <si>
    <t xml:space="preserve"> Sat Feb 03 2018 15:59:10</t>
  </si>
  <si>
    <t xml:space="preserve"> I knew it was a Ponzi when Bitcoin was neither a commodity or a service.</t>
  </si>
  <si>
    <t xml:space="preserve"> P****3 </t>
  </si>
  <si>
    <t xml:space="preserve"> Sat Feb 03 2018 15:59:19</t>
  </si>
  <si>
    <t xml:space="preserve"> People must stop attributing bitcoin to the millennial generation. Technology knows no age, logic knows no age.</t>
  </si>
  <si>
    <t xml:space="preserve"> Here, Now</t>
  </si>
  <si>
    <t xml:space="preserve"> Sat Feb 03 2018 15:59:38</t>
  </si>
  <si>
    <t xml:space="preserve"> Havent backed anyone in the rugby yet. Havent bought or sold Bitcoin.</t>
  </si>
  <si>
    <t xml:space="preserve"> L****W </t>
  </si>
  <si>
    <t xml:space="preserve"> Merthyr Tydfil. Lark Ascending</t>
  </si>
  <si>
    <t xml:space="preserve"> Sat Feb 03 2018 15:59:52</t>
  </si>
  <si>
    <t xml:space="preserve"> i'm getting you a nice box of Bitcoin shaped chocolate for valentines day</t>
  </si>
  <si>
    <t xml:space="preserve"> Z****g </t>
  </si>
  <si>
    <t xml:space="preserve"> Madison, WI</t>
  </si>
  <si>
    <t xml:space="preserve"> Sat Feb 03 2018 15:59:57</t>
  </si>
  <si>
    <t xml:space="preserve"> and would be greatest President ever. </t>
  </si>
  <si>
    <t xml:space="preserve"> Sat Feb 03 2018 15:59:58</t>
  </si>
  <si>
    <t xml:space="preserve"> Domestos is very cheap to buy.. If you dilute it down there's more money in it than </t>
  </si>
  <si>
    <t xml:space="preserve"> Asteroid of awfulness</t>
  </si>
  <si>
    <t xml:space="preserve"> Sat Feb 03 2018 16:00:00</t>
  </si>
  <si>
    <t xml:space="preserve"> , Bitcoin with unit price of $9,212.29, market cap of $155,163,171,632 (34.84%), and 24 hr vol. of $8,029,860,000 (31.54%)</t>
  </si>
  <si>
    <t xml:space="preserve"> Sat Feb 03 2018 16:00:01</t>
  </si>
  <si>
    <t xml:space="preserve"> Current BTC Dominance: 34.84% </t>
  </si>
  <si>
    <t xml:space="preserve"> Average Bitcoin market price is: USD 9,200.46, EUR 7,417.59</t>
  </si>
  <si>
    <t xml:space="preserve"> Sat Feb 03 2018 16:00:02</t>
  </si>
  <si>
    <t xml:space="preserve"> BTC-XZC AskRate: 0.00652686 $XZC FOLLOW for PROFIT</t>
  </si>
  <si>
    <t xml:space="preserve"> The average price of Bitcoin across all exchanges is 9,261.82 USD</t>
  </si>
  <si>
    <t xml:space="preserve"> Bitcoin:$9212.29 Ethereum:$957.606 Bitcoin Cash:$1255.13 Litecoin:$145.142 Ripple:$0.921423 IOTA:$1.93173</t>
  </si>
  <si>
    <t xml:space="preserve"> Sat Feb 03 2018 16:00:07</t>
  </si>
  <si>
    <t xml:space="preserve"> Feb 03, 2018 08:00AM Price: USD 8788.51 | EUR 7093.98 | JPY 942262.91</t>
  </si>
  <si>
    <t xml:space="preserve"> Just make sure you know what Bitcoin is.</t>
  </si>
  <si>
    <t xml:space="preserve"> Sat Feb 03 2018 16:00:13</t>
  </si>
  <si>
    <t xml:space="preserve"> Top 6 BTC/USD Exchange Orderbooks: Resistance til $9500:$20.6M; Support til $8900:$27.0M $BTC $BTCUSD </t>
  </si>
  <si>
    <t xml:space="preserve"> Sat Feb 03 2018 16:00:14</t>
  </si>
  <si>
    <t xml:space="preserve"> Current price of is $9208.11</t>
  </si>
  <si>
    <t xml:space="preserve"> Sat Feb 03 2018 16:00:21</t>
  </si>
  <si>
    <t xml:space="preserve"> Good morning, Friends! </t>
  </si>
  <si>
    <t xml:space="preserve"> 2****m </t>
  </si>
  <si>
    <t xml:space="preserve"> Sat Feb 03 2018 16:00:31</t>
  </si>
  <si>
    <t xml:space="preserve"> BTC hourly update $9217.72 | -0.0182% $BTC </t>
  </si>
  <si>
    <t xml:space="preserve"> Sat Feb 03 2018 16:00:34</t>
  </si>
  <si>
    <t xml:space="preserve"> Cant decide if everything happening with bitcoin is funny or sad. But Im leaning towards funny.</t>
  </si>
  <si>
    <t xml:space="preserve"> i****b </t>
  </si>
  <si>
    <t xml:space="preserve"> Sat Feb 03 2018 16:00:50</t>
  </si>
  <si>
    <t xml:space="preserve"> Current price of Bitcoin is $9208.11 Like if thats good for you and retweet if thats not good for you </t>
  </si>
  <si>
    <t xml:space="preserve"> Sat Feb 03 2018 16:00:51</t>
  </si>
  <si>
    <t xml:space="preserve"> In Cryptocurrencies - Bitcoin has more market value than `Netflix and 21st Century Fox` COMBINED!</t>
  </si>
  <si>
    <t xml:space="preserve"> Sat Feb 03 2018 16:01:09</t>
  </si>
  <si>
    <t xml:space="preserve"> Rockefellers vow to destroy Bitcoin and Alts! The govt works for us, not vice versa. It has all gotten so misconstrued.</t>
  </si>
  <si>
    <t xml:space="preserve"> K****9 </t>
  </si>
  <si>
    <t xml:space="preserve"> Sat Feb 03 2018 16:01:14</t>
  </si>
  <si>
    <t xml:space="preserve"> Current price of Bitcoin is $9208.11 </t>
  </si>
  <si>
    <t xml:space="preserve"> Sat Feb 03 2018 16:01:15</t>
  </si>
  <si>
    <t xml:space="preserve"> It seems like the Bitcoin Bubble has crashed even before we all expected.</t>
  </si>
  <si>
    <t xml:space="preserve"> Maastricht, The Netherlands</t>
  </si>
  <si>
    <t xml:space="preserve"> Sat Feb 03 2018 16:01:32</t>
  </si>
  <si>
    <t xml:space="preserve"> Im the guy who sold my bitcoin at $19,000.</t>
  </si>
  <si>
    <t xml:space="preserve"> Sat Feb 03 2018 16:01:33</t>
  </si>
  <si>
    <t xml:space="preserve"> I still dont know what the hell bitcoin is</t>
  </si>
  <si>
    <t xml:space="preserve"> In bed</t>
  </si>
  <si>
    <t xml:space="preserve"> Sat Feb 03 2018 16:01:37</t>
  </si>
  <si>
    <t xml:space="preserve"> Current price of Bitcoin is $9208.11 via Chain</t>
  </si>
  <si>
    <t xml:space="preserve"> id recommend ireland and bitcoin at around 8k with a 40k target</t>
  </si>
  <si>
    <t xml:space="preserve"> Sat Feb 03 2018 16:01:43</t>
  </si>
  <si>
    <t xml:space="preserve"> Blockchain, Bitcoin, cryptocurrency and all the things we think we know, but are probably faking </t>
  </si>
  <si>
    <t xml:space="preserve"> Sat Feb 03 2018 16:01:45</t>
  </si>
  <si>
    <t xml:space="preserve"> Please buy more bitcoin.</t>
  </si>
  <si>
    <t xml:space="preserve"> Pennsylvania</t>
  </si>
  <si>
    <t xml:space="preserve"> f****o </t>
  </si>
  <si>
    <t xml:space="preserve"> Sat Feb 03 2018 16:02:41</t>
  </si>
  <si>
    <t xml:space="preserve"> Just like this dump is a much anticipated market correction. Funny how that works both ways...</t>
  </si>
  <si>
    <t xml:space="preserve"> n****8 </t>
  </si>
  <si>
    <t xml:space="preserve"> Sat Feb 03 2018 16:02:46</t>
  </si>
  <si>
    <t xml:space="preserve"> will write yelp reviews for bitcoin</t>
  </si>
  <si>
    <t xml:space="preserve"> Pasadena, CA</t>
  </si>
  <si>
    <t xml:space="preserve"> Sat Feb 03 2018 16:02:47</t>
  </si>
  <si>
    <t xml:space="preserve"> Bitcoin is another ponzi scheme</t>
  </si>
  <si>
    <t xml:space="preserve"> Sat Feb 03 2018 16:03:00</t>
  </si>
  <si>
    <t xml:space="preserve"> I'm waiting for the bitcoin dip and going all in to Eos</t>
  </si>
  <si>
    <t xml:space="preserve"> Sat Feb 03 2018 16:03:10</t>
  </si>
  <si>
    <t xml:space="preserve"> # THIS IS A FRAUDSTERS GAME TO INTRODUCE THE BITCOIN.</t>
  </si>
  <si>
    <t xml:space="preserve"> m****7 </t>
  </si>
  <si>
    <t xml:space="preserve"> Sat Feb 03 2018 16:03:12</t>
  </si>
  <si>
    <t xml:space="preserve"> Current price of Bitcoin is $9208.11.</t>
  </si>
  <si>
    <t xml:space="preserve"> Sat Feb 03 2018 16:03:16</t>
  </si>
  <si>
    <t xml:space="preserve"> Current price of Bitcoin is $9208.11</t>
  </si>
  <si>
    <t xml:space="preserve"> Sat Feb 03 2018 16:04:05</t>
  </si>
  <si>
    <t xml:space="preserve"> Bitcoin 9208.11 $</t>
  </si>
  <si>
    <t xml:space="preserve"> a****k </t>
  </si>
  <si>
    <t xml:space="preserve"> Sat Feb 03 2018 16:04:16</t>
  </si>
  <si>
    <t xml:space="preserve"> For only 3 bitcoin you can own your very own moon condo! 1/6th the gravity, 1/6th the price!</t>
  </si>
  <si>
    <t xml:space="preserve"> Silver Lake, Los Angeles</t>
  </si>
  <si>
    <t xml:space="preserve"> Sat Feb 03 2018 16:04:18</t>
  </si>
  <si>
    <t xml:space="preserve"> New word for economics: Cryptofreude, n. The pleasure derived from watching Bitcoin deflate. (Invented by Krugman, I think).</t>
  </si>
  <si>
    <t xml:space="preserve"> R****s </t>
  </si>
  <si>
    <t xml:space="preserve"> Durham, UK.</t>
  </si>
  <si>
    <t xml:space="preserve"> Sat Feb 03 2018 16:04:24</t>
  </si>
  <si>
    <t xml:space="preserve"> Well 40% we're completely wrong and 7% were right. poll</t>
  </si>
  <si>
    <t xml:space="preserve"> England, United Kingdom</t>
  </si>
  <si>
    <t xml:space="preserve"> Sat Feb 03 2018 16:04:28</t>
  </si>
  <si>
    <t xml:space="preserve"> Yo memo so inflated that even bitcoin shorted it. </t>
  </si>
  <si>
    <t xml:space="preserve"> Sat Feb 03 2018 16:04:47</t>
  </si>
  <si>
    <t xml:space="preserve"> I really wish CNBC would record a segment on how to scalp bitcoin using 5-15m sticks right now.</t>
  </si>
  <si>
    <t xml:space="preserve"> Sat Feb 03 2018 16:05:13</t>
  </si>
  <si>
    <t xml:space="preserve"> Buying Bitcoin to lift retirement funds is not very good advice. (lift)</t>
  </si>
  <si>
    <t xml:space="preserve"> t****5 </t>
  </si>
  <si>
    <t xml:space="preserve"> Arizona</t>
  </si>
  <si>
    <t xml:space="preserve"> Sat Feb 03 2018 16:05:17</t>
  </si>
  <si>
    <t xml:space="preserve"> yall didnt even know what a portfolio was before bitcoin lol</t>
  </si>
  <si>
    <t xml:space="preserve"> L.A.</t>
  </si>
  <si>
    <t xml:space="preserve"> Sat Feb 03 2018 16:05:27</t>
  </si>
  <si>
    <t xml:space="preserve"> Does it matter ? the thing is useless. .</t>
  </si>
  <si>
    <t xml:space="preserve"> f****l </t>
  </si>
  <si>
    <t xml:space="preserve"> Sat Feb 03 2018 16:05:55</t>
  </si>
  <si>
    <t xml:space="preserve"> If Bitcoin skyrocketed that fast, then surely the value of it can plummet just as quickly if not faster.</t>
  </si>
  <si>
    <t xml:space="preserve"> Sat Feb 03 2018 16:06:14</t>
  </si>
  <si>
    <t xml:space="preserve"> Bitcoin mining. Couldnt happen to a nicer blog </t>
  </si>
  <si>
    <t xml:space="preserve"> Ada, OK</t>
  </si>
  <si>
    <t xml:space="preserve"> Sat Feb 03 2018 16:06:19</t>
  </si>
  <si>
    <t xml:space="preserve"> ideally we want bitcoin to go up slowly and give enough time for us to make bank off alts</t>
  </si>
  <si>
    <t xml:space="preserve"> Y****t </t>
  </si>
  <si>
    <t xml:space="preserve"> Sat Feb 03 2018 16:06:25</t>
  </si>
  <si>
    <t xml:space="preserve"> Newsflash: Bitcoin Price Gains Boost Nvidia GPU Sales</t>
  </si>
  <si>
    <t xml:space="preserve"> Sat Feb 03 2018 16:06:26</t>
  </si>
  <si>
    <t xml:space="preserve"> Ummm... please dont use Goku for Siacoin, hes reserved for Bitcoin, mmmkay?</t>
  </si>
  <si>
    <t xml:space="preserve"> S****r </t>
  </si>
  <si>
    <t xml:space="preserve"> Lloydminster, Alberta</t>
  </si>
  <si>
    <t xml:space="preserve"> Sat Feb 03 2018 16:06:40</t>
  </si>
  <si>
    <t xml:space="preserve"> true bitcoin ruined it</t>
  </si>
  <si>
    <t xml:space="preserve"> Tokyo-to, Japan</t>
  </si>
  <si>
    <t xml:space="preserve"> Sat Feb 03 2018 16:06:43</t>
  </si>
  <si>
    <t xml:space="preserve"> Finance has been an industry void of innovation for a long time. Time to let us into the game. </t>
  </si>
  <si>
    <t xml:space="preserve"> y****n </t>
  </si>
  <si>
    <t xml:space="preserve"> Sat Feb 03 2018 16:06:49</t>
  </si>
  <si>
    <t xml:space="preserve"> What do people think about bitcoin these days? Will it make a comeback?!</t>
  </si>
  <si>
    <t xml:space="preserve"> I****5 </t>
  </si>
  <si>
    <t xml:space="preserve"> A****8 </t>
  </si>
  <si>
    <t xml:space="preserve"> Sat Feb 03 2018 16:07:06</t>
  </si>
  <si>
    <t xml:space="preserve"> Bitcoin is owned by Blockstream. Blockstream is a for profit organization. BTC is not truly decentralize anymore.</t>
  </si>
  <si>
    <t xml:space="preserve"> Sat Feb 03 2018 16:07:09</t>
  </si>
  <si>
    <t xml:space="preserve"> I wish Bitcoin luck if it turns into are main currency over the weak dollar!!!</t>
  </si>
  <si>
    <t xml:space="preserve"> S****1 </t>
  </si>
  <si>
    <t xml:space="preserve"> Port St Lucie, FL</t>
  </si>
  <si>
    <t xml:space="preserve"> Sat Feb 03 2018 16:07:11</t>
  </si>
  <si>
    <t xml:space="preserve"> Might want to do more tx's per second than doge before you start dreaming of 7 million.</t>
  </si>
  <si>
    <t xml:space="preserve"> Sat Feb 03 2018 16:07:26</t>
  </si>
  <si>
    <t xml:space="preserve"> Buy now currently $0.00013 grab &amp; 20xs faster than !!!</t>
  </si>
  <si>
    <t xml:space="preserve"> WORLD WIDE </t>
  </si>
  <si>
    <t xml:space="preserve"> Sat Feb 03 2018 16:07:45</t>
  </si>
  <si>
    <t xml:space="preserve"> Bitcoin price slowly going up! And Im all in </t>
  </si>
  <si>
    <t xml:space="preserve"> Sat Feb 03 2018 16:07:56</t>
  </si>
  <si>
    <t xml:space="preserve"> Why would you use 1 week chart for bitcoin? It's way to volatile.</t>
  </si>
  <si>
    <t xml:space="preserve"> Sverige</t>
  </si>
  <si>
    <t xml:space="preserve"> Sat Feb 03 2018 16:08:13</t>
  </si>
  <si>
    <t xml:space="preserve"> the bulls be fightin', but the bears are takin' it back. time for some sunshine. TTYL $btc</t>
  </si>
  <si>
    <t xml:space="preserve"> Sat Feb 03 2018 16:09:02</t>
  </si>
  <si>
    <t xml:space="preserve"> 2619 05:51:02 what is the result of forty years underground!</t>
  </si>
  <si>
    <t xml:space="preserve"> Sat Feb 03 2018 16:09:09</t>
  </si>
  <si>
    <t xml:space="preserve"> Wow very fancy! In we do not need these. We have 's Random Number Generator. Way more robust!</t>
  </si>
  <si>
    <t xml:space="preserve"> j****y </t>
  </si>
  <si>
    <t xml:space="preserve"> Sat Feb 03 2018 16:09:28</t>
  </si>
  <si>
    <t xml:space="preserve"> I ll forget about bitcoin and generally speaking cryptos...1k to 20k back to 10k ...now 9k Never know when to enjoy earnings</t>
  </si>
  <si>
    <t xml:space="preserve"> Sat Feb 03 2018 16:09:35</t>
  </si>
  <si>
    <t xml:space="preserve"> SUMMER SALE NOWON Selling TCC account For sale:10bit If you are interested Please contact or DM me </t>
  </si>
  <si>
    <t xml:space="preserve"> Sat Feb 03 2018 16:09:38</t>
  </si>
  <si>
    <t xml:space="preserve"> Is this a parody account? Bcash was literally created out of greed, and anger towards bitcoin lol.</t>
  </si>
  <si>
    <t xml:space="preserve"> c****_ </t>
  </si>
  <si>
    <t xml:space="preserve"> Sat Feb 03 2018 16:09:39</t>
  </si>
  <si>
    <t xml:space="preserve"> Join with a project that will go to Moon. Invest now! Find out details </t>
  </si>
  <si>
    <t xml:space="preserve"> k****4 </t>
  </si>
  <si>
    <t xml:space="preserve"> 0xB29CCacC80688B66CC6051Acbb5B</t>
  </si>
  <si>
    <t xml:space="preserve"> Sat Feb 03 2018 16:09:44</t>
  </si>
  <si>
    <t xml:space="preserve"> Now that all the hype ya died down I gotta say it. Bitcoin is the veganism of the financial world.</t>
  </si>
  <si>
    <t xml:space="preserve"> T****5 </t>
  </si>
  <si>
    <t xml:space="preserve"> Edgewood, New Mexico</t>
  </si>
  <si>
    <t xml:space="preserve"> Sat Feb 03 2018 16:09:49</t>
  </si>
  <si>
    <t xml:space="preserve"> And just a reminder, Dogecoin was started as a literal joke.</t>
  </si>
  <si>
    <t xml:space="preserve"> Sat Feb 03 2018 16:10:04</t>
  </si>
  <si>
    <t xml:space="preserve"> The last time i checked, is climbing up..</t>
  </si>
  <si>
    <t xml:space="preserve"> Singapore based Pinoy</t>
  </si>
  <si>
    <t xml:space="preserve"> Bitcoin BTC Current Price: $9212.29 1 Hour: -1.57 % | 24 Hours: 4.12 % | 7 Days: -18.67 % </t>
  </si>
  <si>
    <t xml:space="preserve"> Sat Feb 03 2018 16:10:16</t>
  </si>
  <si>
    <t xml:space="preserve"> (11281 follows) RT : Thanks to we have another great chart showing the adoption of Bitcoin in i...</t>
  </si>
  <si>
    <t xml:space="preserve"> Sat Feb 03 2018 16:10:24</t>
  </si>
  <si>
    <t xml:space="preserve"> Now that all they hype has died down, I gotta say it. Bitcoin is the veganism of the financial world.</t>
  </si>
  <si>
    <t xml:space="preserve"> Sat Feb 03 2018 16:10:32</t>
  </si>
  <si>
    <t xml:space="preserve"> Invested in bitcoin and made 3 cents over night </t>
  </si>
  <si>
    <t xml:space="preserve"> R****e </t>
  </si>
  <si>
    <t xml:space="preserve"> Sat Feb 03 2018 16:10:46</t>
  </si>
  <si>
    <t xml:space="preserve"> And the people who bought Bitcoin for like $30 back in the day are STILL eating. Just the newcomers are taking a huuuuuge L rn</t>
  </si>
  <si>
    <t xml:space="preserve"> Since the stock market and bitcoin just crashed... wish I had more money because it is buying season.</t>
  </si>
  <si>
    <t xml:space="preserve"> Sat Feb 03 2018 16:10:55</t>
  </si>
  <si>
    <t xml:space="preserve"> Bitcoin ponele!</t>
  </si>
  <si>
    <t xml:space="preserve"> D****y </t>
  </si>
  <si>
    <t xml:space="preserve"> Vedia - Argentina</t>
  </si>
  <si>
    <t xml:space="preserve"> Sat Feb 03 2018 16:11:03</t>
  </si>
  <si>
    <t xml:space="preserve"> Latest Bitcoin Price: $9141.2 USD for 1 BTC </t>
  </si>
  <si>
    <t xml:space="preserve"> Sat Feb 03 2018 16:11:19</t>
  </si>
  <si>
    <t xml:space="preserve"> I wish youtube would stop trying to advertise me bloody bitcoin, I don't care and wish it never got as big as it did.</t>
  </si>
  <si>
    <t xml:space="preserve"> K****e </t>
  </si>
  <si>
    <t xml:space="preserve"> Sat Feb 03 2018 16:11:25</t>
  </si>
  <si>
    <t xml:space="preserve"> Bitcoins future implications on the World are not stranger than you imagine, theyre stranger than you can imagine.</t>
  </si>
  <si>
    <t xml:space="preserve"> Sat Feb 03 2018 16:11:51</t>
  </si>
  <si>
    <t xml:space="preserve"> ETH price will always go up. POS once used. Every ETH use will be gone forever. Bitcoin will always be 21million forever. ETH no.</t>
  </si>
  <si>
    <t xml:space="preserve"> Sat Feb 03 2018 16:11:59</t>
  </si>
  <si>
    <t xml:space="preserve"> id give you a wrestling shirt to pay off 0.00183037% of your bitcoin debt but i dont think you deserve it</t>
  </si>
  <si>
    <t xml:space="preserve"> o****n </t>
  </si>
  <si>
    <t xml:space="preserve"> wwf</t>
  </si>
  <si>
    <t xml:space="preserve"> Sat Feb 03 2018 16:12:11</t>
  </si>
  <si>
    <t xml:space="preserve"> Bitcoin ban expands across credit cards - Taipei Times</t>
  </si>
  <si>
    <t xml:space="preserve"> Sat Feb 03 2018 16:12:51</t>
  </si>
  <si>
    <t xml:space="preserve"> Ohh jeez, just saw an ad for bitcoin ira. I don't even know what to say....</t>
  </si>
  <si>
    <t xml:space="preserve"> Sat Feb 03 2018 16:12:52</t>
  </si>
  <si>
    <t xml:space="preserve"> BUY LOW... SELL HIGH!! Bitcoin $25-30K Still in Play 2018</t>
  </si>
  <si>
    <t xml:space="preserve"> Arizona, USA</t>
  </si>
  <si>
    <t xml:space="preserve"> Sat Feb 03 2018 16:13:26</t>
  </si>
  <si>
    <t xml:space="preserve"> Because I didnt click on your page for any bitcoin related reason </t>
  </si>
  <si>
    <t xml:space="preserve"> Sat Feb 03 2018 16:13:47</t>
  </si>
  <si>
    <t xml:space="preserve"> Bitcoin, we got a problem</t>
  </si>
  <si>
    <t xml:space="preserve"> Sat Feb 03 2018 16:14:00</t>
  </si>
  <si>
    <t xml:space="preserve"> CryptoCompare Bitcoin price changed -1.13% to $9137.18 </t>
  </si>
  <si>
    <t xml:space="preserve"> Sat Feb 03 2018 16:14:05</t>
  </si>
  <si>
    <t xml:space="preserve"> is today the day i finally read an explainer about bitcoin? stay tuned</t>
  </si>
  <si>
    <t xml:space="preserve"> Sat Feb 03 2018 16:14:10</t>
  </si>
  <si>
    <t xml:space="preserve"> Dragonmint Bitcoin miners or this other nonsense miner?</t>
  </si>
  <si>
    <t xml:space="preserve"> Sat Feb 03 2018 16:14:14</t>
  </si>
  <si>
    <t xml:space="preserve"> can I pay in bitcoin?</t>
  </si>
  <si>
    <t xml:space="preserve"> Sat Feb 03 2018 16:14:19</t>
  </si>
  <si>
    <t xml:space="preserve"> Yo memo so stupid, it bought Bitcoin. </t>
  </si>
  <si>
    <t xml:space="preserve"> Nebraska, USA</t>
  </si>
  <si>
    <t xml:space="preserve"> Sat Feb 03 2018 16:14:25</t>
  </si>
  <si>
    <t xml:space="preserve"> Where's the buy bitcoin guy</t>
  </si>
  <si>
    <t xml:space="preserve"> Sat Feb 03 2018 16:14:28</t>
  </si>
  <si>
    <t xml:space="preserve"> I don't know what bitcoin actually is, please nobody explain it to me ever, I'm dead serious.</t>
  </si>
  <si>
    <t xml:space="preserve"> I****e </t>
  </si>
  <si>
    <t xml:space="preserve"> Sat Feb 03 2018 16:14:33</t>
  </si>
  <si>
    <t xml:space="preserve"> The Current Bitcoin Price is 0.00010975 BTC for $1 USD </t>
  </si>
  <si>
    <t xml:space="preserve"> Sat Feb 03 2018 16:14:44</t>
  </si>
  <si>
    <t xml:space="preserve"> what the hell is bitcoin</t>
  </si>
  <si>
    <t xml:space="preserve"> s****0 </t>
  </si>
  <si>
    <t xml:space="preserve"> Cambridge, England</t>
  </si>
  <si>
    <t xml:space="preserve"> Looks like we may see $btc 8k again </t>
  </si>
  <si>
    <t xml:space="preserve"> NY</t>
  </si>
  <si>
    <t xml:space="preserve"> Sat Feb 03 2018 16:15:01</t>
  </si>
  <si>
    <t xml:space="preserve"> The current price of Bitcoin is $9177.25. The current price of BCash is $1243.62, or 0.134341 BTC</t>
  </si>
  <si>
    <t xml:space="preserve"> Sat Feb 03 2018 16:15:07</t>
  </si>
  <si>
    <t xml:space="preserve"> Bitcoin is more than digital money and a payment network. It's an entirely new innovation</t>
  </si>
  <si>
    <t xml:space="preserve"> Sat Feb 03 2018 16:15:14</t>
  </si>
  <si>
    <t xml:space="preserve"> A basic instinct: attack what you don't understand. They will be surprised to know Bitcoin may save their crumbling business.</t>
  </si>
  <si>
    <t xml:space="preserve"> j****m </t>
  </si>
  <si>
    <t xml:space="preserve"> Comunidad de Madrid, Espaa</t>
  </si>
  <si>
    <t xml:space="preserve"> Sat Feb 03 2018 16:15:20</t>
  </si>
  <si>
    <t xml:space="preserve"> im so rich i bought the moon - bitcoin hodler that got in at 19k</t>
  </si>
  <si>
    <t xml:space="preserve"> q****z </t>
  </si>
  <si>
    <t xml:space="preserve"> pyongyang</t>
  </si>
  <si>
    <t xml:space="preserve"> Sat Feb 03 2018 16:15:22</t>
  </si>
  <si>
    <t xml:space="preserve"> That chart looked a lot like the NASDAQ circa 2000</t>
  </si>
  <si>
    <t xml:space="preserve"> s****2 </t>
  </si>
  <si>
    <t xml:space="preserve"> Fargo, ND</t>
  </si>
  <si>
    <t xml:space="preserve"> Sat Feb 03 2018 16:15:46</t>
  </si>
  <si>
    <t xml:space="preserve"> Bitcoin isnt the bubble, its the pin.</t>
  </si>
  <si>
    <t xml:space="preserve"> r****l </t>
  </si>
  <si>
    <t xml:space="preserve"> Blumenau, Brasil</t>
  </si>
  <si>
    <t xml:space="preserve"> Sat Feb 03 2018 16:16:25</t>
  </si>
  <si>
    <t xml:space="preserve"> Bitcoin will go up.</t>
  </si>
  <si>
    <t xml:space="preserve"> K****1 </t>
  </si>
  <si>
    <t xml:space="preserve"> Belgi</t>
  </si>
  <si>
    <t xml:space="preserve"> Sat Feb 03 2018 16:16:30</t>
  </si>
  <si>
    <t xml:space="preserve"> Tight game to start but we run into half 7-3 vs crosstown rivals </t>
  </si>
  <si>
    <t xml:space="preserve"> Sat Feb 03 2018 16:16:32</t>
  </si>
  <si>
    <t xml:space="preserve"> Bitcoin isnt the bubble, its the pin. - </t>
  </si>
  <si>
    <t xml:space="preserve"> Sat Feb 03 2018 16:16:44</t>
  </si>
  <si>
    <t xml:space="preserve"> At this point every good comment about should be followed up with knock on wood IMO</t>
  </si>
  <si>
    <t xml:space="preserve"> Sat Feb 03 2018 16:17:04</t>
  </si>
  <si>
    <t xml:space="preserve"> Bitcoin Cash BCH Current Price: $1243.62 1 Hour: -2.03 % | 24 Hours: 4.37 % | 7 Days: -23.41 % cash</t>
  </si>
  <si>
    <t xml:space="preserve"> Sat Feb 03 2018 16:18:07</t>
  </si>
  <si>
    <t xml:space="preserve"> I think Bitcoin is following the physics. When an object goes up In the air fall down. </t>
  </si>
  <si>
    <t xml:space="preserve"> Eluru</t>
  </si>
  <si>
    <t xml:space="preserve"> Sat Feb 03 2018 16:18:09</t>
  </si>
  <si>
    <t xml:space="preserve"> My hunch too. Remember ??? 'Bitcoin might be weaponized'.</t>
  </si>
  <si>
    <t xml:space="preserve"> Chennai, Tamil Nadu</t>
  </si>
  <si>
    <t xml:space="preserve"> Sat Feb 03 2018 16:18:15</t>
  </si>
  <si>
    <t xml:space="preserve"> morning bitcoin investor :</t>
  </si>
  <si>
    <t xml:space="preserve"> h****w </t>
  </si>
  <si>
    <t xml:space="preserve"> youre mom gay</t>
  </si>
  <si>
    <t xml:space="preserve"> Sat Feb 03 2018 16:18:18</t>
  </si>
  <si>
    <t xml:space="preserve"> DYING FOR SATOSHI'S BITCOIN PROFITS</t>
  </si>
  <si>
    <t xml:space="preserve"> The East Bay</t>
  </si>
  <si>
    <t xml:space="preserve"> Sat Feb 03 2018 16:19:19</t>
  </si>
  <si>
    <t xml:space="preserve"> Invest in Bitcoin then</t>
  </si>
  <si>
    <t xml:space="preserve"> Drexel Hill, PA</t>
  </si>
  <si>
    <t xml:space="preserve"> Sat Feb 03 2018 16:19:49</t>
  </si>
  <si>
    <t xml:space="preserve"> $ada could reasonably end the day settled at $0.53 per coin. </t>
  </si>
  <si>
    <t xml:space="preserve"> T****z </t>
  </si>
  <si>
    <t xml:space="preserve"> Sat Feb 03 2018 16:20:03</t>
  </si>
  <si>
    <t xml:space="preserve"> Y u think that? </t>
  </si>
  <si>
    <t xml:space="preserve"> y****2 </t>
  </si>
  <si>
    <t xml:space="preserve"> Sat Feb 03 2018 16:20:21</t>
  </si>
  <si>
    <t xml:space="preserve"> Slept for 15 hrs.. who am I, what year is this and what is a bitcoin</t>
  </si>
  <si>
    <t xml:space="preserve"> Phoenix, AZ</t>
  </si>
  <si>
    <t xml:space="preserve"> Sat Feb 03 2018 16:20:41</t>
  </si>
  <si>
    <t xml:space="preserve"> Bitcoin looks bubblier than a bubble bath.what's the deal!</t>
  </si>
  <si>
    <t xml:space="preserve"> v****a </t>
  </si>
  <si>
    <t xml:space="preserve"> Sat Feb 03 2018 16:21:13</t>
  </si>
  <si>
    <t xml:space="preserve"> Woke up today not covered in blood. Strange. $btc $eth</t>
  </si>
  <si>
    <t xml:space="preserve"> Trade daily bitcoin:</t>
  </si>
  <si>
    <t xml:space="preserve"> Sat Feb 03 2018 16:21:41</t>
  </si>
  <si>
    <t xml:space="preserve"> buy the dips in an uptrend </t>
  </si>
  <si>
    <t xml:space="preserve"> Sat Feb 03 2018 16:21:52</t>
  </si>
  <si>
    <t xml:space="preserve"> Youre in the game since... </t>
  </si>
  <si>
    <t xml:space="preserve"> V****e </t>
  </si>
  <si>
    <t xml:space="preserve"> Sat Feb 03 2018 16:21:57</t>
  </si>
  <si>
    <t xml:space="preserve"> can never apply to or USD because both have unlimited money/token supply, unlike </t>
  </si>
  <si>
    <t xml:space="preserve"> D****6 </t>
  </si>
  <si>
    <t xml:space="preserve"> Leaving Kazakhstan</t>
  </si>
  <si>
    <t xml:space="preserve"> Sat Feb 03 2018 16:22:09</t>
  </si>
  <si>
    <t xml:space="preserve"> has edged above $USD 9,100 in what *might* be a recovery. Time will tell. $BTC </t>
  </si>
  <si>
    <t xml:space="preserve"> Sat Feb 03 2018 16:22:25</t>
  </si>
  <si>
    <t xml:space="preserve"> Wtf is a bitcoin</t>
  </si>
  <si>
    <t xml:space="preserve"> Sat Feb 03 2018 16:22:32</t>
  </si>
  <si>
    <t xml:space="preserve"> Get ready to apologise to , you non-believing heretics. </t>
  </si>
  <si>
    <t xml:space="preserve"> s****o </t>
  </si>
  <si>
    <t xml:space="preserve"> Sat Feb 03 2018 16:22:40</t>
  </si>
  <si>
    <t xml:space="preserve"> Dont let the market ruin your weekend is going to be just fine - </t>
  </si>
  <si>
    <t xml:space="preserve"> P****W </t>
  </si>
  <si>
    <t xml:space="preserve"> Sat Feb 03 2018 16:22:52</t>
  </si>
  <si>
    <t xml:space="preserve"> Bitcoin Rises 7.5% to $9,211; Litecoin Up 15%</t>
  </si>
  <si>
    <t xml:space="preserve"> Sat Feb 03 2018 16:22:55</t>
  </si>
  <si>
    <t xml:space="preserve"> When did u stop pumping bitcoin</t>
  </si>
  <si>
    <t xml:space="preserve"> Sat Feb 03 2018 16:23:02</t>
  </si>
  <si>
    <t xml:space="preserve"> Ask yourself... did bitcoin hit 8k last night? Was that the predicted floor?</t>
  </si>
  <si>
    <t xml:space="preserve"> Sat Feb 03 2018 16:23:07</t>
  </si>
  <si>
    <t xml:space="preserve"> Tried venmo requesting 20+ people with the caption help or memos burrito hoping to make a few shameless big ones. Stick with Bitcoin.</t>
  </si>
  <si>
    <t xml:space="preserve"> K****b </t>
  </si>
  <si>
    <t xml:space="preserve"> Sat Feb 03 2018 16:23:50</t>
  </si>
  <si>
    <t xml:space="preserve"> I'm gonna get my bitcoin I'm gonna get my bitcoin</t>
  </si>
  <si>
    <t xml:space="preserve"> Sat Feb 03 2018 16:23:51</t>
  </si>
  <si>
    <t xml:space="preserve"> Expect,,Bitcoin fall again below $9,000</t>
  </si>
  <si>
    <t xml:space="preserve"> South Florida </t>
  </si>
  <si>
    <t xml:space="preserve"> Sat Feb 03 2018 16:23:57</t>
  </si>
  <si>
    <t xml:space="preserve"> Yeh go ahead buy bitcoin And watch your face get ripped off - silly fish</t>
  </si>
  <si>
    <t xml:space="preserve"> n****7 </t>
  </si>
  <si>
    <t xml:space="preserve"> The Moon</t>
  </si>
  <si>
    <t xml:space="preserve"> Sat Feb 03 2018 16:24:08</t>
  </si>
  <si>
    <t xml:space="preserve"> If you are a beginner crypto investor, you should pay attention to this project! , </t>
  </si>
  <si>
    <t xml:space="preserve"> s****i </t>
  </si>
  <si>
    <t xml:space="preserve"> Sat Feb 03 2018 16:24:13</t>
  </si>
  <si>
    <t xml:space="preserve"> 1 Bitcoin = 1608,54 </t>
  </si>
  <si>
    <t xml:space="preserve"> Berlin</t>
  </si>
  <si>
    <t xml:space="preserve"> Sat Feb 03 2018 16:24:16</t>
  </si>
  <si>
    <t xml:space="preserve"> To ripple or not ( under a buck)? That is the question... </t>
  </si>
  <si>
    <t xml:space="preserve"> Sat Feb 03 2018 16:24:21</t>
  </si>
  <si>
    <t xml:space="preserve"> Bitcoin is not meant to ever be sold. The second feeling is just an indicator to add to position.</t>
  </si>
  <si>
    <t xml:space="preserve"> Miami, FL, USA</t>
  </si>
  <si>
    <t xml:space="preserve"> Sat Feb 03 2018 16:24:33</t>
  </si>
  <si>
    <t xml:space="preserve"> The average person should pick up bitcoin, to experience the future of money </t>
  </si>
  <si>
    <t xml:space="preserve"> Sat Feb 03 2018 16:24:44</t>
  </si>
  <si>
    <t xml:space="preserve"> Bitcoin isnt the bubble, its the pin!</t>
  </si>
  <si>
    <t xml:space="preserve"> Basel, Schweiz</t>
  </si>
  <si>
    <t xml:space="preserve"> Sat Feb 03 2018 16:24:52</t>
  </si>
  <si>
    <t xml:space="preserve"> there is no monitor button on my bitcoin app why is this? As far as i can see the app is up to date</t>
  </si>
  <si>
    <t xml:space="preserve"> Manchester, England</t>
  </si>
  <si>
    <t xml:space="preserve"> Sat Feb 03 2018 16:24:55</t>
  </si>
  <si>
    <t xml:space="preserve"> Bitcoin Cash</t>
  </si>
  <si>
    <t xml:space="preserve"> Sat Feb 03 2018 16:25:05</t>
  </si>
  <si>
    <t xml:space="preserve"> bitcoin make we life vivid</t>
  </si>
  <si>
    <t xml:space="preserve"> Sat Feb 03 2018 16:25:16</t>
  </si>
  <si>
    <t xml:space="preserve"> When are we going to build a Wakanda? </t>
  </si>
  <si>
    <t xml:space="preserve"> r****k </t>
  </si>
  <si>
    <t xml:space="preserve"> Sat Feb 03 2018 16:25:22</t>
  </si>
  <si>
    <t xml:space="preserve"> Interest rates and stocks will rise in stutter-step this year. Bitcoin? Not so much.</t>
  </si>
  <si>
    <t xml:space="preserve"> NYC</t>
  </si>
  <si>
    <t xml:space="preserve"> Sat Feb 03 2018 16:25:30</t>
  </si>
  <si>
    <t xml:space="preserve"> That still doesnt point to massive impact of bitcoin value tanking.</t>
  </si>
  <si>
    <t xml:space="preserve"> Sat Feb 03 2018 16:25:31</t>
  </si>
  <si>
    <t xml:space="preserve"> $BTCUSD Will you sell at $10000 or Not $BTC $LTC $LTCUSD</t>
  </si>
  <si>
    <t xml:space="preserve"> b****i </t>
  </si>
  <si>
    <t xml:space="preserve"> Sat Feb 03 2018 16:25:40</t>
  </si>
  <si>
    <t xml:space="preserve"> Can you tell us the winner of the other bitcoin give away? So we can congratulate him/her ;)</t>
  </si>
  <si>
    <t xml:space="preserve"> Sat Feb 03 2018 16:26:00</t>
  </si>
  <si>
    <t xml:space="preserve"> Would be nice to compare this to a map showing where Bitcoin mining is located </t>
  </si>
  <si>
    <t xml:space="preserve"> r****i </t>
  </si>
  <si>
    <t xml:space="preserve"> Sat Feb 03 2018 16:26:34</t>
  </si>
  <si>
    <t xml:space="preserve"> Bitcoin is a joke. Please</t>
  </si>
  <si>
    <t xml:space="preserve"> to </t>
  </si>
  <si>
    <t xml:space="preserve"> Sat Feb 03 2018 16:26:44</t>
  </si>
  <si>
    <t xml:space="preserve"> Bitcoin Rises 7.5% to $9,211</t>
  </si>
  <si>
    <t xml:space="preserve"> E****k </t>
  </si>
  <si>
    <t xml:space="preserve"> Warszawa, Polska</t>
  </si>
  <si>
    <t xml:space="preserve"> Sat Feb 03 2018 16:27:23</t>
  </si>
  <si>
    <t xml:space="preserve"> I pity the people who bought bitcoin at the rate of 1bitcoin=$16,000 </t>
  </si>
  <si>
    <t xml:space="preserve"> h****i </t>
  </si>
  <si>
    <t xml:space="preserve"> Sat Feb 03 2018 16:27:28</t>
  </si>
  <si>
    <t xml:space="preserve"> Cryptocurrency: Litecoin to launch LitePay and rival BitPay in days | City &amp; Business | Finance </t>
  </si>
  <si>
    <t xml:space="preserve"> Sat Feb 03 2018 16:28:00</t>
  </si>
  <si>
    <t xml:space="preserve"> CryptoCompare Bitcoin price changed +1.05% to $9232.85 </t>
  </si>
  <si>
    <t xml:space="preserve"> Sat Feb 03 2018 16:28:08</t>
  </si>
  <si>
    <t xml:space="preserve"> Bitcoin's just getting ready to run for that $1 million mark, can't wait. One day</t>
  </si>
  <si>
    <t xml:space="preserve"> r****5 </t>
  </si>
  <si>
    <t xml:space="preserve"> Sat Feb 03 2018 16:28:18</t>
  </si>
  <si>
    <t xml:space="preserve"> 462 mined since last tweet. It represents $4,211,592 (At $9,116 per $BTC ) New Supply: 16,843,062 Progress: 80.21 %</t>
  </si>
  <si>
    <t xml:space="preserve"> Internet</t>
  </si>
  <si>
    <t xml:space="preserve"> Sat Feb 03 2018 16:28:26</t>
  </si>
  <si>
    <t xml:space="preserve"> Lets hope so! Maybe they are long because of the bearish momentum Bitcoin havent seen since 2 years.</t>
  </si>
  <si>
    <t xml:space="preserve"> Y****9 </t>
  </si>
  <si>
    <t xml:space="preserve"> Sat Feb 03 2018 16:28:59</t>
  </si>
  <si>
    <t xml:space="preserve"> Cryptocurrency: Price USD: 9116.86 Price BTC: 1.0 24h Volume USD: 7773010000.0 Percent change 24h: 2.79</t>
  </si>
  <si>
    <t xml:space="preserve"> Sat Feb 03 2018 16:29:04</t>
  </si>
  <si>
    <t xml:space="preserve"> Used to respect him. But how can someone deny a force as undeniable as Bitcoin? Deal breaker.</t>
  </si>
  <si>
    <t xml:space="preserve"> s****w </t>
  </si>
  <si>
    <t xml:space="preserve"> Sat Feb 03 2018 16:29:06</t>
  </si>
  <si>
    <t xml:space="preserve"> Just switch bitcoin with fiat and that quote is perfect.</t>
  </si>
  <si>
    <t xml:space="preserve"> Sat Feb 03 2018 16:29:42</t>
  </si>
  <si>
    <t xml:space="preserve"> Anyone wanna give me one whole bitcoin?</t>
  </si>
  <si>
    <t xml:space="preserve"> d****a </t>
  </si>
  <si>
    <t xml:space="preserve"> Twitter slut, colorado</t>
  </si>
  <si>
    <t xml:space="preserve"> Sat Feb 03 2018 16:29:46</t>
  </si>
  <si>
    <t xml:space="preserve"> Bitcoin is the worst piece of a technology thats just not useful. Burning money to buy right now</t>
  </si>
  <si>
    <t xml:space="preserve"> Sat Feb 03 2018 16:30:02</t>
  </si>
  <si>
    <t xml:space="preserve"> Bitcoin:$9116.86 Ethereum:$950.085 Bitcoin Cash:$1235.59 Litecoin:$144.862 Ripple:$0.922305 IOTA:$1.93121</t>
  </si>
  <si>
    <t xml:space="preserve"> Sat Feb 03 2018 16:30:03</t>
  </si>
  <si>
    <t xml:space="preserve"> Can you withdraw bitcoin?</t>
  </si>
  <si>
    <t xml:space="preserve"> Sat Feb 03 2018 16:30:17</t>
  </si>
  <si>
    <t xml:space="preserve"> Any chance that Mobile Vikings will accept Bitcoin Cash, as a payment option in the near future? </t>
  </si>
  <si>
    <t xml:space="preserve"> Oudsbergen, Belgium</t>
  </si>
  <si>
    <t xml:space="preserve"> Sat Feb 03 2018 16:30:41</t>
  </si>
  <si>
    <t xml:space="preserve"> Arent bitcoin miners using mostly? I think youre getting rich from the trend :)</t>
  </si>
  <si>
    <t xml:space="preserve"> Sat Feb 03 2018 16:30:44</t>
  </si>
  <si>
    <t xml:space="preserve"> You find any bitcoin in there?</t>
  </si>
  <si>
    <t xml:space="preserve"> Sat Feb 03 2018 16:31:02</t>
  </si>
  <si>
    <t xml:space="preserve"> Is it bad that a 10k red arrow hurts more than the 10k I lost in Bitcoin this month? </t>
  </si>
  <si>
    <t xml:space="preserve"> F****o </t>
  </si>
  <si>
    <t xml:space="preserve"> Sat Feb 03 2018 16:31:13</t>
  </si>
  <si>
    <t xml:space="preserve"> Hello humans, is currently around $9153.84 as of Sat Feb 3 10:31:09 CST 2018</t>
  </si>
  <si>
    <t xml:space="preserve"> Sat Feb 03 2018 16:31:25</t>
  </si>
  <si>
    <t xml:space="preserve"> Why don't you contact to me? I'm learning about bitcoin</t>
  </si>
  <si>
    <t xml:space="preserve"> m****4 </t>
  </si>
  <si>
    <t xml:space="preserve"> Sat Feb 03 2018 16:31:55</t>
  </si>
  <si>
    <t xml:space="preserve"> I've developed a new open source P2P e-cash system called Bitcoin. It's completely decentralized, with</t>
  </si>
  <si>
    <t xml:space="preserve"> Sat Feb 03 2018 16:32:14</t>
  </si>
  <si>
    <t xml:space="preserve"> May be coming?</t>
  </si>
  <si>
    <t xml:space="preserve"> g****s </t>
  </si>
  <si>
    <t xml:space="preserve"> Sat Feb 03 2018 16:32:32</t>
  </si>
  <si>
    <t xml:space="preserve"> Bitcoin is most valuable because of first mover advantage and that's it - its losing ground daily</t>
  </si>
  <si>
    <t xml:space="preserve"> Sat Feb 03 2018 16:33:13</t>
  </si>
  <si>
    <t xml:space="preserve"> Bitcoin Millionaires buying more at These Levels. Fire Sale prices... Are YOU? Buy Low... Sell High!! HODL to $100K+ </t>
  </si>
  <si>
    <t xml:space="preserve"> Sat Feb 03 2018 16:33:51</t>
  </si>
  <si>
    <t xml:space="preserve"> tren up </t>
  </si>
  <si>
    <t xml:space="preserve"> Kota Yogyakarta, Yogyakarta</t>
  </si>
  <si>
    <t xml:space="preserve"> Sat Feb 03 2018 16:34:01</t>
  </si>
  <si>
    <t xml:space="preserve"> zOMG ..... it's Bitcoin Flash </t>
  </si>
  <si>
    <t xml:space="preserve"> Sat Feb 03 2018 16:34:11</t>
  </si>
  <si>
    <t xml:space="preserve"> Will Bitcoin reach $20,000 again within 1 month?</t>
  </si>
  <si>
    <t xml:space="preserve"> Sat Feb 03 2018 16:34:21</t>
  </si>
  <si>
    <t xml:space="preserve"> Lol thats my screenshot. Proud to contribute to the real Bitcoin!</t>
  </si>
  <si>
    <t xml:space="preserve"> Qubec, Canada</t>
  </si>
  <si>
    <t xml:space="preserve"> Sat Feb 03 2018 16:34:36</t>
  </si>
  <si>
    <t xml:space="preserve"> Good to See Stocks Down -666 pts on Friday... More will Flow into </t>
  </si>
  <si>
    <t xml:space="preserve"> Sat Feb 03 2018 16:34:58</t>
  </si>
  <si>
    <t xml:space="preserve"> The reminds me of is only powerful until you actually see it.</t>
  </si>
  <si>
    <t xml:space="preserve"> Santa Rosa CA</t>
  </si>
  <si>
    <t xml:space="preserve"> Sat Feb 03 2018 16:35:10</t>
  </si>
  <si>
    <t xml:space="preserve"> You're scared of Bitcoin , we get it.</t>
  </si>
  <si>
    <t xml:space="preserve"> Sat Feb 03 2018 16:36:06</t>
  </si>
  <si>
    <t xml:space="preserve"> , How to Make Money Online With Photographs...</t>
  </si>
  <si>
    <t xml:space="preserve"> Sat Feb 03 2018 16:36:09</t>
  </si>
  <si>
    <t xml:space="preserve"> when listed Bitcoin White?</t>
  </si>
  <si>
    <t xml:space="preserve"> Sat Feb 03 2018 16:36:31</t>
  </si>
  <si>
    <t xml:space="preserve"> The current price of bitcoin is 1 bitcoin, the current price of bcash is 1 hard fork.</t>
  </si>
  <si>
    <t xml:space="preserve"> Sat Feb 03 2018 16:36:46</t>
  </si>
  <si>
    <t xml:space="preserve"> vividcoin bitcoin</t>
  </si>
  <si>
    <t xml:space="preserve"> Sat Feb 03 2018 16:37:01</t>
  </si>
  <si>
    <t xml:space="preserve"> If you want to ruin Vivaldis Four Seasons, next time you listen imagine that its about Bitcoin.</t>
  </si>
  <si>
    <t xml:space="preserve"> Atlanta, GA</t>
  </si>
  <si>
    <t xml:space="preserve"> Sat Feb 03 2018 16:37:09</t>
  </si>
  <si>
    <t xml:space="preserve"> I never see Bitcoin core trying to explain why they are the real bitcoin... Cuz they don't need to. </t>
  </si>
  <si>
    <t xml:space="preserve"> Sat Feb 03 2018 16:37:17</t>
  </si>
  <si>
    <t xml:space="preserve"> Who is selling 1 day before ? </t>
  </si>
  <si>
    <t xml:space="preserve"> Sat Feb 03 2018 16:37:32</t>
  </si>
  <si>
    <t xml:space="preserve"> I got some fractions of a bitcoin, and a decent amount of ripple right now</t>
  </si>
  <si>
    <t xml:space="preserve"> Sat Feb 03 2018 16:37:33</t>
  </si>
  <si>
    <t xml:space="preserve"> Krugster's NYT piece on $BTC (Bubble, Bubble, Fraud and Trouble) is so dumb it hurts</t>
  </si>
  <si>
    <t xml:space="preserve"> G****i </t>
  </si>
  <si>
    <t xml:space="preserve"> New York / Munich</t>
  </si>
  <si>
    <t xml:space="preserve"> Sat Feb 03 2018 16:37:36</t>
  </si>
  <si>
    <t xml:space="preserve"> Ha the guy that predicts bitcoin to be $1,000,000</t>
  </si>
  <si>
    <t xml:space="preserve"> Sat Feb 03 2018 16:37:39</t>
  </si>
  <si>
    <t xml:space="preserve"> This is great news</t>
  </si>
  <si>
    <t xml:space="preserve"> Sat Feb 03 2018 16:37:48</t>
  </si>
  <si>
    <t xml:space="preserve"> Optimal tx fee: 65 satoshi per byte. BTC : $9142 / 7335 / 6473 Block 507452. Market Cap: 160B USD. </t>
  </si>
  <si>
    <t xml:space="preserve"> Sat Feb 03 2018 16:37:51</t>
  </si>
  <si>
    <t xml:space="preserve"> Exodus and Gemini Say Stop Using Bitcoin / Bitcoin Cash Forks TODAY / Bitcoin Gold Launched!</t>
  </si>
  <si>
    <t xml:space="preserve"> B****C </t>
  </si>
  <si>
    <t xml:space="preserve"> Sat Feb 03 2018 16:37:53</t>
  </si>
  <si>
    <t xml:space="preserve"> Its ok PayPal I have Bitcoin.</t>
  </si>
  <si>
    <t xml:space="preserve"> f****5 </t>
  </si>
  <si>
    <t xml:space="preserve"> Wellesley, MAp</t>
  </si>
  <si>
    <t xml:space="preserve"> Sat Feb 03 2018 16:38:18</t>
  </si>
  <si>
    <t xml:space="preserve"> Well... For a scam someone must benefit right? Who's benefiting from the Bitcoin scam?</t>
  </si>
  <si>
    <t xml:space="preserve"> Sat Feb 03 2018 16:38:21</t>
  </si>
  <si>
    <t xml:space="preserve"> : Could you please open BTG (Bitcoin Gold) exchange soon ? thank you !! 88))</t>
  </si>
  <si>
    <t xml:space="preserve"> Sat Feb 03 2018 16:38:41</t>
  </si>
  <si>
    <t xml:space="preserve"> Why not just run a lightning node on the bitcoin network instead</t>
  </si>
  <si>
    <t xml:space="preserve"> Sat Feb 03 2018 16:38:58</t>
  </si>
  <si>
    <t xml:space="preserve"> Wtf is bitcoin? Seriously? I dont get it. And I even googled it. </t>
  </si>
  <si>
    <t xml:space="preserve"> Duncan Oklahoma</t>
  </si>
  <si>
    <t xml:space="preserve"> Sat Feb 03 2018 16:39:09</t>
  </si>
  <si>
    <t xml:space="preserve"> No way man, I'm selling all my index funds and buying ! </t>
  </si>
  <si>
    <t xml:space="preserve"> h****1 </t>
  </si>
  <si>
    <t xml:space="preserve"> Sat Feb 03 2018 16:39:12</t>
  </si>
  <si>
    <t xml:space="preserve"> If you have a cash app that has already passed the bitcoin verified process message me</t>
  </si>
  <si>
    <t xml:space="preserve"> Sat Feb 03 2018 16:39:53</t>
  </si>
  <si>
    <t xml:space="preserve"> Thought they were all into bitcoin these days ....</t>
  </si>
  <si>
    <t xml:space="preserve"> n****y </t>
  </si>
  <si>
    <t xml:space="preserve"> Sat Feb 03 2018 16:40:02</t>
  </si>
  <si>
    <t xml:space="preserve"> Ethereum is the mirror image of Bitcoin, it is more than a coincidence.</t>
  </si>
  <si>
    <t xml:space="preserve"> Sat Feb 03 2018 16:40:08</t>
  </si>
  <si>
    <t xml:space="preserve"> Good! And return our etherium, zcash and bitcoin., and dollars!</t>
  </si>
  <si>
    <t xml:space="preserve"> Sat Feb 03 2018 16:40:10</t>
  </si>
  <si>
    <t xml:space="preserve"> Because people have been requesting this: We will also give away 0.1 $BTC to 1 person who retweets this tweet $NEO $LTC</t>
  </si>
  <si>
    <t xml:space="preserve"> Unknown</t>
  </si>
  <si>
    <t xml:space="preserve"> Sat Feb 03 2018 16:40:12</t>
  </si>
  <si>
    <t xml:space="preserve"> Cash app take bitcoin now. Wow times are changing.</t>
  </si>
  <si>
    <t xml:space="preserve"> G****u </t>
  </si>
  <si>
    <t xml:space="preserve"> Dipset, USA</t>
  </si>
  <si>
    <t xml:space="preserve"> Sat Feb 03 2018 16:40:13</t>
  </si>
  <si>
    <t xml:space="preserve"> It seems impossible for Krugman or Shiller etc to comprehend that many people into Bitcoin are really not in for the money.</t>
  </si>
  <si>
    <t xml:space="preserve"> j****t </t>
  </si>
  <si>
    <t xml:space="preserve"> On the Plane</t>
  </si>
  <si>
    <t xml:space="preserve"> Sat Feb 03 2018 16:40:16</t>
  </si>
  <si>
    <t xml:space="preserve"> (60956 follows) RT : Crypto and bitcoin has changed my life for the better so heres a random .1 btc giveaway,...</t>
  </si>
  <si>
    <t xml:space="preserve"> Sat Feb 03 2018 16:40:28</t>
  </si>
  <si>
    <t xml:space="preserve"> , Making Money Online - It's No Myth...</t>
  </si>
  <si>
    <t xml:space="preserve"> Sat Feb 03 2018 16:40:47</t>
  </si>
  <si>
    <t xml:space="preserve"> How r u gonna give away bitcoin lol</t>
  </si>
  <si>
    <t xml:space="preserve"> K****i </t>
  </si>
  <si>
    <t xml:space="preserve"> Sat Feb 03 2018 16:41:00</t>
  </si>
  <si>
    <t xml:space="preserve"> my mom just asked me what a bitcoin was</t>
  </si>
  <si>
    <t xml:space="preserve"> n****g </t>
  </si>
  <si>
    <t xml:space="preserve"> Sat Feb 03 2018 16:41:14</t>
  </si>
  <si>
    <t xml:space="preserve"> general sale is LIVE! Buy there coin and get 15% bonus. </t>
  </si>
  <si>
    <t xml:space="preserve"> a****8 </t>
  </si>
  <si>
    <t xml:space="preserve"> 0x89177d0318D3935d487d9fb9d1Bc5e91E0F00dAB</t>
  </si>
  <si>
    <t xml:space="preserve"> Sat Feb 03 2018 16:41:36</t>
  </si>
  <si>
    <t xml:space="preserve"> Bitcoins price could drop to $1 the impact is already here and here to stay: .</t>
  </si>
  <si>
    <t xml:space="preserve"> Sat Feb 03 2018 16:41:55</t>
  </si>
  <si>
    <t xml:space="preserve"> New 53 Acre, $75 Million Bitcoin hedge fund (ETF). Two other in to write</t>
  </si>
  <si>
    <t xml:space="preserve"> Top 6 BTC/USD Exchange Orderbooks: Resistance til $8900:$18.1M; Support til $8300:$23.0M $BTC $BTCUSD </t>
  </si>
  <si>
    <t xml:space="preserve"> Sat Feb 03 2018 16:42:11</t>
  </si>
  <si>
    <t xml:space="preserve"> Buy when there's blood in the streets </t>
  </si>
  <si>
    <t xml:space="preserve"> M****i </t>
  </si>
  <si>
    <t xml:space="preserve"> I want to go to another planet</t>
  </si>
  <si>
    <t xml:space="preserve"> Sat Feb 03 2018 16:42:12</t>
  </si>
  <si>
    <t xml:space="preserve"> Bitcoin Ban Expands Across Credit Cards as Big US Banks Recoil - Bloomberg</t>
  </si>
  <si>
    <t xml:space="preserve"> Glad turned up a little. I was out of vaseline. </t>
  </si>
  <si>
    <t xml:space="preserve"> Sat Feb 03 2018 16:43:11</t>
  </si>
  <si>
    <t xml:space="preserve"> Bitcoin and chill?</t>
  </si>
  <si>
    <t xml:space="preserve"> Berne, Switzerland</t>
  </si>
  <si>
    <t xml:space="preserve"> Sat Feb 03 2018 16:43:29</t>
  </si>
  <si>
    <t xml:space="preserve"> , Will the Bitcoin Bubble Burst? Should I Invest in Bitcoin?...</t>
  </si>
  <si>
    <t xml:space="preserve"> Sat Feb 03 2018 16:44:16</t>
  </si>
  <si>
    <t xml:space="preserve"> Whenever I hear someone say they trade bitcoin now, I immediately think that they're a pseudointellectual that's tryna cash in on a trend</t>
  </si>
  <si>
    <t xml:space="preserve"> A****V </t>
  </si>
  <si>
    <t xml:space="preserve"> Sat Feb 03 2018 16:44:56</t>
  </si>
  <si>
    <t xml:space="preserve"> Just Bitcoin for now!</t>
  </si>
  <si>
    <t xml:space="preserve"> Sat Feb 03 2018 16:45:02</t>
  </si>
  <si>
    <t xml:space="preserve"> There are currently 10,877 unconfirmed Bitcoin transactions. $BTC</t>
  </si>
  <si>
    <t xml:space="preserve"> Sat Feb 03 2018 16:45:08</t>
  </si>
  <si>
    <t xml:space="preserve"> Should you buy or sell today? Check our YouTube channel! We analyze over 30 pairs, also Gold, Silver, Oil and Bitcoin! </t>
  </si>
  <si>
    <t xml:space="preserve"> D****x </t>
  </si>
  <si>
    <t xml:space="preserve"> Sat Feb 03 2018 16:45:12</t>
  </si>
  <si>
    <t xml:space="preserve"> The is centralized is the new The earth is flat. </t>
  </si>
  <si>
    <t xml:space="preserve"> Sat Feb 03 2018 16:45:14</t>
  </si>
  <si>
    <t xml:space="preserve"> The bio says donate bitcoin... youre delusional if u think account is genuine. Clearly very disrespectful</t>
  </si>
  <si>
    <t xml:space="preserve"> P****z </t>
  </si>
  <si>
    <t xml:space="preserve"> Sat Feb 03 2018 16:45:15</t>
  </si>
  <si>
    <t xml:space="preserve"> When hes sad about Bitcoin &gt;</t>
  </si>
  <si>
    <t xml:space="preserve"> v****e </t>
  </si>
  <si>
    <t xml:space="preserve"> Sat Feb 03 2018 16:45:22</t>
  </si>
  <si>
    <t xml:space="preserve"> nah supreme changed their form of transaction, u can only use bitcoin now</t>
  </si>
  <si>
    <t xml:space="preserve"> Y****e </t>
  </si>
  <si>
    <t xml:space="preserve"> Sat Feb 03 2018 16:45:25</t>
  </si>
  <si>
    <t xml:space="preserve"> Of course they fail to mention where Bitcoin was at the beginning of 2017.</t>
  </si>
  <si>
    <t xml:space="preserve"> Sat Feb 03 2018 16:46:05</t>
  </si>
  <si>
    <t xml:space="preserve"> Bitcoin bubble go boom.</t>
  </si>
  <si>
    <t xml:space="preserve"> E****t </t>
  </si>
  <si>
    <t xml:space="preserve"> Winnipeg, Treaty 1 territory</t>
  </si>
  <si>
    <t xml:space="preserve"> Sat Feb 03 2018 16:46:31</t>
  </si>
  <si>
    <t xml:space="preserve"> Disstrack.mp4 (An ALLE YOUTUBER und BITCOIN MINER)</t>
  </si>
  <si>
    <t xml:space="preserve"> B****i </t>
  </si>
  <si>
    <t xml:space="preserve"> Bochum</t>
  </si>
  <si>
    <t xml:space="preserve"> Sat Feb 03 2018 16:46:50</t>
  </si>
  <si>
    <t xml:space="preserve"> right hold on, if you get a kinetic power source and some bitcoin mining ASICs you might be onto something</t>
  </si>
  <si>
    <t xml:space="preserve"> Sat Feb 03 2018 16:46:53</t>
  </si>
  <si>
    <t xml:space="preserve"> Top 6 BTC/USD Exchange Orderbooks: Resistance til $8900:$17.9M; Support til $8300:$21.3M $BTC $BTCUSD </t>
  </si>
  <si>
    <t xml:space="preserve"> Sat Feb 03 2018 16:46:57</t>
  </si>
  <si>
    <t xml:space="preserve"> Remember when Bitcoin was 19k? Those were the good days...</t>
  </si>
  <si>
    <t xml:space="preserve"> Sat Feb 03 2018 16:46:58</t>
  </si>
  <si>
    <t xml:space="preserve"> something IA and Bitcoin related</t>
  </si>
  <si>
    <t xml:space="preserve"> Caracas, Venezuela</t>
  </si>
  <si>
    <t xml:space="preserve"> Sat Feb 03 2018 16:47:04</t>
  </si>
  <si>
    <t xml:space="preserve"> The Current Bitcoin Price is 0.00010858 BTC for $1 USD </t>
  </si>
  <si>
    <t xml:space="preserve"> Sat Feb 03 2018 16:47:28</t>
  </si>
  <si>
    <t xml:space="preserve"> Lord comebacking </t>
  </si>
  <si>
    <t xml:space="preserve"> s****e </t>
  </si>
  <si>
    <t xml:space="preserve"> stanbul</t>
  </si>
  <si>
    <t xml:space="preserve"> Sat Feb 03 2018 16:47:53</t>
  </si>
  <si>
    <t xml:space="preserve"> Anyone who did not see Bitcoin for what it is (a pump-and-dump scam) is deluded, stupid or disgustingly greedy.</t>
  </si>
  <si>
    <t xml:space="preserve"> Sat Feb 03 2018 16:47:58</t>
  </si>
  <si>
    <t xml:space="preserve"> Bitcoin bounce is good for now. Calling tops 13k in a week or so. Overall continuation of downward trend for a few weeks. $BTC</t>
  </si>
  <si>
    <t xml:space="preserve"> R****1 </t>
  </si>
  <si>
    <t xml:space="preserve"> Dogebah System</t>
  </si>
  <si>
    <t xml:space="preserve"> Sat Feb 03 2018 16:48:21</t>
  </si>
  <si>
    <t xml:space="preserve"> 3k in bitcoin yeah right Ian </t>
  </si>
  <si>
    <t xml:space="preserve"> Sat Feb 03 2018 16:48:44</t>
  </si>
  <si>
    <t xml:space="preserve"> Bitcoin !</t>
  </si>
  <si>
    <t xml:space="preserve"> P****t </t>
  </si>
  <si>
    <t xml:space="preserve"> Montreal,Qubec,Canada</t>
  </si>
  <si>
    <t xml:space="preserve"> Sat Feb 03 2018 16:48:45</t>
  </si>
  <si>
    <t xml:space="preserve"> correlation of people who bet on vaporwave and bitcoin in 2014 and have lost literally everything deservedly</t>
  </si>
  <si>
    <t xml:space="preserve"> Sat Feb 03 2018 16:48:46</t>
  </si>
  <si>
    <t xml:space="preserve"> U seriously thinks xrp is dead, its definitely not you might as well say bitcoin is dead if you think that</t>
  </si>
  <si>
    <t xml:space="preserve"> Sat Feb 03 2018 16:49:04</t>
  </si>
  <si>
    <t xml:space="preserve"> when bitcoin hit $20k (WOW!), i hodl'd; i didnt sell a single satoshi all he way down to $8k; my expected target for 2018 is $100k.</t>
  </si>
  <si>
    <t xml:space="preserve"> Austria</t>
  </si>
  <si>
    <t xml:space="preserve"> Sat Feb 03 2018 16:49:09</t>
  </si>
  <si>
    <t xml:space="preserve"> Bitcoin will live forever in the hearts of the libertarian capitalist techbros.</t>
  </si>
  <si>
    <t xml:space="preserve"> Um 5? (I have no effing clue how bitcoin works)</t>
  </si>
  <si>
    <t xml:space="preserve"> E****b </t>
  </si>
  <si>
    <t xml:space="preserve"> Philadelphia, PA</t>
  </si>
  <si>
    <t xml:space="preserve"> Sat Feb 03 2018 16:49:21</t>
  </si>
  <si>
    <t xml:space="preserve"> Bitcoin cash = bitcoin cash and bitcoin = bitcoin. Stop wining.</t>
  </si>
  <si>
    <t xml:space="preserve"> Sat Feb 03 2018 16:49:25</t>
  </si>
  <si>
    <t xml:space="preserve"> That will never happen, is a bitcoin maximalist. Bcash is just another alt-coin anyways.</t>
  </si>
  <si>
    <t xml:space="preserve"> n****r </t>
  </si>
  <si>
    <t xml:space="preserve"> Orbiting Betelgeuse</t>
  </si>
  <si>
    <t xml:space="preserve"> Sat Feb 03 2018 16:49:30</t>
  </si>
  <si>
    <t xml:space="preserve"> cardano taking off with new expected gains today </t>
  </si>
  <si>
    <t xml:space="preserve"> r****7 </t>
  </si>
  <si>
    <t xml:space="preserve"> Sat Feb 03 2018 16:50:17</t>
  </si>
  <si>
    <t xml:space="preserve"> yeah. respect to u both, part of bitcoin history. well done. (i'm a bit jealous) :-)</t>
  </si>
  <si>
    <t xml:space="preserve"> Sat Feb 03 2018 16:50:24</t>
  </si>
  <si>
    <t xml:space="preserve"> Crypto and Twitter go together like... $BTC $LTC $ETH</t>
  </si>
  <si>
    <t xml:space="preserve"> l****d </t>
  </si>
  <si>
    <t xml:space="preserve"> Colorado, USA</t>
  </si>
  <si>
    <t xml:space="preserve"> Sat Feb 03 2018 16:50:30</t>
  </si>
  <si>
    <t xml:space="preserve"> beauty of it is, if you don't like lightning, then don't use it. Bitcoin still Bitcoin.</t>
  </si>
  <si>
    <t xml:space="preserve"> S****m </t>
  </si>
  <si>
    <t xml:space="preserve"> Hamilton, Ontario</t>
  </si>
  <si>
    <t xml:space="preserve"> Sat Feb 03 2018 16:50:52</t>
  </si>
  <si>
    <t xml:space="preserve"> Everybody starts somewhere. How many daily txs on bitcoin 6-9 months after implementation? </t>
  </si>
  <si>
    <t xml:space="preserve"> Sat Feb 03 2018 16:50:53</t>
  </si>
  <si>
    <t xml:space="preserve"> Contain Bitcoin but never withdraw from that position?! Dude. The bloodiest day. 2/</t>
  </si>
  <si>
    <t xml:space="preserve"> South Jordan, UT</t>
  </si>
  <si>
    <t xml:space="preserve"> Sat Feb 03 2018 16:51:17</t>
  </si>
  <si>
    <t xml:space="preserve"> People just need to not sell their too see prices surge up. . Its not only an investment, but an asset. </t>
  </si>
  <si>
    <t xml:space="preserve"> M****_ </t>
  </si>
  <si>
    <t xml:space="preserve"> Gaithersburg, MD</t>
  </si>
  <si>
    <t xml:space="preserve"> Sat Feb 03 2018 16:51:22</t>
  </si>
  <si>
    <t xml:space="preserve"> Me neither I just like offering people payment in bitcoin to see their reaction.</t>
  </si>
  <si>
    <t xml:space="preserve"> Dexter Lake Club</t>
  </si>
  <si>
    <t xml:space="preserve"> Sat Feb 03 2018 16:51:26</t>
  </si>
  <si>
    <t xml:space="preserve"> The real occupy Wall Street was/is bitcoin.</t>
  </si>
  <si>
    <t xml:space="preserve"> _****T </t>
  </si>
  <si>
    <t xml:space="preserve"> Sat Feb 03 2018 16:51:57</t>
  </si>
  <si>
    <t xml:space="preserve"> How to start using a bitcoin savings wallet</t>
  </si>
  <si>
    <t xml:space="preserve"> m****2 </t>
  </si>
  <si>
    <t xml:space="preserve"> Glasgow, Scotland</t>
  </si>
  <si>
    <t xml:space="preserve"> Sat Feb 03 2018 16:52:04</t>
  </si>
  <si>
    <t xml:space="preserve"> And Bitcoin is among the most primitive...</t>
  </si>
  <si>
    <t xml:space="preserve"> s****s </t>
  </si>
  <si>
    <t xml:space="preserve"> space</t>
  </si>
  <si>
    <t xml:space="preserve"> Sat Feb 03 2018 16:52:05</t>
  </si>
  <si>
    <t xml:space="preserve"> Bitcoin mining uses less energy than all the home appliances on standby in the US and they're not doing anything.</t>
  </si>
  <si>
    <t xml:space="preserve"> Sat Feb 03 2018 16:52:08</t>
  </si>
  <si>
    <t xml:space="preserve"> If Bitcoin goes under 4500 i would sell my home to BTFD</t>
  </si>
  <si>
    <t xml:space="preserve"> Sat Feb 03 2018 16:52:25</t>
  </si>
  <si>
    <t xml:space="preserve"> Nasdaq Exploring Total Return Bitcoin Futures Contract Expired Today</t>
  </si>
  <si>
    <t xml:space="preserve"> Sat Feb 03 2018 16:52:38</t>
  </si>
  <si>
    <t xml:space="preserve"> My parents keep fighting over bitcoin... what is wrong with them</t>
  </si>
  <si>
    <t xml:space="preserve"> Sat Feb 03 2018 16:53:05</t>
  </si>
  <si>
    <t xml:space="preserve"> for developers technically are the same coin just different block size and fee. but people is sentimental.</t>
  </si>
  <si>
    <t xml:space="preserve"> r****9 </t>
  </si>
  <si>
    <t xml:space="preserve"> Sat Feb 03 2018 16:53:18</t>
  </si>
  <si>
    <t xml:space="preserve"> If bitcoin loses the first place, some people will finally realize the future of blockchain is bigger than bitcoin.</t>
  </si>
  <si>
    <t xml:space="preserve"> Sat Feb 03 2018 16:53:26</t>
  </si>
  <si>
    <t xml:space="preserve"> never go all in..correction not over yet.. </t>
  </si>
  <si>
    <t xml:space="preserve"> Sat Feb 03 2018 16:53:29</t>
  </si>
  <si>
    <t xml:space="preserve"> I heard Putin is paying them with bitcoin, suckers.</t>
  </si>
  <si>
    <t xml:space="preserve"> m****y </t>
  </si>
  <si>
    <t xml:space="preserve"> Sat Feb 03 2018 16:53:35</t>
  </si>
  <si>
    <t xml:space="preserve"> Bitcoin isn't a bubble, all the other cryptos are</t>
  </si>
  <si>
    <t xml:space="preserve"> Metal Army Records</t>
  </si>
  <si>
    <t xml:space="preserve"> Sat Feb 03 2018 16:53:52</t>
  </si>
  <si>
    <t xml:space="preserve"> What did bitcoin do to you?</t>
  </si>
  <si>
    <t xml:space="preserve"> Sat Feb 03 2018 16:54:15</t>
  </si>
  <si>
    <t xml:space="preserve"> Do the Russians pay in dollars, rubles, or bitcoin?</t>
  </si>
  <si>
    <t xml:space="preserve"> M****v </t>
  </si>
  <si>
    <t xml:space="preserve"> Sat Feb 03 2018 16:54:24</t>
  </si>
  <si>
    <t xml:space="preserve"> No, it has been only implemented for Bitcoin wallet</t>
  </si>
  <si>
    <t xml:space="preserve"> Sat Feb 03 2018 16:54:55</t>
  </si>
  <si>
    <t xml:space="preserve"> You know how people who do CrossFit always tell you that they do CrossFit? Its the same with bitcoin. - </t>
  </si>
  <si>
    <t xml:space="preserve"> Austin, Texas</t>
  </si>
  <si>
    <t xml:space="preserve"> Sat Feb 03 2018 16:55:13</t>
  </si>
  <si>
    <t xml:space="preserve"> Trustless networks are further driving a wedge between people, soon we won't need to trust any human</t>
  </si>
  <si>
    <t xml:space="preserve"> Sharon, MA</t>
  </si>
  <si>
    <t xml:space="preserve"> Sat Feb 03 2018 16:55:14</t>
  </si>
  <si>
    <t xml:space="preserve"> you know bitcoin made it when elderly start using it :)) </t>
  </si>
  <si>
    <t xml:space="preserve"> Intertubes</t>
  </si>
  <si>
    <t xml:space="preserve"> Sat Feb 03 2018 16:55:43</t>
  </si>
  <si>
    <t xml:space="preserve"> Anything bitcoin-related to check out in Vail, Colorado?</t>
  </si>
  <si>
    <t xml:space="preserve"> f****_ </t>
  </si>
  <si>
    <t xml:space="preserve"> Montreal, Qc</t>
  </si>
  <si>
    <t xml:space="preserve"> Sat Feb 03 2018 16:56:02</t>
  </si>
  <si>
    <t xml:space="preserve"> I guess I'm officially broke now. No more fiat left. ... </t>
  </si>
  <si>
    <t xml:space="preserve"> Sat Feb 03 2018 16:56:03</t>
  </si>
  <si>
    <t xml:space="preserve"> Who knows, any random hex number of the right length could be a future Bitcoin.</t>
  </si>
  <si>
    <t xml:space="preserve"> oregon</t>
  </si>
  <si>
    <t xml:space="preserve"> Sat Feb 03 2018 16:56:07</t>
  </si>
  <si>
    <t xml:space="preserve"> Bitcoin - Support = $9,216; Resistance = $9,472 $BTC</t>
  </si>
  <si>
    <t xml:space="preserve"> Jackson, MO</t>
  </si>
  <si>
    <t xml:space="preserve"> Sat Feb 03 2018 16:56:22</t>
  </si>
  <si>
    <t xml:space="preserve"> value over 3 months: --53.51%, ($-10670.49) [Currently $9269.515] </t>
  </si>
  <si>
    <t xml:space="preserve"> Sat Feb 03 2018 16:56:32</t>
  </si>
  <si>
    <t xml:space="preserve"> Bitcoin isn't an asset, it's a speculation floating around in the ether (literally)...</t>
  </si>
  <si>
    <t xml:space="preserve"> K****z </t>
  </si>
  <si>
    <t xml:space="preserve"> Sat Feb 03 2018 16:56:33</t>
  </si>
  <si>
    <t xml:space="preserve"> Bitcoin miner</t>
  </si>
  <si>
    <t xml:space="preserve"> g****6 </t>
  </si>
  <si>
    <t xml:space="preserve"> Bosnia and Herzegovina</t>
  </si>
  <si>
    <t xml:space="preserve"> Sat Feb 03 2018 16:56:59</t>
  </si>
  <si>
    <t xml:space="preserve"> $btc is like MacOS and $bch is the copy (windows)</t>
  </si>
  <si>
    <t xml:space="preserve"> Sat Feb 03 2018 16:57:04</t>
  </si>
  <si>
    <t xml:space="preserve"> Out of fiat. No breakfast place around that takes . </t>
  </si>
  <si>
    <t xml:space="preserve"> Sat Feb 03 2018 16:57:13</t>
  </si>
  <si>
    <t xml:space="preserve"> Were receiving reports is rejecting Bitcoin purchases made via credit card.</t>
  </si>
  <si>
    <t xml:space="preserve"> U****o </t>
  </si>
  <si>
    <t xml:space="preserve"> USA / </t>
  </si>
  <si>
    <t xml:space="preserve"> Sat Feb 03 2018 16:57:31</t>
  </si>
  <si>
    <t xml:space="preserve"> So you're saying bitcoin forked off bcash?</t>
  </si>
  <si>
    <t xml:space="preserve"> Sat Feb 03 2018 16:57:35</t>
  </si>
  <si>
    <t xml:space="preserve"> Try nano and many more coins..1000x better thb bitcoin cash</t>
  </si>
  <si>
    <t xml:space="preserve"> D****0 </t>
  </si>
  <si>
    <t xml:space="preserve"> Rohini, New Delhi</t>
  </si>
  <si>
    <t xml:space="preserve"> Sat Feb 03 2018 16:57:36</t>
  </si>
  <si>
    <t xml:space="preserve"> Paul Krugman recommends not buying Bitcoin... I may have to buy Bitcoin...</t>
  </si>
  <si>
    <t xml:space="preserve"> M****m </t>
  </si>
  <si>
    <t xml:space="preserve"> Sat Feb 03 2018 16:58:16</t>
  </si>
  <si>
    <t xml:space="preserve"> Expecting a 1-4 candle pull back on the hourly chart, and then we go higher </t>
  </si>
  <si>
    <t xml:space="preserve"> Miami FL</t>
  </si>
  <si>
    <t xml:space="preserve"> Sat Feb 03 2018 16:58:21</t>
  </si>
  <si>
    <t xml:space="preserve"> Accurately, MediBloc is more popular than Bitcoin on the Coinral exchange in Korea.</t>
  </si>
  <si>
    <t xml:space="preserve"> Sat Feb 03 2018 16:58:34</t>
  </si>
  <si>
    <t xml:space="preserve"> I believe the Bitcoin bottom is in. Game time...</t>
  </si>
  <si>
    <t xml:space="preserve"> Norwich</t>
  </si>
  <si>
    <t xml:space="preserve"> Sat Feb 03 2018 16:58:39</t>
  </si>
  <si>
    <t xml:space="preserve"> Bitcoin Cash BCH is a lightning network built on the blockchain. </t>
  </si>
  <si>
    <t xml:space="preserve"> Sat Feb 03 2018 16:58:48</t>
  </si>
  <si>
    <t xml:space="preserve"> In one UK pension company Hargreaves landsdown - you can buy the Swedish bitcoin fund XBT</t>
  </si>
  <si>
    <t xml:space="preserve"> r****3 </t>
  </si>
  <si>
    <t xml:space="preserve"> Sat Feb 03 2018 16:58:55</t>
  </si>
  <si>
    <t xml:space="preserve"> So with bitcoin dropping.. will we start seeing a price drop for GPU's?</t>
  </si>
  <si>
    <t xml:space="preserve"> Minnesota, USA</t>
  </si>
  <si>
    <t xml:space="preserve"> Sat Feb 03 2018 16:59:03</t>
  </si>
  <si>
    <t xml:space="preserve"> bcash is not the real bitcoin.</t>
  </si>
  <si>
    <t xml:space="preserve"> Sat Feb 03 2018 16:59:22</t>
  </si>
  <si>
    <t xml:space="preserve"> $: (9271.29) 3mSMA50touch- (9274.06), 12:1Accel+, tf:0110001, FirmTrnd-:+125%, ch:+8.3%, DyVol:12T:0.3x:0.7x</t>
  </si>
  <si>
    <t xml:space="preserve"> Sat Feb 03 2018 16:59:43</t>
  </si>
  <si>
    <t xml:space="preserve"> Russian Oligarch will simply state: I got into bitcoin before it was cool. Wealth Explained.</t>
  </si>
  <si>
    <t xml:space="preserve"> Vancouver, BC</t>
  </si>
  <si>
    <t xml:space="preserve"> Sat Feb 03 2018 16:59:53</t>
  </si>
  <si>
    <t xml:space="preserve"> Crypto Rich and Paranoid: Threats Prompt Radical Security in Bitcoin Land...</t>
  </si>
  <si>
    <t xml:space="preserve"> Cyber Space</t>
  </si>
  <si>
    <t xml:space="preserve"> Sat Feb 03 2018 16:59:55</t>
  </si>
  <si>
    <t xml:space="preserve"> Bitcoin is the best investment because most people are going to start buying more opioids on the black market.</t>
  </si>
  <si>
    <t xml:space="preserve"> Sat Feb 03 2018 17:00:00</t>
  </si>
  <si>
    <t xml:space="preserve"> , Bitcoin with unit price of $9,230.34, market cap of $155,468,111,935 (34.59%), and 24 hr vol. of $7,786,920,000 (31.39%)</t>
  </si>
  <si>
    <t xml:space="preserve"> CryptoCompare Bitcoin price changed +1.24% to $9347.34 </t>
  </si>
  <si>
    <t xml:space="preserve"> Sat Feb 03 2018 17:00:01</t>
  </si>
  <si>
    <t xml:space="preserve"> JOIN OUR CHANCOIN CITY DISCORD DO YOU NOTICE THE AND SEEMI DIDNT </t>
  </si>
  <si>
    <t xml:space="preserve"> Index: 10802 satoshis = $1 : 0.0013 btc</t>
  </si>
  <si>
    <t xml:space="preserve"> World Wide</t>
  </si>
  <si>
    <t xml:space="preserve"> Current BTC Dominance: 34.66% </t>
  </si>
  <si>
    <t xml:space="preserve"> Sat Feb 03 2018 17:00:02</t>
  </si>
  <si>
    <t xml:space="preserve"> The average price of Bitcoin across all exchanges is 9,230.34 USD</t>
  </si>
  <si>
    <t xml:space="preserve"> Average Bitcoin market price is: USD 9,285.70, EUR 7,461.96</t>
  </si>
  <si>
    <t xml:space="preserve"> Bitcoin:$9230.34 Ethereum:$966.333 Bitcoin Cash:$1253.97 Litecoin:$147.292 Ripple:$0.930634 IOTA:$1.97937</t>
  </si>
  <si>
    <t xml:space="preserve"> Sat Feb 03 2018 17:00:06</t>
  </si>
  <si>
    <t xml:space="preserve"> Feb 03, 2018 09:00AM Price: USD 8788.20 | EUR 7090.65 | JPY 944244.41</t>
  </si>
  <si>
    <t xml:space="preserve"> Sat Feb 03 2018 17:00:03</t>
  </si>
  <si>
    <t xml:space="preserve"> -Joke of the Day: What do you call a teenage bitcoin? Zitcoin</t>
  </si>
  <si>
    <t xml:space="preserve"> F****m </t>
  </si>
  <si>
    <t xml:space="preserve"> Sat Feb 03 2018 17:00:14</t>
  </si>
  <si>
    <t xml:space="preserve"> Top 6 BTC/USD Exchange Orderbooks: Resistance til $9600:$28.7M; Support til $9000:$18.1M $BTC $BTCUSD </t>
  </si>
  <si>
    <t xml:space="preserve"> Sat Feb 03 2018 17:00:16</t>
  </si>
  <si>
    <t xml:space="preserve"> Just realised that having moving averages like that would probably make bitcoin 6 figures haha</t>
  </si>
  <si>
    <t xml:space="preserve"> Sat Feb 03 2018 17:00:30</t>
  </si>
  <si>
    <t xml:space="preserve"> Bitcoin going up! The rest of cryptos will follow </t>
  </si>
  <si>
    <t xml:space="preserve"> Sat Feb 03 2018 17:00:31</t>
  </si>
  <si>
    <t xml:space="preserve"> BTC hourly update $9290.18 | +0.0079% $BTC </t>
  </si>
  <si>
    <t xml:space="preserve"> Sat Feb 03 2018 17:00:58</t>
  </si>
  <si>
    <t xml:space="preserve"> The Current price of Bitcoin is $9312.68</t>
  </si>
  <si>
    <t xml:space="preserve"> Sat Feb 03 2018 17:01:04</t>
  </si>
  <si>
    <t xml:space="preserve"> 12PM EST price of $BTC today is $9312.68! </t>
  </si>
  <si>
    <t xml:space="preserve"> Bitcoin Today - 9312.68 USD </t>
  </si>
  <si>
    <t xml:space="preserve"> Y****r </t>
  </si>
  <si>
    <t xml:space="preserve"> Dagobah</t>
  </si>
  <si>
    <t xml:space="preserve"> Sat Feb 03 2018 17:01:14</t>
  </si>
  <si>
    <t xml:space="preserve"> Its funny that every attempt to attack Bitcoin has only resulted in it coming back more resilient.</t>
  </si>
  <si>
    <t xml:space="preserve"> Sat Feb 03 2018 17:01:16</t>
  </si>
  <si>
    <t xml:space="preserve"> Current price of Bitcoin is $9312.68.</t>
  </si>
  <si>
    <t xml:space="preserve"> Sat Feb 03 2018 17:01:22</t>
  </si>
  <si>
    <t xml:space="preserve"> Losers never $btc</t>
  </si>
  <si>
    <t xml:space="preserve"> Sat Feb 03 2018 17:01:27</t>
  </si>
  <si>
    <t xml:space="preserve"> Current price of is $9312.68</t>
  </si>
  <si>
    <t xml:space="preserve"> Sat Feb 03 2018 17:01:32</t>
  </si>
  <si>
    <t xml:space="preserve"> Reason number 1 bcash is not bitcoin - when you consistently have to tell people its the real one, generally it mean its not.</t>
  </si>
  <si>
    <t xml:space="preserve"> Sat Feb 03 2018 17:01:42</t>
  </si>
  <si>
    <t xml:space="preserve"> Bitcoin 9312.68 $</t>
  </si>
  <si>
    <t xml:space="preserve"> Sat Feb 03 2018 17:01:44</t>
  </si>
  <si>
    <t xml:space="preserve"> Bitcoin!!!!</t>
  </si>
  <si>
    <t xml:space="preserve"> t****c </t>
  </si>
  <si>
    <t xml:space="preserve"> Sat Feb 03 2018 17:01:54</t>
  </si>
  <si>
    <t xml:space="preserve"> Current price of Bitcoin is $9312.68</t>
  </si>
  <si>
    <t xml:space="preserve"> V****a </t>
  </si>
  <si>
    <t xml:space="preserve"> Sat Feb 03 2018 17:01:55</t>
  </si>
  <si>
    <t xml:space="preserve"> What is BITCOIN? Can I make money with Bitcoin GUARANTEED??? LeadtheWays</t>
  </si>
  <si>
    <t xml:space="preserve"> 1****y </t>
  </si>
  <si>
    <t xml:space="preserve"> Sat Feb 03 2018 17:01:57</t>
  </si>
  <si>
    <t xml:space="preserve"> It's 2018 and y'all still investing in Bitcoin? I just spent my life's earnings on cattle. On my FFA hustle</t>
  </si>
  <si>
    <t xml:space="preserve"> Sat Feb 03 2018 17:02:00</t>
  </si>
  <si>
    <t xml:space="preserve"> Current price of Bitcoin is $9312.68 </t>
  </si>
  <si>
    <t xml:space="preserve"> Sat Feb 03 2018 17:02:01</t>
  </si>
  <si>
    <t xml:space="preserve"> Bitcoin never fails</t>
  </si>
  <si>
    <t xml:space="preserve"> Sat Feb 03 2018 17:02:05</t>
  </si>
  <si>
    <t xml:space="preserve"> *as of right now. Bitcoin has some issues with the tech to have mainstream adoption. Mostly price to make and mine</t>
  </si>
  <si>
    <t xml:space="preserve"> H****7 </t>
  </si>
  <si>
    <t xml:space="preserve"> Sat Feb 03 2018 17:02:23</t>
  </si>
  <si>
    <t xml:space="preserve"> RI: can you hear that sound of the ratings going up??? Its rivalling bitcoin right now!!! LSM: bitcoin is going down these days </t>
  </si>
  <si>
    <t xml:space="preserve"> ?</t>
  </si>
  <si>
    <t xml:space="preserve"> Sat Feb 03 2018 17:02:32</t>
  </si>
  <si>
    <t xml:space="preserve"> The likelihood is that blockchain technology will have a future, not bitcoin.</t>
  </si>
  <si>
    <t xml:space="preserve"> Sat Feb 03 2018 17:03:11</t>
  </si>
  <si>
    <t xml:space="preserve"> How about a visual of the bitcoin cash network?</t>
  </si>
  <si>
    <t xml:space="preserve"> t****4 </t>
  </si>
  <si>
    <t xml:space="preserve"> Sat Feb 03 2018 17:03:13</t>
  </si>
  <si>
    <t xml:space="preserve"> Current price of is $9312.68 via Chain </t>
  </si>
  <si>
    <t xml:space="preserve"> Current price of is $9312.68 via </t>
  </si>
  <si>
    <t xml:space="preserve"> Sat Feb 03 2018 17:03:18</t>
  </si>
  <si>
    <t xml:space="preserve"> Good morning. Current price of Bitcoin is $9312.68</t>
  </si>
  <si>
    <t xml:space="preserve"> Sat Feb 03 2018 17:03:22</t>
  </si>
  <si>
    <t xml:space="preserve"> Current price of Bitcoin is $9312.68 via Chain</t>
  </si>
  <si>
    <t xml:space="preserve"> N****n </t>
  </si>
  <si>
    <t xml:space="preserve"> Sat Feb 03 2018 17:03:26</t>
  </si>
  <si>
    <t xml:space="preserve"> Mate did you see Richs +6550 point bitcoin short? A totally awesome trade!</t>
  </si>
  <si>
    <t xml:space="preserve"> W****8 </t>
  </si>
  <si>
    <t xml:space="preserve"> Essex, England</t>
  </si>
  <si>
    <t xml:space="preserve"> huge gains today accumulating </t>
  </si>
  <si>
    <t xml:space="preserve"> Sat Feb 03 2018 17:03:31</t>
  </si>
  <si>
    <t xml:space="preserve"> The current Price is 9312.68USD.</t>
  </si>
  <si>
    <t xml:space="preserve"> Sat Feb 03 2018 17:03:50</t>
  </si>
  <si>
    <t xml:space="preserve"> Total Losses since November 2017 - 36.13811144 Bitcoin and - 34.138111678 Bitcoins cash, and - 11388.12236788 ether....How am I doing guys?</t>
  </si>
  <si>
    <t xml:space="preserve"> Calgary Canada</t>
  </si>
  <si>
    <t xml:space="preserve"> Sat Feb 03 2018 17:04:07</t>
  </si>
  <si>
    <t xml:space="preserve"> Current price of Bitcoin is $9312.68 'Like' ? $BTC</t>
  </si>
  <si>
    <t xml:space="preserve"> Sat Feb 03 2018 17:04:11</t>
  </si>
  <si>
    <t xml:space="preserve"> Bitcoin miner?</t>
  </si>
  <si>
    <t xml:space="preserve"> Sat Feb 03 2018 17:04:16</t>
  </si>
  <si>
    <t xml:space="preserve"> Current price of is $9312.68 with transactions of 160/second, is aming to reach 347222/second</t>
  </si>
  <si>
    <t xml:space="preserve"> reddit.com/r/senero</t>
  </si>
  <si>
    <t xml:space="preserve"> Sat Feb 03 2018 17:04:33</t>
  </si>
  <si>
    <t xml:space="preserve"> The ones you paid for with your bitcoin mining money</t>
  </si>
  <si>
    <t xml:space="preserve"> Sat Feb 03 2018 17:04:34</t>
  </si>
  <si>
    <t xml:space="preserve"> 's 2nd Pre-ICO has Started! Join with us! Last chance to get BONUS ! </t>
  </si>
  <si>
    <t xml:space="preserve"> 0x6de8F6D2f7E2CD5A28cB582a94a94CE8Fd46f93c</t>
  </si>
  <si>
    <t xml:space="preserve"> Sat Feb 03 2018 17:04:40</t>
  </si>
  <si>
    <t xml:space="preserve"> Current price of Bitcoin is $9312.68 Like if thats good for you and retweet if thats not good for you </t>
  </si>
  <si>
    <t xml:space="preserve"> Sat Feb 03 2018 17:05:09</t>
  </si>
  <si>
    <t xml:space="preserve"> will reach to 30k by end of march 2018</t>
  </si>
  <si>
    <t xml:space="preserve"> Irving, TX</t>
  </si>
  <si>
    <t xml:space="preserve"> Sat Feb 03 2018 17:05:12</t>
  </si>
  <si>
    <t xml:space="preserve"> Yo! Does why Bitcoin is going down on USD value... because you shaved!</t>
  </si>
  <si>
    <t xml:space="preserve"> Sat Feb 03 2018 17:05:34</t>
  </si>
  <si>
    <t xml:space="preserve"> what's you opinion about Tether scandal? could Tether crash Bitcoin?</t>
  </si>
  <si>
    <t xml:space="preserve"> Biella, Piedmont, Italy</t>
  </si>
  <si>
    <t xml:space="preserve"> Sat Feb 03 2018 17:06:01</t>
  </si>
  <si>
    <t xml:space="preserve"> Did you know in January 2016, one Bitcoin was worth USD$350, and is now worth over USD$2,000? </t>
  </si>
  <si>
    <t xml:space="preserve"> m****n </t>
  </si>
  <si>
    <t xml:space="preserve"> Sat Feb 03 2018 17:06:07</t>
  </si>
  <si>
    <t xml:space="preserve"> People call a bubble for a number of reasons. Most commonly: 1) Uneducated 2) Lazy 3) Scared</t>
  </si>
  <si>
    <t xml:space="preserve"> Sat Feb 03 2018 17:06:08</t>
  </si>
  <si>
    <t xml:space="preserve"> You can get into an accident tomorrow, doesn't mean you stop driving </t>
  </si>
  <si>
    <t xml:space="preserve"> Sat Feb 03 2018 17:06:15</t>
  </si>
  <si>
    <t xml:space="preserve"> Yo, that's why Bitcoin is loosing USD value... because you shaved!</t>
  </si>
  <si>
    <t xml:space="preserve"> Sat Feb 03 2018 17:06:30</t>
  </si>
  <si>
    <t xml:space="preserve"> There is awesome project named . Join bounty program and help them. </t>
  </si>
  <si>
    <t xml:space="preserve"> Sat Feb 03 2018 17:06:33</t>
  </si>
  <si>
    <t xml:space="preserve"> SMA (14, close) Crossing above SMA (50, close) on $BTCUSD, 1h </t>
  </si>
  <si>
    <t xml:space="preserve"> Sat Feb 03 2018 17:07:24</t>
  </si>
  <si>
    <t xml:space="preserve"> Yall niggas talking about bitcoin My cryptocurrency is Microsoft Points</t>
  </si>
  <si>
    <t xml:space="preserve"> Williamsburg, VA</t>
  </si>
  <si>
    <t xml:space="preserve"> Sat Feb 03 2018 17:07:28</t>
  </si>
  <si>
    <t xml:space="preserve"> *goes to check Bitcoin balance, the account is empty* Somebody toucha ma Bitcoin</t>
  </si>
  <si>
    <t xml:space="preserve"> T****3 </t>
  </si>
  <si>
    <t xml:space="preserve"> Sat Feb 03 2018 17:07:29</t>
  </si>
  <si>
    <t xml:space="preserve"> Bitcoin and ethereum will survive theyre not Ponzi schemes Davor is going disappear with all your money</t>
  </si>
  <si>
    <t xml:space="preserve"> E****6 </t>
  </si>
  <si>
    <t xml:space="preserve"> Sat Feb 03 2018 17:07:34</t>
  </si>
  <si>
    <t xml:space="preserve"> BTC &amp; ETH is start to rising again guyz. </t>
  </si>
  <si>
    <t xml:space="preserve"> Sat Feb 03 2018 17:07:35</t>
  </si>
  <si>
    <t xml:space="preserve"> Really just checked my coinbase account and someone been sending me bitcoin &amp; I didn't even know it LMAOOOOOO</t>
  </si>
  <si>
    <t xml:space="preserve"> Always Strive And Prosper</t>
  </si>
  <si>
    <t xml:space="preserve"> Sat Feb 03 2018 17:08:04</t>
  </si>
  <si>
    <t xml:space="preserve"> Bitcoin Target 9800 to $10,500.. volume is looking good at the moment.</t>
  </si>
  <si>
    <t xml:space="preserve"> Sat Feb 03 2018 17:08:18</t>
  </si>
  <si>
    <t xml:space="preserve"> 1730GMT Has the bubble burst? asks our panel on </t>
  </si>
  <si>
    <t xml:space="preserve"> Doha, Qatar</t>
  </si>
  <si>
    <t xml:space="preserve"> Sat Feb 03 2018 17:08:55</t>
  </si>
  <si>
    <t xml:space="preserve"> Bitcoin is such an opportunity for people to set up their future. Dont miss out on this.</t>
  </si>
  <si>
    <t xml:space="preserve"> Sat Feb 03 2018 17:09:14</t>
  </si>
  <si>
    <t xml:space="preserve"> Correcting wrong or strange Kanji tattoo designs. 1revision0.00005bitcoin Give me DM or reply. </t>
  </si>
  <si>
    <t xml:space="preserve"> Sat Feb 03 2018 17:09:23</t>
  </si>
  <si>
    <t xml:space="preserve"> Most of them probably don't know what are a bitcoin and a bubble.</t>
  </si>
  <si>
    <t xml:space="preserve"> C****K </t>
  </si>
  <si>
    <t xml:space="preserve"> Sat Feb 03 2018 17:09:42</t>
  </si>
  <si>
    <t xml:space="preserve"> LONG LIVE BITCOIN ! And the BANKER KILLER POPULOUS ! GO PPT !</t>
  </si>
  <si>
    <t xml:space="preserve"> U****t </t>
  </si>
  <si>
    <t xml:space="preserve"> Sat Feb 03 2018 17:10:05</t>
  </si>
  <si>
    <t xml:space="preserve"> Bitcoin BTC Current Price: $9248.94 1 Hour: 0.11 % | 24 Hours: 4.14 % | 7 Days: -18.51 % </t>
  </si>
  <si>
    <t xml:space="preserve"> Sat Feb 03 2018 17:10:13</t>
  </si>
  <si>
    <t xml:space="preserve"> Wait, I heard there was backed by bananas. My advisor suggests I should go ballz deep. Yeah, sure mate. What ever you say.</t>
  </si>
  <si>
    <t xml:space="preserve"> k****u </t>
  </si>
  <si>
    <t xml:space="preserve"> Sat Feb 03 2018 17:10:19</t>
  </si>
  <si>
    <t xml:space="preserve"> my baby is a Bitcoin</t>
  </si>
  <si>
    <t xml:space="preserve"> chicago</t>
  </si>
  <si>
    <t xml:space="preserve"> Sat Feb 03 2018 17:10:24</t>
  </si>
  <si>
    <t xml:space="preserve"> From his tweets it seems Peters emotions has more volatility than </t>
  </si>
  <si>
    <t xml:space="preserve"> Sat Feb 03 2018 17:10:42</t>
  </si>
  <si>
    <t xml:space="preserve"> Bitfortip will help more people get into . It's the killer that everyone is looking for to spread and ;)</t>
  </si>
  <si>
    <t xml:space="preserve"> b****p </t>
  </si>
  <si>
    <t xml:space="preserve"> The blockchain</t>
  </si>
  <si>
    <t xml:space="preserve"> el</t>
  </si>
  <si>
    <t xml:space="preserve"> Sat Feb 03 2018 17:10:53</t>
  </si>
  <si>
    <t xml:space="preserve"> Bought me some bitcoin &amp; i let it sit</t>
  </si>
  <si>
    <t xml:space="preserve"> J****u </t>
  </si>
  <si>
    <t xml:space="preserve"> 24 htx</t>
  </si>
  <si>
    <t xml:space="preserve"> Sat Feb 03 2018 17:11:21</t>
  </si>
  <si>
    <t xml:space="preserve"> because mining bitcoin is very environmentally friendly </t>
  </si>
  <si>
    <t xml:space="preserve"> Sat Feb 03 2018 17:11:28</t>
  </si>
  <si>
    <t xml:space="preserve"> it's the new bitcoin!</t>
  </si>
  <si>
    <t xml:space="preserve"> Iowa</t>
  </si>
  <si>
    <t xml:space="preserve"> Sat Feb 03 2018 17:12:13</t>
  </si>
  <si>
    <t xml:space="preserve"> I lost my bitcoin is the new my mom threw out my baseball cards</t>
  </si>
  <si>
    <t xml:space="preserve"> m****v </t>
  </si>
  <si>
    <t xml:space="preserve"> Sat Feb 03 2018 17:12:19</t>
  </si>
  <si>
    <t xml:space="preserve"> Better returns on the graphics card than the bitcoin</t>
  </si>
  <si>
    <t xml:space="preserve"> Sat Feb 03 2018 17:12:20</t>
  </si>
  <si>
    <t xml:space="preserve"> My recording and distribution costs were $1, and so far I've made $2. 100% profit, baby. I'm basically a young Bitcoin.</t>
  </si>
  <si>
    <t xml:space="preserve"> o****c </t>
  </si>
  <si>
    <t xml:space="preserve"> Oswego, NY</t>
  </si>
  <si>
    <t xml:space="preserve"> Sat Feb 03 2018 17:12:38</t>
  </si>
  <si>
    <t xml:space="preserve"> hint bitcoin sites can be confusing also hint we got it in good also hint i probably wouldnt have tweeted about it if i had won</t>
  </si>
  <si>
    <t xml:space="preserve"> i****8 </t>
  </si>
  <si>
    <t xml:space="preserve"> Sat Feb 03 2018 17:13:28</t>
  </si>
  <si>
    <t xml:space="preserve"> why havent I received the bitcoin cash I was apparently promised from the fork?</t>
  </si>
  <si>
    <t xml:space="preserve"> Sat Feb 03 2018 17:13:32</t>
  </si>
  <si>
    <t xml:space="preserve"> Can you lend me some bitcoin? Sure, let me check my fridge </t>
  </si>
  <si>
    <t xml:space="preserve"> f****d </t>
  </si>
  <si>
    <t xml:space="preserve"> Copenhagen</t>
  </si>
  <si>
    <t xml:space="preserve"> Sat Feb 03 2018 17:13:34</t>
  </si>
  <si>
    <t xml:space="preserve"> You also should believe in the separation of money and state and emrace Bitcoin.</t>
  </si>
  <si>
    <t xml:space="preserve"> Sat Feb 03 2018 17:13:40</t>
  </si>
  <si>
    <t xml:space="preserve"> You talk about these facts when Bitcoin is down 50%+ but don't mention then when it's going parabolic</t>
  </si>
  <si>
    <t xml:space="preserve"> Sat Feb 03 2018 17:13:53</t>
  </si>
  <si>
    <t xml:space="preserve"> with </t>
  </si>
  <si>
    <t xml:space="preserve"> Sat Feb 03 2018 17:13:57</t>
  </si>
  <si>
    <t xml:space="preserve"> Following the chart action last few days has been nothing short of exhilarating</t>
  </si>
  <si>
    <t xml:space="preserve"> Tucson, Arizona</t>
  </si>
  <si>
    <t xml:space="preserve"> Sat Feb 03 2018 17:14:14</t>
  </si>
  <si>
    <t xml:space="preserve"> Total joke now got better current form than us</t>
  </si>
  <si>
    <t xml:space="preserve"> b****2 </t>
  </si>
  <si>
    <t xml:space="preserve"> Warrington, UK</t>
  </si>
  <si>
    <t xml:space="preserve"> Sat Feb 03 2018 17:14:17</t>
  </si>
  <si>
    <t xml:space="preserve"> shall look into bitcoin? If so can you give me a heads up where?</t>
  </si>
  <si>
    <t xml:space="preserve"> d****0 </t>
  </si>
  <si>
    <t xml:space="preserve"> Sat Feb 03 2018 17:14:50</t>
  </si>
  <si>
    <t xml:space="preserve"> And you guys been telling people to sell you might as well just give them your bitcoin address</t>
  </si>
  <si>
    <t xml:space="preserve"> c****8 </t>
  </si>
  <si>
    <t xml:space="preserve"> Stockton, CA</t>
  </si>
  <si>
    <t xml:space="preserve"> Sat Feb 03 2018 17:14:52</t>
  </si>
  <si>
    <t xml:space="preserve"> Watch this video to understand how Cibus will change the FOOD Industry. </t>
  </si>
  <si>
    <t xml:space="preserve"> Sat Feb 03 2018 17:14:59</t>
  </si>
  <si>
    <t xml:space="preserve"> We had bitcoin in 1977 already.</t>
  </si>
  <si>
    <t xml:space="preserve"> Sat Feb 03 2018 17:15:02</t>
  </si>
  <si>
    <t xml:space="preserve"> The current price of Bitcoin is $9304.71. The current price of BCash is $1261.24, or 0.135106 BTC</t>
  </si>
  <si>
    <t xml:space="preserve"> Sat Feb 03 2018 17:15:05</t>
  </si>
  <si>
    <t xml:space="preserve"> G20 is about regulating ICOs and KYC. Not about banning . $btc </t>
  </si>
  <si>
    <t xml:space="preserve"> San Francisco</t>
  </si>
  <si>
    <t xml:space="preserve"> Sat Feb 03 2018 17:15:24</t>
  </si>
  <si>
    <t xml:space="preserve"> No further detail is needed. Its no to all points.</t>
  </si>
  <si>
    <t xml:space="preserve"> Sat Feb 03 2018 17:15:52</t>
  </si>
  <si>
    <t xml:space="preserve"> Cryptocurrency: Price USD: 9322.66 Price BTC: 1.0 24h Volume USD: 7777970000.0 Percent change 24h: 4.99</t>
  </si>
  <si>
    <t xml:space="preserve"> Sat Feb 03 2018 17:16:04</t>
  </si>
  <si>
    <t xml:space="preserve"> Latest Bitcoin Price: $9328.15 USD for 1 BTC </t>
  </si>
  <si>
    <t xml:space="preserve"> Sat Feb 03 2018 17:16:09</t>
  </si>
  <si>
    <t xml:space="preserve"> When can the Bitcoin good be claimed on coinomiwallet</t>
  </si>
  <si>
    <t xml:space="preserve"> W****2 </t>
  </si>
  <si>
    <t xml:space="preserve"> Sat Feb 03 2018 17:16:45</t>
  </si>
  <si>
    <t xml:space="preserve"> Force people onto the Lightning Network by capping the Bitcoin blocksize to 1 megabyte, simple.</t>
  </si>
  <si>
    <t xml:space="preserve"> M****K </t>
  </si>
  <si>
    <t xml:space="preserve"> Sat Feb 03 2018 17:16:47</t>
  </si>
  <si>
    <t xml:space="preserve"> Everyone stopped talking about bitcoin really quick?</t>
  </si>
  <si>
    <t xml:space="preserve"> k****d </t>
  </si>
  <si>
    <t xml:space="preserve"> Sat Feb 03 2018 17:16:48</t>
  </si>
  <si>
    <t xml:space="preserve"> Bitcoin will force people to educate them self on security and IT in general. This is really a blessing</t>
  </si>
  <si>
    <t xml:space="preserve"> Sat Feb 03 2018 17:17:01</t>
  </si>
  <si>
    <t xml:space="preserve"> When can Bitcoin God be claimed on coinomi wallet</t>
  </si>
  <si>
    <t xml:space="preserve"> Sat Feb 03 2018 17:17:03</t>
  </si>
  <si>
    <t xml:space="preserve"> [i spray hairspray into my bitcoin to someone back in.</t>
  </si>
  <si>
    <t xml:space="preserve"> F****N </t>
  </si>
  <si>
    <t xml:space="preserve"> Sat Feb 03 2018 17:17:05</t>
  </si>
  <si>
    <t xml:space="preserve"> Bitcoin Cash BCH Current Price: $1261.24 1 Hour: 1.56 % | 24 Hours: 5.38 % | 7 Days: -22.46 % cash</t>
  </si>
  <si>
    <t xml:space="preserve"> Sat Feb 03 2018 17:17:27</t>
  </si>
  <si>
    <t xml:space="preserve"> Yassss! China will not ban bitcoin!</t>
  </si>
  <si>
    <t xml:space="preserve"> Sat Feb 03 2018 17:17:32</t>
  </si>
  <si>
    <t xml:space="preserve"> Help do I sell bitcoin???</t>
  </si>
  <si>
    <t xml:space="preserve"> Temple University</t>
  </si>
  <si>
    <t xml:space="preserve"> Sat Feb 03 2018 17:17:33</t>
  </si>
  <si>
    <t xml:space="preserve"> well I found where you can track bitcoin in the app but its not tracking the growth of what we purchased right?</t>
  </si>
  <si>
    <t xml:space="preserve"> Fort Smith</t>
  </si>
  <si>
    <t xml:space="preserve"> Sat Feb 03 2018 17:17:44</t>
  </si>
  <si>
    <t xml:space="preserve"> a population of just over 7 billion people today. On average, this means the average person owns just under 0.003 bitcoin. lmao</t>
  </si>
  <si>
    <t xml:space="preserve"> j****c </t>
  </si>
  <si>
    <t xml:space="preserve"> Sat Feb 03 2018 17:18:33</t>
  </si>
  <si>
    <t xml:space="preserve"> Correlation between price of yeezys &amp; price of bitcoin?? </t>
  </si>
  <si>
    <t xml:space="preserve"> Sat Feb 03 2018 17:19:01</t>
  </si>
  <si>
    <t xml:space="preserve"> I believe in the concept of Bitcoin but I don't believe in any logic of its trading.</t>
  </si>
  <si>
    <t xml:space="preserve"> B-ville</t>
  </si>
  <si>
    <t xml:space="preserve"> Sat Feb 03 2018 17:19:02</t>
  </si>
  <si>
    <t xml:space="preserve"> when are u going to sync the bitcoin holders addresses?</t>
  </si>
  <si>
    <t xml:space="preserve"> Sat Feb 03 2018 17:19:24</t>
  </si>
  <si>
    <t xml:space="preserve"> Its crazy but its a trend that wont last so expect to see a lot of used cards on the market whenever bitcoin fails.</t>
  </si>
  <si>
    <t xml:space="preserve"> Sat Feb 03 2018 17:19:31</t>
  </si>
  <si>
    <t xml:space="preserve"> Be nice to . Today's nocoiners are tomorrow's Bitcoin proponents. In a long enough timeline, everyone is a Bitcoiner.</t>
  </si>
  <si>
    <t xml:space="preserve"> f****i </t>
  </si>
  <si>
    <t xml:space="preserve"> Nomadic</t>
  </si>
  <si>
    <t xml:space="preserve"> Sat Feb 03 2018 17:19:36</t>
  </si>
  <si>
    <t xml:space="preserve"> The Current Bitcoin Price is 0.00010807 BTC for $1 USD </t>
  </si>
  <si>
    <t xml:space="preserve"> Sat Feb 03 2018 17:19:45</t>
  </si>
  <si>
    <t xml:space="preserve"> And at the same time, rallies and cryptocurrencies start an uptrend. See the connection?</t>
  </si>
  <si>
    <t xml:space="preserve"> Sat Feb 03 2018 17:20:08</t>
  </si>
  <si>
    <t xml:space="preserve"> More like the hair of Bitcoin, amirite?</t>
  </si>
  <si>
    <t xml:space="preserve"> 9****_ </t>
  </si>
  <si>
    <t xml:space="preserve"> Symbols not my preference</t>
  </si>
  <si>
    <t xml:space="preserve"> Sat Feb 03 2018 17:21:00</t>
  </si>
  <si>
    <t xml:space="preserve"> Hacker Steals $150,000 From Cryptocurrency ICO Participants Via Breach And Phishing Attack </t>
  </si>
  <si>
    <t xml:space="preserve"> Sat Feb 03 2018 17:21:16</t>
  </si>
  <si>
    <t xml:space="preserve"> 0,051 bitcoin</t>
  </si>
  <si>
    <t xml:space="preserve"> F****_ </t>
  </si>
  <si>
    <t xml:space="preserve"> `bbcnews SSHHH, Bitcoin has been taking off again but those who rely on corpmedia to inform and educate are left in the dark UNLESS it dives</t>
  </si>
  <si>
    <t xml:space="preserve"> A little house in the outback.</t>
  </si>
  <si>
    <t xml:space="preserve"> Sat Feb 03 2018 17:21:56</t>
  </si>
  <si>
    <t xml:space="preserve"> Bitcoin Mining Rigs - To facilitate same</t>
  </si>
  <si>
    <t xml:space="preserve"> Sat Feb 03 2018 17:21:57</t>
  </si>
  <si>
    <t xml:space="preserve"> John, what do you think about BCH (BITCOIN CASH) IN THE NEXT 6 MOS.</t>
  </si>
  <si>
    <t xml:space="preserve"> h****a </t>
  </si>
  <si>
    <t xml:space="preserve"> Sat Feb 03 2018 17:22:01</t>
  </si>
  <si>
    <t xml:space="preserve"> Yesterday kissed low of $ 7540 Now at $ 9476 !!!!</t>
  </si>
  <si>
    <t xml:space="preserve"> I****i </t>
  </si>
  <si>
    <t xml:space="preserve"> Gujarat, India</t>
  </si>
  <si>
    <t xml:space="preserve"> Sat Feb 03 2018 17:22:06</t>
  </si>
  <si>
    <t xml:space="preserve"> You are charging normal bank accounts super high fees to buy bitcoin with Terrible</t>
  </si>
  <si>
    <t xml:space="preserve"> Lafayette, LA</t>
  </si>
  <si>
    <t xml:space="preserve"> Sat Feb 03 2018 17:22:10</t>
  </si>
  <si>
    <t xml:space="preserve"> Breaking News: Traders currently shorting $BTC are barred from subsequent Long profits </t>
  </si>
  <si>
    <t xml:space="preserve"> NYC/LA</t>
  </si>
  <si>
    <t xml:space="preserve"> Sat Feb 03 2018 17:22:22</t>
  </si>
  <si>
    <t xml:space="preserve"> People learn things like 2FA because of Bitcoin. This is so much more than money.</t>
  </si>
  <si>
    <t xml:space="preserve"> Sat Feb 03 2018 17:22:39</t>
  </si>
  <si>
    <t xml:space="preserve"> Will $BTCUSD be at $10,000 by Monday? </t>
  </si>
  <si>
    <t xml:space="preserve"> Denver</t>
  </si>
  <si>
    <t xml:space="preserve"> Sat Feb 03 2018 17:22:46</t>
  </si>
  <si>
    <t xml:space="preserve"> &gt; liquidating shorts Yep. That'll happen if you short the 200 SMA touch.</t>
  </si>
  <si>
    <t xml:space="preserve"> R****g </t>
  </si>
  <si>
    <t xml:space="preserve"> Wonderland</t>
  </si>
  <si>
    <t xml:space="preserve"> Sat Feb 03 2018 17:23:08</t>
  </si>
  <si>
    <t xml:space="preserve"> ln short there bitcoin vision is not bitcoin.</t>
  </si>
  <si>
    <t xml:space="preserve"> Sat Feb 03 2018 17:23:28</t>
  </si>
  <si>
    <t xml:space="preserve"> Hodl rhymes with coddle.I coddle my bitcoin by hodl-ing them (in a cold storage hardware wallet of course)</t>
  </si>
  <si>
    <t xml:space="preserve"> Sat Feb 03 2018 17:23:41</t>
  </si>
  <si>
    <t xml:space="preserve"> Hacking satoshi wallet? Good idea</t>
  </si>
  <si>
    <t xml:space="preserve"> a****9 </t>
  </si>
  <si>
    <t xml:space="preserve"> Sat Feb 03 2018 17:23:57</t>
  </si>
  <si>
    <t xml:space="preserve"> Bitcoin vs BCash...anyone?</t>
  </si>
  <si>
    <t xml:space="preserve"> Sat Feb 03 2018 17:23:59</t>
  </si>
  <si>
    <t xml:space="preserve"> Do bitcoin fund manager</t>
  </si>
  <si>
    <t xml:space="preserve"> Sat Feb 03 2018 17:24:04</t>
  </si>
  <si>
    <t xml:space="preserve"> As of September 2017, one bitcoin was equal to nearly $4,000 USD and $4,900 Canadian, according to the CoinDesk calculator.</t>
  </si>
  <si>
    <t xml:space="preserve"> Sat Feb 03 2018 17:24:15</t>
  </si>
  <si>
    <t xml:space="preserve"> I bet that he already has Bitcoin and wants it for even cheaper!</t>
  </si>
  <si>
    <t xml:space="preserve"> Sat Feb 03 2018 17:24:17</t>
  </si>
  <si>
    <t xml:space="preserve"> Liberals hate bitcoin but theyll be the first ones asking for redistribution of it post hyperbitcoinization</t>
  </si>
  <si>
    <t xml:space="preserve"> B****p </t>
  </si>
  <si>
    <t xml:space="preserve"> I bumped into the guy who i told to buy Bitcoin at 14k. He gave me a kiss !!</t>
  </si>
  <si>
    <t xml:space="preserve"> Sat Feb 03 2018 17:24:19</t>
  </si>
  <si>
    <t xml:space="preserve"> The current value of BTC at 03:24:08 on 04/02/2018 (AEST) is $11,349.00 AUD. </t>
  </si>
  <si>
    <t xml:space="preserve"> Sat Feb 03 2018 17:24:21</t>
  </si>
  <si>
    <t xml:space="preserve"> The fundamentals for Bitcoin are getting better every day -- as the price is getting cheaper</t>
  </si>
  <si>
    <t xml:space="preserve"> r****v </t>
  </si>
  <si>
    <t xml:space="preserve"> Same Place as You</t>
  </si>
  <si>
    <t xml:space="preserve"> Sat Feb 03 2018 17:24:31</t>
  </si>
  <si>
    <t xml:space="preserve"> Yes would like to know all those icons as well</t>
  </si>
  <si>
    <t xml:space="preserve"> Sat Feb 03 2018 17:24:45</t>
  </si>
  <si>
    <t xml:space="preserve"> If you have to use a separate network with a different wallet it's not . In before is the real $BTC.</t>
  </si>
  <si>
    <t xml:space="preserve"> the moon</t>
  </si>
  <si>
    <t xml:space="preserve"> Sat Feb 03 2018 17:25:19</t>
  </si>
  <si>
    <t xml:space="preserve"> Here's what I always see: Bitcoin is a bubble! *Has bank full of Fiat currency*.</t>
  </si>
  <si>
    <t xml:space="preserve"> b****0 </t>
  </si>
  <si>
    <t xml:space="preserve"> So IL</t>
  </si>
  <si>
    <t xml:space="preserve"> Sat Feb 03 2018 17:25:28</t>
  </si>
  <si>
    <t xml:space="preserve"> LOL, there's a lot of people like this Bella, please ignore them, all you have to do is buy Bitcoin below 9k and your good</t>
  </si>
  <si>
    <t xml:space="preserve"> Sat Feb 03 2018 17:26:04</t>
  </si>
  <si>
    <t xml:space="preserve"> Seems</t>
  </si>
  <si>
    <t xml:space="preserve"> e****9 </t>
  </si>
  <si>
    <t xml:space="preserve"> Sat Feb 03 2018 17:26:07</t>
  </si>
  <si>
    <t xml:space="preserve"> it's the perfect time to throw ass for bitcoin</t>
  </si>
  <si>
    <t xml:space="preserve"> _****r </t>
  </si>
  <si>
    <t xml:space="preserve"> Sat Feb 03 2018 17:26:10</t>
  </si>
  <si>
    <t xml:space="preserve"> looking at these bitcoin charts...and its like the cloud doesnt even matter at this point...just basics..support, resistance, volume</t>
  </si>
  <si>
    <t xml:space="preserve"> T****m </t>
  </si>
  <si>
    <t xml:space="preserve"> A bar near you...</t>
  </si>
  <si>
    <t xml:space="preserve"> Sat Feb 03 2018 17:26:24</t>
  </si>
  <si>
    <t xml:space="preserve"> Can you photoshop Bitcoin logo hitting him in the end like a cannonball?</t>
  </si>
  <si>
    <t xml:space="preserve"> N****A </t>
  </si>
  <si>
    <t xml:space="preserve"> Sat Feb 03 2018 17:26:46</t>
  </si>
  <si>
    <t xml:space="preserve"> Yo Memo was so overvalued, it makes bitcoin seem like a good deal. </t>
  </si>
  <si>
    <t xml:space="preserve"> Sat Feb 03 2018 17:26:59</t>
  </si>
  <si>
    <t xml:space="preserve"> People put all the faith in the world on smart contracts, but adopting flies right under their radar. SMH</t>
  </si>
  <si>
    <t xml:space="preserve"> Sacramento, CA</t>
  </si>
  <si>
    <t xml:space="preserve"> Sat Feb 03 2018 17:27:12</t>
  </si>
  <si>
    <t xml:space="preserve"> $bcpt looking to hit a $1.00 today! </t>
  </si>
  <si>
    <t xml:space="preserve"> J****9 </t>
  </si>
  <si>
    <t xml:space="preserve"> Sat Feb 03 2018 17:27:23</t>
  </si>
  <si>
    <t xml:space="preserve"> Will they take bitcoin or litecoin for payment? :-)</t>
  </si>
  <si>
    <t xml:space="preserve"> Colorado</t>
  </si>
  <si>
    <t xml:space="preserve"> Sat Feb 03 2018 17:28:26</t>
  </si>
  <si>
    <t xml:space="preserve"> The problem with seeing that future for bitcoin is that technology obsoletes.</t>
  </si>
  <si>
    <t xml:space="preserve"> Sat Feb 03 2018 17:29:24</t>
  </si>
  <si>
    <t xml:space="preserve"> here is a great app for the space </t>
  </si>
  <si>
    <t xml:space="preserve"> Sat Feb 03 2018 17:29:32</t>
  </si>
  <si>
    <t xml:space="preserve"> Typical in crypto should have bough Bitcoin yesterday $BTC</t>
  </si>
  <si>
    <t xml:space="preserve"> Sat Feb 03 2018 17:29:42</t>
  </si>
  <si>
    <t xml:space="preserve"> Going to gift some bitcoin to the newlyweds?</t>
  </si>
  <si>
    <t xml:space="preserve"> Bismarck, ND</t>
  </si>
  <si>
    <t xml:space="preserve"> Sat Feb 03 2018 17:29:49</t>
  </si>
  <si>
    <t xml:space="preserve"> Bitcoin is buy more ripple.</t>
  </si>
  <si>
    <t xml:space="preserve"> Sat Feb 03 2018 17:29:54</t>
  </si>
  <si>
    <t xml:space="preserve"> Wow. I had not checked bitcoin price since late last night and we have bounced up from a low of 7,625.25 to an intraday high of 9,443.96.</t>
  </si>
  <si>
    <t xml:space="preserve"> Sat Feb 03 2018 17:30:01</t>
  </si>
  <si>
    <t xml:space="preserve"> Let's change it. Let's call it hoarding. Or hoard bitcoin. Is that better?</t>
  </si>
  <si>
    <t xml:space="preserve"> Somewhere over the rainbow, way up high</t>
  </si>
  <si>
    <t xml:space="preserve"> Sat Feb 03 2018 17:30:02</t>
  </si>
  <si>
    <t xml:space="preserve"> Could we see a cryptoUSD? Sure, maybe. But that would be used instead of bitcoin.</t>
  </si>
  <si>
    <t xml:space="preserve"> Sat Feb 03 2018 17:30:03</t>
  </si>
  <si>
    <t xml:space="preserve"> BITCOIN GOING CRAZY TODAY. WOOOOOOOO</t>
  </si>
  <si>
    <t xml:space="preserve"> Bitcoin:$9274.87 Ethereum:$969.453 Bitcoin Cash:$1251.24 Litecoin:$147.505 Ripple:$0.933653 IOTA:$1.98092</t>
  </si>
  <si>
    <t xml:space="preserve"> Sat Feb 03 2018 17:30:05</t>
  </si>
  <si>
    <t xml:space="preserve"> And Bitcoin ?????</t>
  </si>
  <si>
    <t xml:space="preserve"> Amsterdam, The Netherlands</t>
  </si>
  <si>
    <t xml:space="preserve"> Sat Feb 03 2018 17:30:13</t>
  </si>
  <si>
    <t xml:space="preserve"> Bitcoin price is dependent on tether, which is backed by a single company. Doesn't sound like Ripple at all.</t>
  </si>
  <si>
    <t xml:space="preserve"> r****j </t>
  </si>
  <si>
    <t xml:space="preserve"> Sat Feb 03 2018 17:30:16</t>
  </si>
  <si>
    <t xml:space="preserve"> Happy as hell Bitcoin going back up and its all star Saturdays tonight at opyum!!!</t>
  </si>
  <si>
    <t xml:space="preserve"> i****3 </t>
  </si>
  <si>
    <t xml:space="preserve"> DETROIT MIAMI TEXAS DMV LA PHI</t>
  </si>
  <si>
    <t xml:space="preserve"> Sat Feb 03 2018 17:30:32</t>
  </si>
  <si>
    <t xml:space="preserve"> In This Storm, Be Hopeful </t>
  </si>
  <si>
    <t xml:space="preserve"> d****x </t>
  </si>
  <si>
    <t xml:space="preserve"> Sat Feb 03 2018 17:30:41</t>
  </si>
  <si>
    <t xml:space="preserve"> Says Bitcoin is a bubble... Has bank full of Fiat debtor currency.... Seems legit.</t>
  </si>
  <si>
    <t xml:space="preserve"> Sat Feb 03 2018 17:30:57</t>
  </si>
  <si>
    <t xml:space="preserve"> Crypto is up, its the weekend, what more do you want? </t>
  </si>
  <si>
    <t xml:space="preserve"> 2****p </t>
  </si>
  <si>
    <t xml:space="preserve"> in the Ether</t>
  </si>
  <si>
    <t xml:space="preserve"> Sat Feb 03 2018 17:31:03</t>
  </si>
  <si>
    <t xml:space="preserve"> Maybe you should read the Bitcoin whitepaper. Its only 8 pages.</t>
  </si>
  <si>
    <t xml:space="preserve"> Cork, Ireland. </t>
  </si>
  <si>
    <t xml:space="preserve"> Sat Feb 03 2018 17:31:12</t>
  </si>
  <si>
    <t xml:space="preserve"> Hello humans, is currently around $9274.87 as of Sat Feb 3 11:31:08 CST 2018</t>
  </si>
  <si>
    <t xml:space="preserve"> Sat Feb 03 2018 17:31:13</t>
  </si>
  <si>
    <t xml:space="preserve"> Cmon mate, thats quite normal for bitcoin :)</t>
  </si>
  <si>
    <t xml:space="preserve"> l****w </t>
  </si>
  <si>
    <t xml:space="preserve"> City of London, London</t>
  </si>
  <si>
    <t xml:space="preserve"> Sat Feb 03 2018 17:31:19</t>
  </si>
  <si>
    <t xml:space="preserve"> Here we go again. </t>
  </si>
  <si>
    <t xml:space="preserve"> Bellingham, WA</t>
  </si>
  <si>
    <t xml:space="preserve"> Sat Feb 03 2018 17:31:26</t>
  </si>
  <si>
    <t xml:space="preserve"> Bitcoin doesn't actually exist</t>
  </si>
  <si>
    <t xml:space="preserve"> N****b </t>
  </si>
  <si>
    <t xml:space="preserve"> Antarctica</t>
  </si>
  <si>
    <t xml:space="preserve"> Sat Feb 03 2018 17:31:47</t>
  </si>
  <si>
    <t xml:space="preserve"> Keep .. the fun still not their yet ... wait </t>
  </si>
  <si>
    <t xml:space="preserve"> Sat Feb 03 2018 17:31:48</t>
  </si>
  <si>
    <t xml:space="preserve"> I just found out about the 19-year-old Bitcoin millionaire, and I'm ready to be euthanized now.</t>
  </si>
  <si>
    <t xml:space="preserve"> Galesburg, IL</t>
  </si>
  <si>
    <t xml:space="preserve"> Sat Feb 03 2018 17:31:50</t>
  </si>
  <si>
    <t xml:space="preserve"> damn i can't believe bitcoin is 50k already hells yeah</t>
  </si>
  <si>
    <t xml:space="preserve"> T****w </t>
  </si>
  <si>
    <t xml:space="preserve"> around</t>
  </si>
  <si>
    <t xml:space="preserve"> Sat Feb 03 2018 17:31:52</t>
  </si>
  <si>
    <t xml:space="preserve"> Exactly bitcoin got game, too the moon</t>
  </si>
  <si>
    <t xml:space="preserve"> Sat Feb 03 2018 17:32:27</t>
  </si>
  <si>
    <t xml:space="preserve"> Waiting for Bitcoin to take off so I can get a used 2014 Toyota Camry. Treat yourself.</t>
  </si>
  <si>
    <t xml:space="preserve"> t****m </t>
  </si>
  <si>
    <t xml:space="preserve"> Sat Feb 03 2018 17:33:03</t>
  </si>
  <si>
    <t xml:space="preserve"> is recovering from thr flu.</t>
  </si>
  <si>
    <t xml:space="preserve"> B****E </t>
  </si>
  <si>
    <t xml:space="preserve"> A filled-up Hollow Earth</t>
  </si>
  <si>
    <t xml:space="preserve"> Sat Feb 03 2018 17:33:07</t>
  </si>
  <si>
    <t xml:space="preserve"> Great , like POTUS boast about the DJI up , but no jobs , who cares , has no use.</t>
  </si>
  <si>
    <t xml:space="preserve"> Sat Feb 03 2018 17:33:30</t>
  </si>
  <si>
    <t xml:space="preserve"> Are you sure this is not a bitcoin address?</t>
  </si>
  <si>
    <t xml:space="preserve"> i****m </t>
  </si>
  <si>
    <t xml:space="preserve"> Scotland</t>
  </si>
  <si>
    <t xml:space="preserve"> Sat Feb 03 2018 17:33:46</t>
  </si>
  <si>
    <t xml:space="preserve"> It is as much a weakness as a strength, but the defining nature of bitcoin is that of a story. A story written in immutable code.</t>
  </si>
  <si>
    <t xml:space="preserve"> UTC</t>
  </si>
  <si>
    <t xml:space="preserve"> Sat Feb 03 2018 17:33:53</t>
  </si>
  <si>
    <t xml:space="preserve"> You understand that bitcoin was at 3k 6 months ago right? Or do you just refuse to open daily candlesticks.</t>
  </si>
  <si>
    <t xml:space="preserve"> Tempe, AZ</t>
  </si>
  <si>
    <t xml:space="preserve"> Sat Feb 03 2018 17:33:58</t>
  </si>
  <si>
    <t xml:space="preserve"> Whose burning? We are up more than 10X since Krugman called bitcoin evil.</t>
  </si>
  <si>
    <t xml:space="preserve"> n****v </t>
  </si>
  <si>
    <t xml:space="preserve"> Sat Feb 03 2018 17:34:34</t>
  </si>
  <si>
    <t xml:space="preserve"> Bitcoin is up over 700% since last year and moving up again now. Get your facts straight </t>
  </si>
  <si>
    <t xml:space="preserve"> Sat Feb 03 2018 17:34:38</t>
  </si>
  <si>
    <t xml:space="preserve"> Bitcoin cannot fail: It can only be failed.</t>
  </si>
  <si>
    <t xml:space="preserve"> The Flower City</t>
  </si>
  <si>
    <t xml:space="preserve"> Sat Feb 03 2018 17:34:44</t>
  </si>
  <si>
    <t xml:space="preserve"> Bitcoin is a commodity and offers many services. You can call it a ponzi but just makes you look foolish.</t>
  </si>
  <si>
    <t xml:space="preserve"> Sat Feb 03 2018 17:35:02</t>
  </si>
  <si>
    <t xml:space="preserve"> ZEBPAY BITCOIN WALLET HOW TO BUY BITCOIN INSTANTLY || ?:</t>
  </si>
  <si>
    <t xml:space="preserve"> Bazpur, India</t>
  </si>
  <si>
    <t xml:space="preserve"> Sat Feb 03 2018 17:35:10</t>
  </si>
  <si>
    <t xml:space="preserve"> This is my first time seeing a bitcoin correction like this. I will be more prepared and educated for the next one</t>
  </si>
  <si>
    <t xml:space="preserve"> K****0 </t>
  </si>
  <si>
    <t xml:space="preserve"> Sat Feb 03 2018 17:35:24</t>
  </si>
  <si>
    <t xml:space="preserve"> Blockchain, Bitcoin, cryptocurrency and all the things we think we know, but are probably faking | Ladders</t>
  </si>
  <si>
    <t xml:space="preserve"> Sat Feb 03 2018 17:35:33</t>
  </si>
  <si>
    <t xml:space="preserve"> Optimal tx fee: 60 satoshi per byte. BTC : $9282 / 7448 / 6572 Block 507463. Market Cap: 158.49B USD. </t>
  </si>
  <si>
    <t xml:space="preserve"> Sat Feb 03 2018 17:35:41</t>
  </si>
  <si>
    <t xml:space="preserve"> You can do that with bitcoin paper wallet</t>
  </si>
  <si>
    <t xml:space="preserve"> Sat Feb 03 2018 17:35:52</t>
  </si>
  <si>
    <t xml:space="preserve"> Better money. FTW </t>
  </si>
  <si>
    <t xml:space="preserve"> Sat Feb 03 2018 17:36:08</t>
  </si>
  <si>
    <t xml:space="preserve"> Bitcoin should tip back over to $10k this weekend, if it holds... We're back. :-)</t>
  </si>
  <si>
    <t xml:space="preserve"> Sat Feb 03 2018 17:36:11</t>
  </si>
  <si>
    <t xml:space="preserve"> Investier in Bitcoin.</t>
  </si>
  <si>
    <t xml:space="preserve"> h****_ </t>
  </si>
  <si>
    <t xml:space="preserve"> SinCity.</t>
  </si>
  <si>
    <t xml:space="preserve"> Sat Feb 03 2018 17:36:39</t>
  </si>
  <si>
    <t xml:space="preserve"> No record... Err... We talking about the same Bitcoin here?</t>
  </si>
  <si>
    <t xml:space="preserve"> Deptford, London</t>
  </si>
  <si>
    <t xml:space="preserve"> Sat Feb 03 2018 17:36:45</t>
  </si>
  <si>
    <t xml:space="preserve"> Not safe...Bitcoin mile honge</t>
  </si>
  <si>
    <t xml:space="preserve"> Sat Feb 03 2018 17:36:51</t>
  </si>
  <si>
    <t xml:space="preserve"> How long until a bitcoin style rise in white racial consciousness.</t>
  </si>
  <si>
    <t xml:space="preserve"> Sat Feb 03 2018 17:37:26</t>
  </si>
  <si>
    <t xml:space="preserve"> Many of the original minds behind Bitcoin were pushed out by Blockstream. I'm with them.</t>
  </si>
  <si>
    <t xml:space="preserve"> Sat Feb 03 2018 17:37:28</t>
  </si>
  <si>
    <t xml:space="preserve"> Can this also mean that big Bitcoin investers liquidated big positions so they are ready for the bear market.</t>
  </si>
  <si>
    <t xml:space="preserve"> Sat Feb 03 2018 17:38:00</t>
  </si>
  <si>
    <t xml:space="preserve"> FireFly Coin (FFC) is about to take off!! </t>
  </si>
  <si>
    <t xml:space="preserve"> Sat Feb 03 2018 17:38:25</t>
  </si>
  <si>
    <t xml:space="preserve"> Project to Subsidize Electricity Costs to Cryptocurrency Miners with Inexpensive Hydropower </t>
  </si>
  <si>
    <t xml:space="preserve"> Sat Feb 03 2018 17:38:48</t>
  </si>
  <si>
    <t xml:space="preserve"> bitcoin cash is the real bitcoin! bitcoin should change name to Bitcoin Core! peace!</t>
  </si>
  <si>
    <t xml:space="preserve"> C****I </t>
  </si>
  <si>
    <t xml:space="preserve"> Sat Feb 03 2018 17:38:55</t>
  </si>
  <si>
    <t xml:space="preserve"> I understand blockchain. I am an advisor to a blockchain company. Bitcoin is a scam.</t>
  </si>
  <si>
    <t xml:space="preserve"> Sat Feb 03 2018 17:39:00</t>
  </si>
  <si>
    <t xml:space="preserve"> Hey guys, did you delete your article that just copy and pasted my one about bittrex? </t>
  </si>
  <si>
    <t xml:space="preserve"> J****1 </t>
  </si>
  <si>
    <t xml:space="preserve"> Sat Feb 03 2018 17:39:49</t>
  </si>
  <si>
    <t xml:space="preserve"> Let's see, January contains: - Spaghet - Ugandan Knuckles - Tide Pods - Logan Paul - Bitcoin (?) What did I miss?</t>
  </si>
  <si>
    <t xml:space="preserve"> Tangerang, Indonesia</t>
  </si>
  <si>
    <t xml:space="preserve"> Sat Feb 03 2018 17:39:53</t>
  </si>
  <si>
    <t xml:space="preserve"> you can mine bitcoin on ubiquity antennas just fyi</t>
  </si>
  <si>
    <t xml:space="preserve"> probably </t>
  </si>
  <si>
    <t xml:space="preserve"> Sat Feb 03 2018 17:40:01</t>
  </si>
  <si>
    <t xml:space="preserve"> looking at these bitcoin charts...and its like my butt doesnt even matter at this point...just basics..support, resistance, volume</t>
  </si>
  <si>
    <t xml:space="preserve"> Internet of Thangs</t>
  </si>
  <si>
    <t xml:space="preserve"> Sat Feb 03 2018 17:40:16</t>
  </si>
  <si>
    <t xml:space="preserve"> (33144 follows) Its the Final Countdown! 14 Days until the Bitcoin, Ethereum, and Blockchain Super Conference https:/...</t>
  </si>
  <si>
    <t xml:space="preserve"> Sat Feb 03 2018 17:40:33</t>
  </si>
  <si>
    <t xml:space="preserve"> Bitcoin is going to change the world from a money transactional standpoint </t>
  </si>
  <si>
    <t xml:space="preserve"> Sat Feb 03 2018 17:40:36</t>
  </si>
  <si>
    <t xml:space="preserve"> Alp'te bitcoin bitermi : )</t>
  </si>
  <si>
    <t xml:space="preserve"> Sat Feb 03 2018 17:40:42</t>
  </si>
  <si>
    <t xml:space="preserve"> Yes. So hard to have people see that Bitcoin is not a mesh</t>
  </si>
  <si>
    <t xml:space="preserve"> Earth, Scaling Bitcoin</t>
  </si>
  <si>
    <t xml:space="preserve"> Sat Feb 03 2018 17:40:46</t>
  </si>
  <si>
    <t xml:space="preserve"> Which book(s) have you read, that were written more than 30 years ago, that are relevant to bitcoin?</t>
  </si>
  <si>
    <t xml:space="preserve"> Sat Feb 03 2018 17:40:53</t>
  </si>
  <si>
    <t xml:space="preserve"> Dow Jones looking like bitcoin</t>
  </si>
  <si>
    <t xml:space="preserve"> F****1 </t>
  </si>
  <si>
    <t xml:space="preserve"> London </t>
  </si>
  <si>
    <t xml:space="preserve"> Sat Feb 03 2018 17:41:10</t>
  </si>
  <si>
    <t xml:space="preserve"> Hahaha. Bitcoin has no measurable value.</t>
  </si>
  <si>
    <t xml:space="preserve"> Sat Feb 03 2018 17:41:15</t>
  </si>
  <si>
    <t xml:space="preserve"> Betting Online </t>
  </si>
  <si>
    <t xml:space="preserve"> n****z </t>
  </si>
  <si>
    <t xml:space="preserve"> Sat Feb 03 2018 17:41:17</t>
  </si>
  <si>
    <t xml:space="preserve"> If a falls in the forest does anyone hear ?</t>
  </si>
  <si>
    <t xml:space="preserve"> Toronto - Canada</t>
  </si>
  <si>
    <t xml:space="preserve"> Sat Feb 03 2018 17:41:22</t>
  </si>
  <si>
    <t xml:space="preserve"> Bitcoin percentage of market cap: 34.67 % </t>
  </si>
  <si>
    <t xml:space="preserve"> Sat Feb 03 2018 17:41:29</t>
  </si>
  <si>
    <t xml:space="preserve"> LOL I told folks to leave those Bitcoin club or whatever else that folks are hawking online alone lol</t>
  </si>
  <si>
    <t xml:space="preserve"> R****k </t>
  </si>
  <si>
    <t xml:space="preserve"> Sat Feb 03 2018 17:41:48</t>
  </si>
  <si>
    <t xml:space="preserve"> someone has definitely mined bitcoin on a gas powered blender right</t>
  </si>
  <si>
    <t xml:space="preserve"> l****l </t>
  </si>
  <si>
    <t xml:space="preserve"> Sat Feb 03 2018 17:41:54</t>
  </si>
  <si>
    <t xml:space="preserve"> Interesting to see that no longer has premium status on Korean exchanges when compared to or . </t>
  </si>
  <si>
    <t xml:space="preserve"> Maryland, USA</t>
  </si>
  <si>
    <t xml:space="preserve"> Sat Feb 03 2018 17:42:13</t>
  </si>
  <si>
    <t xml:space="preserve"> BItcoin trash is also down 48% for the month.. let that sink in</t>
  </si>
  <si>
    <t xml:space="preserve"> Sat Feb 03 2018 17:42:21</t>
  </si>
  <si>
    <t xml:space="preserve"> I do think Bitcoin is the first [encrypted money] that has the potential to do something like change the world </t>
  </si>
  <si>
    <t xml:space="preserve"> Sat Feb 03 2018 17:42:28</t>
  </si>
  <si>
    <t xml:space="preserve"> FireFly Coin (FFC) very cheap and about to sky rocket!! 200,000% estimated returns </t>
  </si>
  <si>
    <t xml:space="preserve"> Sat Feb 03 2018 17:42:46</t>
  </si>
  <si>
    <t xml:space="preserve"> Bitcoin seems like one big social experiment.. greed vs fear</t>
  </si>
  <si>
    <t xml:space="preserve"> Jamaica x NY </t>
  </si>
  <si>
    <t xml:space="preserve"> Sat Feb 03 2018 17:42:52</t>
  </si>
  <si>
    <t xml:space="preserve"> short bitcoin right here, 9288, stop above 9500, looking for new lows sub 7400, may hold a piece for the puke lower from there</t>
  </si>
  <si>
    <t xml:space="preserve"> b****3 </t>
  </si>
  <si>
    <t xml:space="preserve"> Sat Feb 03 2018 17:43:27</t>
  </si>
  <si>
    <t xml:space="preserve"> Is regulation... </t>
  </si>
  <si>
    <t xml:space="preserve"> Manhattan, NY</t>
  </si>
  <si>
    <t xml:space="preserve"> Sat Feb 03 2018 17:43:43</t>
  </si>
  <si>
    <t xml:space="preserve"> came free bitcoin to </t>
  </si>
  <si>
    <t xml:space="preserve"> Benito Jurez, Quintana Roo</t>
  </si>
  <si>
    <t xml:space="preserve"> Sat Feb 03 2018 17:43:52</t>
  </si>
  <si>
    <t xml:space="preserve"> Roger. NO is plenty.</t>
  </si>
  <si>
    <t xml:space="preserve"> Sat Feb 03 2018 17:43:57</t>
  </si>
  <si>
    <t xml:space="preserve"> show me the bitcoin</t>
  </si>
  <si>
    <t xml:space="preserve"> Praias do Mindelo</t>
  </si>
  <si>
    <t xml:space="preserve"> Sat Feb 03 2018 17:44:21</t>
  </si>
  <si>
    <t xml:space="preserve"> If you think bulge bracket banks will bank the 4 billion unbanked people around the world, you're a fool. will....</t>
  </si>
  <si>
    <t xml:space="preserve"> Sat Feb 03 2018 17:44:30</t>
  </si>
  <si>
    <t xml:space="preserve"> Bitcoin Cash is Bitcoin. Executing the vision of Satoshi in the original white paper.</t>
  </si>
  <si>
    <t xml:space="preserve"> Sat Feb 03 2018 17:44:37</t>
  </si>
  <si>
    <t xml:space="preserve"> Exactly Bitcoin becomes Core and Cash. In time we see the results</t>
  </si>
  <si>
    <t xml:space="preserve"> Sat Feb 03 2018 17:44:43</t>
  </si>
  <si>
    <t xml:space="preserve"> It's downright religious, and the spread of bitcoin on the internet is not unlike the spread of the bible on the printing press.</t>
  </si>
  <si>
    <t xml:space="preserve"> Sat Feb 03 2018 17:45:02</t>
  </si>
  <si>
    <t xml:space="preserve"> There are currently 11,556 unconfirmed Bitcoin transactions. $BTC</t>
  </si>
  <si>
    <t xml:space="preserve"> Sat Feb 03 2018 17:45:10</t>
  </si>
  <si>
    <t xml:space="preserve"> Buying bitcoin at 19k</t>
  </si>
  <si>
    <t xml:space="preserve"> Sat Feb 03 2018 17:45:21</t>
  </si>
  <si>
    <t xml:space="preserve"> bitcoin is also delicious with salt, avocado and a slice of toasted bread, plus maybe some cheese or cold cuts</t>
  </si>
  <si>
    <t xml:space="preserve"> Sat Feb 03 2018 17:45:33</t>
  </si>
  <si>
    <t xml:space="preserve"> Bitcoin has been banned by Facebook. Someone please explain to me why this would happen if Bitcoin was just a bubble.</t>
  </si>
  <si>
    <t xml:space="preserve"> Sat Feb 03 2018 17:46:24</t>
  </si>
  <si>
    <t xml:space="preserve"> 100k bitcoin hell yeah...possibly more once the mainstream starts using it globally</t>
  </si>
  <si>
    <t xml:space="preserve"> V****1 </t>
  </si>
  <si>
    <t xml:space="preserve"> Sat Feb 03 2018 17:46:33</t>
  </si>
  <si>
    <t xml:space="preserve"> Can you mine bitcoin on it?</t>
  </si>
  <si>
    <t xml:space="preserve"> Schleswig-Holstein, Germany</t>
  </si>
  <si>
    <t xml:space="preserve"> Sat Feb 03 2018 17:46:36</t>
  </si>
  <si>
    <t xml:space="preserve"> Hehehe... Im ok. Bitcoin is a mess. Buy Cardano!</t>
  </si>
  <si>
    <t xml:space="preserve"> Nairobi, Kenya.</t>
  </si>
  <si>
    <t xml:space="preserve"> Sat Feb 03 2018 17:47:24</t>
  </si>
  <si>
    <t xml:space="preserve"> tfw you overhear a group of twats in the coffee shoppe discussing their Bitcoin investing/startups</t>
  </si>
  <si>
    <t xml:space="preserve"> m****_ </t>
  </si>
  <si>
    <t xml:space="preserve"> Manehattan, NY</t>
  </si>
  <si>
    <t xml:space="preserve"> Sat Feb 03 2018 17:47:30</t>
  </si>
  <si>
    <t xml:space="preserve"> Bitcoin Bull Trap forming. Dont be fooled. Heading to 7k in the next 2 weeks THAN its go time towards 35k by end of March.</t>
  </si>
  <si>
    <t xml:space="preserve"> Sat Feb 03 2018 17:47:31</t>
  </si>
  <si>
    <t xml:space="preserve"> Wordcount fluctuating so much it's beginning to resemble the bitcoin exchange rate.</t>
  </si>
  <si>
    <t xml:space="preserve"> Sat Feb 03 2018 17:48:02</t>
  </si>
  <si>
    <t xml:space="preserve"> CryptoCompare Bitcoin price changed -1.23% to $9232.68 </t>
  </si>
  <si>
    <t xml:space="preserve"> Sat Feb 03 2018 17:48:15</t>
  </si>
  <si>
    <t xml:space="preserve"> bitcoin should change name to BITCOIN CORE!</t>
  </si>
  <si>
    <t xml:space="preserve"> Sat Feb 03 2018 17:48:55</t>
  </si>
  <si>
    <t xml:space="preserve"> Special offer for cr gems $43/14k gems (5-10mins load time) Payment only by skrill,western union or bitcoin...</t>
  </si>
  <si>
    <t xml:space="preserve"> a****3 </t>
  </si>
  <si>
    <t xml:space="preserve"> Sat Feb 03 2018 17:48:56</t>
  </si>
  <si>
    <t xml:space="preserve"> A fun afternoon spreading 10k across 10 coins, I wish I had more fiat to play with! </t>
  </si>
  <si>
    <t xml:space="preserve"> Sat Feb 03 2018 17:49:03</t>
  </si>
  <si>
    <t xml:space="preserve"> If bitcoin fails 99% of alts will probably fail as well.</t>
  </si>
  <si>
    <t xml:space="preserve"> D****c </t>
  </si>
  <si>
    <t xml:space="preserve"> Sat Feb 03 2018 17:49:11</t>
  </si>
  <si>
    <t xml:space="preserve"> I prefer Bitcoin is bch, than bch is Bitcoin. I dont know if you notice the suttle difference but i think its better that way.</t>
  </si>
  <si>
    <t xml:space="preserve"> h****6 </t>
  </si>
  <si>
    <t xml:space="preserve"> Sat Feb 03 2018 17:49:23</t>
  </si>
  <si>
    <t xml:space="preserve"> They pay in Bitcoin, which is why they invented it.</t>
  </si>
  <si>
    <t xml:space="preserve"> P****p </t>
  </si>
  <si>
    <t xml:space="preserve"> -18.35, 32.6</t>
  </si>
  <si>
    <t xml:space="preserve"> Sat Feb 03 2018 17:49:26</t>
  </si>
  <si>
    <t xml:space="preserve"> Passionate about bitcoin is clear plea for help</t>
  </si>
  <si>
    <t xml:space="preserve"> J****t </t>
  </si>
  <si>
    <t xml:space="preserve"> Washington DC</t>
  </si>
  <si>
    <t xml:space="preserve"> Sat Feb 03 2018 17:49:50</t>
  </si>
  <si>
    <t xml:space="preserve"> Advise can lead to a lawsuit lol if youre thinking of mining try out hashflare Im receiving nearly 0.25 bitcoin per day.</t>
  </si>
  <si>
    <t xml:space="preserve"> Sat Feb 03 2018 17:50:02</t>
  </si>
  <si>
    <t xml:space="preserve"> Think bitcoin</t>
  </si>
  <si>
    <t xml:space="preserve"> Sat Feb 03 2018 17:50:05</t>
  </si>
  <si>
    <t xml:space="preserve"> meh. we stuffed a bitcoin wallet and a TOR exit node on the SkySat-1 before it launched.</t>
  </si>
  <si>
    <t xml:space="preserve"> Sat Feb 03 2018 17:50:06</t>
  </si>
  <si>
    <t xml:space="preserve"> Buy? Sell? Or wait? Daily Forecasts for EURUSD, GBPUSD, USDJPY, Bitcoin, etc. on Daily, Weekly and Monthly charts. </t>
  </si>
  <si>
    <t xml:space="preserve"> R****x </t>
  </si>
  <si>
    <t xml:space="preserve"> Sat Feb 03 2018 17:50:09</t>
  </si>
  <si>
    <t xml:space="preserve"> The tech isn't the bottleneck here. The fact that you can't pay fines and taxes in bitcoin is.</t>
  </si>
  <si>
    <t xml:space="preserve"> Sat Feb 03 2018 17:51:06</t>
  </si>
  <si>
    <t xml:space="preserve"> To understand Bitcoin, read Atlas Shrugged.</t>
  </si>
  <si>
    <t xml:space="preserve"> v****j </t>
  </si>
  <si>
    <t xml:space="preserve"> Sat Feb 03 2018 17:51:38</t>
  </si>
  <si>
    <t xml:space="preserve"> Looked at my bitcoin and I'm up stupid rn </t>
  </si>
  <si>
    <t xml:space="preserve"> Sat Feb 03 2018 17:51:40</t>
  </si>
  <si>
    <t xml:space="preserve"> I have transferred 5000 money on 22 Jan but still I not got . Give me my BTC</t>
  </si>
  <si>
    <t xml:space="preserve"> Sat Feb 03 2018 17:51:47</t>
  </si>
  <si>
    <t xml:space="preserve"> Even wont save and his pothole team</t>
  </si>
  <si>
    <t xml:space="preserve"> s****c </t>
  </si>
  <si>
    <t xml:space="preserve"> Cali4nia</t>
  </si>
  <si>
    <t xml:space="preserve"> Sat Feb 03 2018 17:52:05</t>
  </si>
  <si>
    <t xml:space="preserve"> If bitcoin blows up and i get money imma buy a benz i dont even know how to drive</t>
  </si>
  <si>
    <t xml:space="preserve"> _****e </t>
  </si>
  <si>
    <t xml:space="preserve"> Jersey</t>
  </si>
  <si>
    <t xml:space="preserve"> $1 USD is currently worth 0.00010899 BTC! </t>
  </si>
  <si>
    <t xml:space="preserve"> Sat Feb 03 2018 17:52:18</t>
  </si>
  <si>
    <t xml:space="preserve"> Asian Longhorn beetle spreading north from New York will make maple syrup prices look like Bitcoin when they make it into Quebec</t>
  </si>
  <si>
    <t xml:space="preserve"> W****n </t>
  </si>
  <si>
    <t xml:space="preserve"> Canning, NS, Canada</t>
  </si>
  <si>
    <t xml:space="preserve"> Sat Feb 03 2018 17:52:36</t>
  </si>
  <si>
    <t xml:space="preserve"> Need to put out more 'noob' articles for new bitcoin investors to read</t>
  </si>
  <si>
    <t xml:space="preserve"> Sat Feb 03 2018 17:52:38</t>
  </si>
  <si>
    <t xml:space="preserve"> used DGB or Bitcoin Cash far better than Bitcoin (AKA Bitcoin Core)</t>
  </si>
  <si>
    <t xml:space="preserve"> Sat Feb 03 2018 17:52:53</t>
  </si>
  <si>
    <t xml:space="preserve"> Bitcoin Gold Go go go !</t>
  </si>
  <si>
    <t xml:space="preserve"> Sat Feb 03 2018 17:52:59</t>
  </si>
  <si>
    <t xml:space="preserve"> may present one more good buying opportunity before getting out of reach. I'd keep some shopping budget until Tuesday night.</t>
  </si>
  <si>
    <t xml:space="preserve"> f****h </t>
  </si>
  <si>
    <t xml:space="preserve"> San Francisco, USA</t>
  </si>
  <si>
    <t xml:space="preserve"> Sat Feb 03 2018 17:53:32</t>
  </si>
  <si>
    <t xml:space="preserve"> Graph is key to Bitcoin topology. Mesh is not Bitcoin.</t>
  </si>
  <si>
    <t xml:space="preserve"> P****R </t>
  </si>
  <si>
    <t xml:space="preserve"> Sat Feb 03 2018 17:54:23</t>
  </si>
  <si>
    <t xml:space="preserve"> I am very positive on the bitcoin, but the twitter is just a fad</t>
  </si>
  <si>
    <t xml:space="preserve"> Sat Feb 03 2018 17:54:45</t>
  </si>
  <si>
    <t xml:space="preserve"> &amp; yes, may the all powerful Allah grant justice for this atrocity. Insha Allah.</t>
  </si>
  <si>
    <t xml:space="preserve"> f****0 </t>
  </si>
  <si>
    <t xml:space="preserve"> Sat Feb 03 2018 17:55:16</t>
  </si>
  <si>
    <t xml:space="preserve"> Should I get Polis, bitcoin lightning or bitcoin gold?</t>
  </si>
  <si>
    <t xml:space="preserve"> Sat Feb 03 2018 17:55:37</t>
  </si>
  <si>
    <t xml:space="preserve"> Bitcoin is Beanie Babies. Go on, be the greater fool.</t>
  </si>
  <si>
    <t xml:space="preserve"> North Carolina, USA</t>
  </si>
  <si>
    <t xml:space="preserve"> Sat Feb 03 2018 17:55:53</t>
  </si>
  <si>
    <t xml:space="preserve"> , and : What You Need to Know</t>
  </si>
  <si>
    <t xml:space="preserve"> Tampa Bay, FL</t>
  </si>
  <si>
    <t xml:space="preserve"> Sat Feb 03 2018 17:56:29</t>
  </si>
  <si>
    <t xml:space="preserve"> Do some magic pls</t>
  </si>
  <si>
    <t xml:space="preserve"> Sat Feb 03 2018 17:56:33</t>
  </si>
  <si>
    <t xml:space="preserve"> Front Anus Tentacle Hitler is coincidentally part of my bitcoin wallet key</t>
  </si>
  <si>
    <t xml:space="preserve"> Sat Feb 03 2018 17:56:34</t>
  </si>
  <si>
    <t xml:space="preserve"> First $5k after we can get a lambo. </t>
  </si>
  <si>
    <t xml:space="preserve"> Sat Feb 03 2018 17:57:10</t>
  </si>
  <si>
    <t xml:space="preserve"> Looks like the square cash app for bitcoin is a SCAM! You buy bitcoin from them and they dont let you witbdrawl. STAY AWAY!!!</t>
  </si>
  <si>
    <t xml:space="preserve"> Sat Feb 03 2018 17:57:26</t>
  </si>
  <si>
    <t xml:space="preserve"> i agree if you look at the charts bitcoin hit the max around 50 days ago and the alts 30 days ago</t>
  </si>
  <si>
    <t xml:space="preserve"> a****S </t>
  </si>
  <si>
    <t xml:space="preserve"> Sat Feb 03 2018 17:57:47</t>
  </si>
  <si>
    <t xml:space="preserve"> You too </t>
  </si>
  <si>
    <t xml:space="preserve"> Sat Feb 03 2018 17:57:54</t>
  </si>
  <si>
    <t xml:space="preserve"> Dont buy BTC from square cash app. Takes weeks to withdrawal your bitcoin.</t>
  </si>
  <si>
    <t xml:space="preserve"> Sat Feb 03 2018 17:58:07</t>
  </si>
  <si>
    <t xml:space="preserve"> Crypto Dip Humbles South Korean Bitcoin Premium</t>
  </si>
  <si>
    <t xml:space="preserve"> Tokyo</t>
  </si>
  <si>
    <t xml:space="preserve"> Sat Feb 03 2018 17:58:12</t>
  </si>
  <si>
    <t xml:space="preserve"> It still is, and what does bitcoin cash has to offer more then bitcoin diamond or bitcoin gold?</t>
  </si>
  <si>
    <t xml:space="preserve"> Sat Feb 03 2018 17:58:28</t>
  </si>
  <si>
    <t xml:space="preserve"> Someone needs to streak the Super Bowl half time show wearing a buy Bitcoin cape $BTC</t>
  </si>
  <si>
    <t xml:space="preserve"> Sat Feb 03 2018 17:59:21</t>
  </si>
  <si>
    <t xml:space="preserve"> Yo Memo has lost so much value since it was hyped, theyre calling it bitcoin. </t>
  </si>
  <si>
    <t xml:space="preserve"> Sat Feb 03 2018 17:59:42</t>
  </si>
  <si>
    <t xml:space="preserve"> Will the Raiden Network solve Ethereums scaling issues in 2018? $btc $rdn$eth $xrp </t>
  </si>
  <si>
    <t xml:space="preserve"> Sat Feb 03 2018 17:59:52</t>
  </si>
  <si>
    <t xml:space="preserve"> le bitcoin</t>
  </si>
  <si>
    <t xml:space="preserve"> T****1 </t>
  </si>
  <si>
    <t xml:space="preserve"> Sat Feb 03 2018 17:59:56</t>
  </si>
  <si>
    <t xml:space="preserve"> If they had bought when all their gamer nerds told them too then the higher GPU prices wouldn't be a problem. </t>
  </si>
  <si>
    <t xml:space="preserve"> Sat Feb 03 2018 18:00:00</t>
  </si>
  <si>
    <t xml:space="preserve"> , Bitcoin with unit price of $9,179.12, market cap of $154,606,782,045 (34.71%), and 24 hr vol. of $7,510,280,000 (31.36%)</t>
  </si>
  <si>
    <t xml:space="preserve"> Sat Feb 03 2018 18:00:02</t>
  </si>
  <si>
    <t xml:space="preserve"> 03Feb2018 18:00 UTC status - Last 24h: 162 blocks mined - 1,015,535 BTC output - 203,781 transactions</t>
  </si>
  <si>
    <t xml:space="preserve"> O****u </t>
  </si>
  <si>
    <t xml:space="preserve"> Luxembourg, Paris &amp; Tokyo</t>
  </si>
  <si>
    <t xml:space="preserve"> Sat Feb 03 2018 18:00:01</t>
  </si>
  <si>
    <t xml:space="preserve"> Current BTC Dominance: 34.71% </t>
  </si>
  <si>
    <t xml:space="preserve"> Bitcoin:$9206.08 Ethereum:$962.739 Bitcoin Cash:$1241.63 Litecoin:$147.102 Ripple:$0.918232 IOTA:$1.96907</t>
  </si>
  <si>
    <t xml:space="preserve"> Average Bitcoin market price is: USD 9,188.82, EUR 7,399.19</t>
  </si>
  <si>
    <t xml:space="preserve"> The average price of Bitcoin across all exchanges is 9,179.12 USD</t>
  </si>
  <si>
    <t xml:space="preserve"> The price of 1 Bitcoin is $9,203.78. That is 614 large pizzas!!! </t>
  </si>
  <si>
    <t xml:space="preserve"> Sat Feb 03 2018 18:00:06</t>
  </si>
  <si>
    <t xml:space="preserve"> 2018-02-03 06:00 UTC Bitcoin Price: 9185.08 USD</t>
  </si>
  <si>
    <t xml:space="preserve"> H****s </t>
  </si>
  <si>
    <t xml:space="preserve"> Feb 03, 2018 10:00AM Price: USD 8803.67 | EUR 7100.12 | JPY 947386.06</t>
  </si>
  <si>
    <t xml:space="preserve"> Sat Feb 03 2018 18:00:07</t>
  </si>
  <si>
    <t xml:space="preserve"> Depends how you short it - if you use bitcoin futures to short it no need to buy bitcoins to cover</t>
  </si>
  <si>
    <t xml:space="preserve"> Sat Feb 03 2018 18:00:14</t>
  </si>
  <si>
    <t xml:space="preserve"> Top 6 BTC/USD Exchange Orderbooks: Resistance til $9400:$14.9M; Support til $8900:$23.9M $BTC $BTCUSD </t>
  </si>
  <si>
    <t xml:space="preserve"> Sat Feb 03 2018 18:00:17</t>
  </si>
  <si>
    <t xml:space="preserve"> I made $850k in 18 months on one REAL account only, you can do the same using our robot. Check other accounts LIVE on our website. </t>
  </si>
  <si>
    <t xml:space="preserve"> Sat Feb 03 2018 18:00:22</t>
  </si>
  <si>
    <t xml:space="preserve"> Not selling lot's of futures contracts about 6 weeks ago...</t>
  </si>
  <si>
    <t xml:space="preserve"> 7****l </t>
  </si>
  <si>
    <t xml:space="preserve"> Sat Feb 03 2018 18:00:25</t>
  </si>
  <si>
    <t xml:space="preserve"> If they had bought when all their gamer nerds told them to then the higher GPU prices wouldn't be a problem. </t>
  </si>
  <si>
    <t xml:space="preserve"> Sat Feb 03 2018 18:00:26</t>
  </si>
  <si>
    <t xml:space="preserve"> Bitcoin mining for noobs.</t>
  </si>
  <si>
    <t xml:space="preserve"> Miami Beach, FL</t>
  </si>
  <si>
    <t xml:space="preserve"> Sat Feb 03 2018 18:00:31</t>
  </si>
  <si>
    <t xml:space="preserve"> BTC hourly update $9227.81 | -0.0067% $BTC </t>
  </si>
  <si>
    <t xml:space="preserve"> Sat Feb 03 2018 18:00:32</t>
  </si>
  <si>
    <t xml:space="preserve"> Someone Needs to streak the Super Bowl half time show wearing a buy Bitcoin cape $BTC Plz RT </t>
  </si>
  <si>
    <t xml:space="preserve"> Sat Feb 03 2018 18:01:01</t>
  </si>
  <si>
    <t xml:space="preserve"> Looking forward to tron's coin burn in march ! $trx </t>
  </si>
  <si>
    <t xml:space="preserve"> Pakistan</t>
  </si>
  <si>
    <t xml:space="preserve"> Sat Feb 03 2018 18:01:09</t>
  </si>
  <si>
    <t xml:space="preserve"> Just in time for 'F Trump Coin' </t>
  </si>
  <si>
    <t xml:space="preserve"> Universe</t>
  </si>
  <si>
    <t xml:space="preserve"> Sat Feb 03 2018 18:01:20</t>
  </si>
  <si>
    <t xml:space="preserve"> Current price of is $9186.85</t>
  </si>
  <si>
    <t xml:space="preserve"> Sat Feb 03 2018 18:01:21</t>
  </si>
  <si>
    <t xml:space="preserve"> Current price of Bitcoin is $9186.85 </t>
  </si>
  <si>
    <t xml:space="preserve"> Sat Feb 03 2018 18:01:25</t>
  </si>
  <si>
    <t xml:space="preserve"> Venezuela Announces the Creation of Oil-Backed National Cryptocurrency Backed by Fiat </t>
  </si>
  <si>
    <t xml:space="preserve"> Sat Feb 03 2018 18:01:51</t>
  </si>
  <si>
    <t xml:space="preserve"> As if Bitcoin and Crypto wasn't an issue for GPU prices already, now there's gonna be Deepfake farms....</t>
  </si>
  <si>
    <t xml:space="preserve"> Bay Area, CA</t>
  </si>
  <si>
    <t xml:space="preserve"> Sat Feb 03 2018 18:01:56</t>
  </si>
  <si>
    <t xml:space="preserve"> New post (Bitcoin: Here Are My last interview with that.. and everything for</t>
  </si>
  <si>
    <t xml:space="preserve"> Sat Feb 03 2018 18:02:09</t>
  </si>
  <si>
    <t xml:space="preserve"> Current price of Bitcoin is $9186.85 Like if thats good for you and retweet if thats not good for you </t>
  </si>
  <si>
    <t xml:space="preserve"> Sat Feb 03 2018 18:02:25</t>
  </si>
  <si>
    <t xml:space="preserve"> If they had bought when all their nerd friends told them to years ago then the higher GPU prices wouldn't be a problem. </t>
  </si>
  <si>
    <t xml:space="preserve"> Sat Feb 03 2018 18:02:26</t>
  </si>
  <si>
    <t xml:space="preserve"> Wwwwoooww.. PINKCOIN BIG SIGNAL </t>
  </si>
  <si>
    <t xml:space="preserve"> Sat Feb 03 2018 18:02:31</t>
  </si>
  <si>
    <t xml:space="preserve"> Daily price update. worth $9186.85</t>
  </si>
  <si>
    <t xml:space="preserve"> o****o </t>
  </si>
  <si>
    <t xml:space="preserve"> Sat Feb 03 2018 18:02:32</t>
  </si>
  <si>
    <t xml:space="preserve"> What do you think of LItecoin? Or do you just own Bitcoin?</t>
  </si>
  <si>
    <t xml:space="preserve"> z****h </t>
  </si>
  <si>
    <t xml:space="preserve"> San Diego</t>
  </si>
  <si>
    <t xml:space="preserve"> Sat Feb 03 2018 18:02:33</t>
  </si>
  <si>
    <t xml:space="preserve"> wow projek amazing Hope to win these time. Thanks bitcoin token 0x1c6ce3e75c1529759030d7dafa8dbb4583e32da9</t>
  </si>
  <si>
    <t xml:space="preserve"> m****1 </t>
  </si>
  <si>
    <t xml:space="preserve"> Jakarta Capital Region</t>
  </si>
  <si>
    <t xml:space="preserve"> Sat Feb 03 2018 18:02:35</t>
  </si>
  <si>
    <t xml:space="preserve"> Who run the world? Old white businessmen. Whats the solution? </t>
  </si>
  <si>
    <t xml:space="preserve"> Sat Feb 03 2018 18:02:38</t>
  </si>
  <si>
    <t xml:space="preserve"> Most negative movements in the last hour (-3.10%), (-2.93%), (-2.66%), Gold(-2.47%), (-2.37%)</t>
  </si>
  <si>
    <t xml:space="preserve"> Sat Feb 03 2018 18:02:45</t>
  </si>
  <si>
    <t xml:space="preserve"> Cryptocurrency: Price USD: 9179.12 Price BTC: 1.0 24h Volume USD: 7510280000.0 Percent change 24h: 4.45</t>
  </si>
  <si>
    <t xml:space="preserve"> Sat Feb 03 2018 18:02:50</t>
  </si>
  <si>
    <t xml:space="preserve"> do you guys take bitcoin? sir, you can't buy Paddington 2 tickets with bitcoin</t>
  </si>
  <si>
    <t xml:space="preserve"> Sat Feb 03 2018 18:03:03</t>
  </si>
  <si>
    <t xml:space="preserve"> And he's running scared of bitcoin/crypto.</t>
  </si>
  <si>
    <t xml:space="preserve"> Mzansi</t>
  </si>
  <si>
    <t xml:space="preserve"> Sat Feb 03 2018 18:03:11</t>
  </si>
  <si>
    <t xml:space="preserve"> Bitcoin-Adresse 1AP49EXSASd17P9wBPYBs26iVtWowUY6kn</t>
  </si>
  <si>
    <t xml:space="preserve"> Sat Feb 03 2018 18:03:14</t>
  </si>
  <si>
    <t xml:space="preserve"> They should make an anime about investing in bitcoin</t>
  </si>
  <si>
    <t xml:space="preserve"> The Sky Of Sadness, Manila</t>
  </si>
  <si>
    <t xml:space="preserve"> Sat Feb 03 2018 18:03:16</t>
  </si>
  <si>
    <t xml:space="preserve"> Is anyone able to give me a invite? </t>
  </si>
  <si>
    <t xml:space="preserve"> N****K </t>
  </si>
  <si>
    <t xml:space="preserve"> Wageningen, Nederland</t>
  </si>
  <si>
    <t xml:space="preserve"> Sat Feb 03 2018 18:03:19</t>
  </si>
  <si>
    <t xml:space="preserve"> Current price of Bitcoin is $9186.85</t>
  </si>
  <si>
    <t xml:space="preserve"> Current price of Bitcoin is $9186.85 $btc</t>
  </si>
  <si>
    <t xml:space="preserve"> Sat Feb 03 2018 18:03:21</t>
  </si>
  <si>
    <t xml:space="preserve"> Current price of Bitcoin is $9186.85 via </t>
  </si>
  <si>
    <t xml:space="preserve"> A****C </t>
  </si>
  <si>
    <t xml:space="preserve"> Sat Feb 03 2018 18:03:36</t>
  </si>
  <si>
    <t xml:space="preserve"> Someone Needs to streak the Super Bowl half time show wearing a buy Bitcoin cape $BTC Retweet</t>
  </si>
  <si>
    <t xml:space="preserve"> Sat Feb 03 2018 18:03:39</t>
  </si>
  <si>
    <t xml:space="preserve"> Welcome to </t>
  </si>
  <si>
    <t xml:space="preserve"> Sat Feb 03 2018 18:03:47</t>
  </si>
  <si>
    <t xml:space="preserve"> But why Bitcoin? Why not $LTC or something quick?</t>
  </si>
  <si>
    <t xml:space="preserve"> 3****i </t>
  </si>
  <si>
    <t xml:space="preserve"> ATX | 878 | Q City</t>
  </si>
  <si>
    <t xml:space="preserve"> Sat Feb 03 2018 18:03:59</t>
  </si>
  <si>
    <t xml:space="preserve"> when dollar lose its value, what will be the value of bitcoin</t>
  </si>
  <si>
    <t xml:space="preserve"> Sat Feb 03 2018 18:04:12</t>
  </si>
  <si>
    <t xml:space="preserve"> Current price of Bitcoin is $9186.85.</t>
  </si>
  <si>
    <t xml:space="preserve"> Sat Feb 03 2018 18:04:14</t>
  </si>
  <si>
    <t xml:space="preserve"> Current price of Bitcoin is $9186.85 February 3, 2018 at 10:00AM</t>
  </si>
  <si>
    <t xml:space="preserve"> Sat Feb 03 2018 18:04:38</t>
  </si>
  <si>
    <t xml:space="preserve"> BTC,ETH,ETC,LTC,BCH,MONA Please send someone virtual currency </t>
  </si>
  <si>
    <t xml:space="preserve"> Sat Feb 03 2018 18:04:44</t>
  </si>
  <si>
    <t xml:space="preserve"> Looks like the 0.01 was regarding only bitcoin. Sorry for missinformation, I was told something else on previous discord chat.</t>
  </si>
  <si>
    <t xml:space="preserve"> T****k </t>
  </si>
  <si>
    <t xml:space="preserve"> Genve, Suisse</t>
  </si>
  <si>
    <t xml:space="preserve"> Sat Feb 03 2018 18:04:51</t>
  </si>
  <si>
    <t xml:space="preserve"> i want to feel alive. how many bitcoin should i put on the eagles?</t>
  </si>
  <si>
    <t xml:space="preserve"> Sat Feb 03 2018 18:05:09</t>
  </si>
  <si>
    <t xml:space="preserve"> Bitcoin adres 1AP49EXSASd17P9wBPYBs26iVtWowUY6kn</t>
  </si>
  <si>
    <t xml:space="preserve"> Sat Feb 03 2018 18:05:22</t>
  </si>
  <si>
    <t xml:space="preserve"> You took your Bitcoin profits when he said to, right?</t>
  </si>
  <si>
    <t xml:space="preserve"> Oregon, USA</t>
  </si>
  <si>
    <t xml:space="preserve"> Sat Feb 03 2018 18:05:33</t>
  </si>
  <si>
    <t xml:space="preserve"> Nooo... who will talk about bitcoin going forward?</t>
  </si>
  <si>
    <t xml:space="preserve"> Sat Feb 03 2018 18:06:14</t>
  </si>
  <si>
    <t xml:space="preserve"> The reach of Bitcoin has hit a wall and now myst evolve/grow in order for the next cycle to begin.</t>
  </si>
  <si>
    <t xml:space="preserve"> g****y </t>
  </si>
  <si>
    <t xml:space="preserve"> Block 1</t>
  </si>
  <si>
    <t xml:space="preserve"> Bitcoin please</t>
  </si>
  <si>
    <t xml:space="preserve"> Sat Feb 03 2018 18:06:15</t>
  </si>
  <si>
    <t xml:space="preserve"> i was going to invest in bitcoin today, but it's only like 9k now wtf am i too late?!</t>
  </si>
  <si>
    <t xml:space="preserve"> remember bitcoin?</t>
  </si>
  <si>
    <t xml:space="preserve"> m****k </t>
  </si>
  <si>
    <t xml:space="preserve"> phila</t>
  </si>
  <si>
    <t xml:space="preserve"> Sat Feb 03 2018 18:07:19</t>
  </si>
  <si>
    <t xml:space="preserve"> A growing number of big U.S. credit-card issuers are deciding they dont want to finance a falling knife. </t>
  </si>
  <si>
    <t xml:space="preserve"> l****a </t>
  </si>
  <si>
    <t xml:space="preserve"> Kampala, Uganda</t>
  </si>
  <si>
    <t xml:space="preserve"> Sat Feb 03 2018 18:07:56</t>
  </si>
  <si>
    <t xml:space="preserve"> Based on your cheat sheet. Looks like a shooting star pattern is forming for Bitcoin on the 4H. Am i right?</t>
  </si>
  <si>
    <t xml:space="preserve"> N****X </t>
  </si>
  <si>
    <t xml:space="preserve"> Sat Feb 03 2018 18:08:03</t>
  </si>
  <si>
    <t xml:space="preserve"> Nigga we got cosmicpvp bitcoin now xD</t>
  </si>
  <si>
    <t xml:space="preserve"> is back </t>
  </si>
  <si>
    <t xml:space="preserve"> Sat Feb 03 2018 18:08:08</t>
  </si>
  <si>
    <t xml:space="preserve"> Sattiniz mi ? Are you sell ? Are you kola ? what are you ? </t>
  </si>
  <si>
    <t xml:space="preserve"> Sat Feb 03 2018 18:08:19</t>
  </si>
  <si>
    <t xml:space="preserve"> I have to do some more research about bitcoin before I'm sure</t>
  </si>
  <si>
    <t xml:space="preserve"> Sat Feb 03 2018 18:09:25</t>
  </si>
  <si>
    <t xml:space="preserve"> Fallow me </t>
  </si>
  <si>
    <t xml:space="preserve"> Sat Feb 03 2018 18:09:42</t>
  </si>
  <si>
    <t xml:space="preserve"> You can pay me in Bitcoin if you prefer. Shot.</t>
  </si>
  <si>
    <t xml:space="preserve"> R****f </t>
  </si>
  <si>
    <t xml:space="preserve"> Sandton, South Africa</t>
  </si>
  <si>
    <t xml:space="preserve"> Sat Feb 03 2018 18:10:05</t>
  </si>
  <si>
    <t xml:space="preserve"> Bitcoin BTC Current Price: $9179.12 1 Hour: -0.85 % | 24 Hours: 4.45 % | 7 Days: -19.33 % </t>
  </si>
  <si>
    <t xml:space="preserve"> Sat Feb 03 2018 18:10:16</t>
  </si>
  <si>
    <t xml:space="preserve"> (718 follows) RT : Important chart from Fundstrat. Shared by first. Bitcoin experienced a 43% cor...</t>
  </si>
  <si>
    <t xml:space="preserve"> Sat Feb 03 2018 18:10:24</t>
  </si>
  <si>
    <t xml:space="preserve"> There hasn't been a worse time to make a Bitcoin payment</t>
  </si>
  <si>
    <t xml:space="preserve"> Sat Feb 03 2018 18:10:31</t>
  </si>
  <si>
    <t xml:space="preserve"> If you don't believe me or don't get it, I don't have time to try to convince you, sorry. - Satoshi Nakamoto </t>
  </si>
  <si>
    <t xml:space="preserve"> Sat Feb 03 2018 18:10:40</t>
  </si>
  <si>
    <t xml:space="preserve"> Also, us on are wondering if you guys have a specific release date set yet? :D</t>
  </si>
  <si>
    <t xml:space="preserve"> Sat Feb 03 2018 18:10:47</t>
  </si>
  <si>
    <t xml:space="preserve"> With how much fiat money are you invested in the cryptomarket ? </t>
  </si>
  <si>
    <t xml:space="preserve"> Sat Feb 03 2018 18:10:56</t>
  </si>
  <si>
    <t xml:space="preserve"> The button monitor button is available on the latest version of the Bitcoin app on the Nano S. You can try to update it.</t>
  </si>
  <si>
    <t xml:space="preserve"> Sat Feb 03 2018 18:11:44</t>
  </si>
  <si>
    <t xml:space="preserve"> From the 5k miners we should net $1 mil maybe even $2mil Per Month if Bitcoin goes back up. Just my opinion.</t>
  </si>
  <si>
    <t xml:space="preserve"> Sat Feb 03 2018 18:12:02</t>
  </si>
  <si>
    <t xml:space="preserve"> Just so you know, I don't accept Bitcoin.</t>
  </si>
  <si>
    <t xml:space="preserve"> g****o </t>
  </si>
  <si>
    <t xml:space="preserve"> The Castro, where else?</t>
  </si>
  <si>
    <t xml:space="preserve"> Sat Feb 03 2018 18:12:15</t>
  </si>
  <si>
    <t xml:space="preserve"> We all should get unite to tell the haters and media the power of unity. </t>
  </si>
  <si>
    <t xml:space="preserve"> H****r </t>
  </si>
  <si>
    <t xml:space="preserve"> New Delhi, Delhi</t>
  </si>
  <si>
    <t xml:space="preserve"> Sat Feb 03 2018 18:12:28</t>
  </si>
  <si>
    <t xml:space="preserve"> How I Met Your Bitcoin Soon on </t>
  </si>
  <si>
    <t xml:space="preserve"> Sat Feb 03 2018 18:12:35</t>
  </si>
  <si>
    <t xml:space="preserve"> I dont have any bitcoin . Its all about XRP .</t>
  </si>
  <si>
    <t xml:space="preserve"> Sat Feb 03 2018 18:12:45</t>
  </si>
  <si>
    <t xml:space="preserve"> Ray Dalio, founder of the world's largest hedge fund, says bitcoin is a bubble.</t>
  </si>
  <si>
    <t xml:space="preserve"> Sat Feb 03 2018 18:12:51</t>
  </si>
  <si>
    <t xml:space="preserve"> Bitcoin is dead</t>
  </si>
  <si>
    <t xml:space="preserve"> Sat Feb 03 2018 18:13:00</t>
  </si>
  <si>
    <t xml:space="preserve"> She can finally afford to feed her kids, invest in Bitcoin, and start her own business. Thanks, Donald!</t>
  </si>
  <si>
    <t xml:space="preserve"> Lancaster, PA</t>
  </si>
  <si>
    <t xml:space="preserve"> Sat Feb 03 2018 18:13:03</t>
  </si>
  <si>
    <t xml:space="preserve"> Give your eyes on this great project and don't miss it. Join now! and gain profit </t>
  </si>
  <si>
    <t xml:space="preserve"> d****c </t>
  </si>
  <si>
    <t xml:space="preserve"> Sat Feb 03 2018 18:13:47</t>
  </si>
  <si>
    <t xml:space="preserve"> It's Bigby the Bitcoin Dog! Bigby is short for Bigger Idiot, of course</t>
  </si>
  <si>
    <t xml:space="preserve"> Sat Feb 03 2018 18:13:57</t>
  </si>
  <si>
    <t xml:space="preserve"> bitcoin cash will stay either you like it or not! bitcoin should change name to Bitcoin Core! hahahaha</t>
  </si>
  <si>
    <t xml:space="preserve"> Sat Feb 03 2018 18:13:59</t>
  </si>
  <si>
    <t xml:space="preserve"> How do I get long on twitter? </t>
  </si>
  <si>
    <t xml:space="preserve"> f****9 </t>
  </si>
  <si>
    <t xml:space="preserve"> Sat Feb 03 2018 18:14:37</t>
  </si>
  <si>
    <t xml:space="preserve"> Blockchains Greatest Impact Will Be in Developing Countries, Says UPenn Lecturer </t>
  </si>
  <si>
    <t xml:space="preserve"> e****d </t>
  </si>
  <si>
    <t xml:space="preserve"> --, </t>
  </si>
  <si>
    <t xml:space="preserve"> Sat Feb 03 2018 18:14:53</t>
  </si>
  <si>
    <t xml:space="preserve"> While everyone was fuddling around i was buying some nice dips </t>
  </si>
  <si>
    <t xml:space="preserve"> Sat Feb 03 2018 18:14:57</t>
  </si>
  <si>
    <t xml:space="preserve"> Make America Trumpless Again </t>
  </si>
  <si>
    <t xml:space="preserve"> Sat Feb 03 2018 18:15:02</t>
  </si>
  <si>
    <t xml:space="preserve"> 11. In politics, you have your word and your friends; go back on either and you're dead. .Blackwell </t>
  </si>
  <si>
    <t xml:space="preserve"> q****e </t>
  </si>
  <si>
    <t xml:space="preserve"> The current price of Bitcoin is $9157.27. The current price of BCash is $1240.99, or 0.134905 BTC</t>
  </si>
  <si>
    <t xml:space="preserve"> Sat Feb 03 2018 18:15:27</t>
  </si>
  <si>
    <t xml:space="preserve"> bitcoin tha future</t>
  </si>
  <si>
    <t xml:space="preserve"> Tx </t>
  </si>
  <si>
    <t xml:space="preserve"> Sat Feb 03 2018 18:15:46</t>
  </si>
  <si>
    <t xml:space="preserve"> Did you update to the latest version of the Nano S bitcoin app?</t>
  </si>
  <si>
    <t xml:space="preserve"> Sat Feb 03 2018 18:15:55</t>
  </si>
  <si>
    <t xml:space="preserve"> Seriously, I thought the butt was the official mascot of Bitcoin.</t>
  </si>
  <si>
    <t xml:space="preserve"> Tazewell, TN</t>
  </si>
  <si>
    <t xml:space="preserve"> Sat Feb 03 2018 18:15:59</t>
  </si>
  <si>
    <t xml:space="preserve"> Prince = centralized authority. Bitcoin = decentralized. You are really missing the whats going on here.</t>
  </si>
  <si>
    <t xml:space="preserve"> Sat Feb 03 2018 18:16:17</t>
  </si>
  <si>
    <t xml:space="preserve"> Dont trust bitcoin!</t>
  </si>
  <si>
    <t xml:space="preserve"> Another Remote Location</t>
  </si>
  <si>
    <t xml:space="preserve"> Sat Feb 03 2018 18:16:18</t>
  </si>
  <si>
    <t xml:space="preserve"> the latest version of the Bitcoin app for the Nano S is 1.1.18 Update through the Ledger Manager</t>
  </si>
  <si>
    <t xml:space="preserve"> not bitcoin</t>
  </si>
  <si>
    <t xml:space="preserve"> Sat Feb 03 2018 18:16:27</t>
  </si>
  <si>
    <t xml:space="preserve"> about to take offfffff</t>
  </si>
  <si>
    <t xml:space="preserve"> Sat Feb 03 2018 18:16:35</t>
  </si>
  <si>
    <t xml:space="preserve"> People call a bubble for a number of reasons. Most commonly: 1) Uneducated 2) Lazy 3) Scared by </t>
  </si>
  <si>
    <t xml:space="preserve"> Jata, Brasil</t>
  </si>
  <si>
    <t xml:space="preserve"> Sat Feb 03 2018 18:17:05</t>
  </si>
  <si>
    <t xml:space="preserve"> Bitcoin Cash BCH Current Price: $1240.99 1 Hour: -1.34 % | 24 Hours: 4.62 % | 7 Days: -23.89 % cash</t>
  </si>
  <si>
    <t xml:space="preserve"> Sat Feb 03 2018 18:17:07</t>
  </si>
  <si>
    <t xml:space="preserve"> Bitcoin and Ethereum</t>
  </si>
  <si>
    <t xml:space="preserve"> Sat Feb 03 2018 18:17:26</t>
  </si>
  <si>
    <t xml:space="preserve"> People may use to buy or to buy. Perfectly fine.</t>
  </si>
  <si>
    <t xml:space="preserve"> Sat Feb 03 2018 18:17:58</t>
  </si>
  <si>
    <t xml:space="preserve"> ya maaan altcoins neek fakes bitcoin</t>
  </si>
  <si>
    <t xml:space="preserve"> Darmstadt, Germany</t>
  </si>
  <si>
    <t xml:space="preserve"> Sat Feb 03 2018 18:18:03</t>
  </si>
  <si>
    <t xml:space="preserve"> Latest Bitcoin Price: $9219.92 USD for 1 BTC </t>
  </si>
  <si>
    <t xml:space="preserve"> Sat Feb 03 2018 18:18:17</t>
  </si>
  <si>
    <t xml:space="preserve"> Equity markets crash but surges.. are people nuts to replace hedge with </t>
  </si>
  <si>
    <t xml:space="preserve"> Z****t </t>
  </si>
  <si>
    <t xml:space="preserve"> Sat Feb 03 2018 18:18:18</t>
  </si>
  <si>
    <t xml:space="preserve"> The price to satisfy American voters is dropping faster than Bitcoin.</t>
  </si>
  <si>
    <t xml:space="preserve"> Vancouver Island</t>
  </si>
  <si>
    <t xml:space="preserve"> Sat Feb 03 2018 18:18:19</t>
  </si>
  <si>
    <t xml:space="preserve"> the only payment solution that makes cash obsolete </t>
  </si>
  <si>
    <t xml:space="preserve"> a****1 </t>
  </si>
  <si>
    <t xml:space="preserve"> Indonesia</t>
  </si>
  <si>
    <t xml:space="preserve"> Sat Feb 03 2018 18:18:22</t>
  </si>
  <si>
    <t xml:space="preserve"> Tell me why I just invested into bitcoin</t>
  </si>
  <si>
    <t xml:space="preserve"> _****s </t>
  </si>
  <si>
    <t xml:space="preserve"> North Canton, OH</t>
  </si>
  <si>
    <t xml:space="preserve"> Sat Feb 03 2018 18:18:41</t>
  </si>
  <si>
    <t xml:space="preserve"> Peak bitcoin, evidently...</t>
  </si>
  <si>
    <t xml:space="preserve"> Sat Feb 03 2018 18:19:13</t>
  </si>
  <si>
    <t xml:space="preserve"> 100k end 2018 </t>
  </si>
  <si>
    <t xml:space="preserve"> freedomville </t>
  </si>
  <si>
    <t xml:space="preserve"> Sat Feb 03 2018 18:19:21</t>
  </si>
  <si>
    <t xml:space="preserve"> Maybe in 9 more years it will double to $8, 000 per bitcoin? and you want to buy it right now while it's cheap</t>
  </si>
  <si>
    <t xml:space="preserve"> Sat Feb 03 2018 18:20:28</t>
  </si>
  <si>
    <t xml:space="preserve"> pray 4 bitcoin death, then we will have a glut of 1080tis on ebay</t>
  </si>
  <si>
    <t xml:space="preserve"> Sat Feb 03 2018 18:20:33</t>
  </si>
  <si>
    <t xml:space="preserve"> Bitcoin is dying son</t>
  </si>
  <si>
    <t xml:space="preserve"> Spanish Fork, UT</t>
  </si>
  <si>
    <t xml:space="preserve"> Sat Feb 03 2018 18:20:34</t>
  </si>
  <si>
    <t xml:space="preserve"> Why will I use my bitcoin to purchase anything , when I can double it in few weeks. Well, I mean x10 it</t>
  </si>
  <si>
    <t xml:space="preserve"> T: 7.6400514,5.2339282</t>
  </si>
  <si>
    <t xml:space="preserve"> Sat Feb 03 2018 18:20:58</t>
  </si>
  <si>
    <t xml:space="preserve"> 1.1.18 is the latest. You can check on the Ledger itself by going into the Bitcoin app and then down into About.</t>
  </si>
  <si>
    <t xml:space="preserve"> Sat Feb 03 2018 18:21:23</t>
  </si>
  <si>
    <t xml:space="preserve"> Or it has something to do with bitcoin ccard fraud being 10x higher than PayPal</t>
  </si>
  <si>
    <t xml:space="preserve"> U****d </t>
  </si>
  <si>
    <t xml:space="preserve"> Sat Feb 03 2018 18:21:37</t>
  </si>
  <si>
    <t xml:space="preserve"> YOU HAVE FAILED THIS BITCOIN -- Reddit Arrow</t>
  </si>
  <si>
    <t xml:space="preserve"> m****g </t>
  </si>
  <si>
    <t xml:space="preserve"> Californee</t>
  </si>
  <si>
    <t xml:space="preserve"> Sat Feb 03 2018 18:21:48</t>
  </si>
  <si>
    <t xml:space="preserve"> Seriously. Surrender your civiliaztion. You can't even generate brains able to see how much stupid bitcoin is.</t>
  </si>
  <si>
    <t xml:space="preserve"> Barcelona, Espaa</t>
  </si>
  <si>
    <t xml:space="preserve"> Sat Feb 03 2018 18:22:00</t>
  </si>
  <si>
    <t xml:space="preserve"> The lady can buy in bits at the dip always affordable then just </t>
  </si>
  <si>
    <t xml:space="preserve"> Sat Feb 03 2018 18:22:09</t>
  </si>
  <si>
    <t xml:space="preserve"> What will happen first? $BTC $ETH $NEO</t>
  </si>
  <si>
    <t xml:space="preserve"> Sat Feb 03 2018 18:22:45</t>
  </si>
  <si>
    <t xml:space="preserve"> Bitcoin hitting rock bottom is just an opportunity for a discount </t>
  </si>
  <si>
    <t xml:space="preserve"> Corvegas, Cascadia</t>
  </si>
  <si>
    <t xml:space="preserve"> Sat Feb 03 2018 18:22:46</t>
  </si>
  <si>
    <t xml:space="preserve"> Funny that this happens around the time Jamie Dimon stops insisting that Bitcoin is a bubble.</t>
  </si>
  <si>
    <t xml:space="preserve"> Jacksonville, FL</t>
  </si>
  <si>
    <t xml:space="preserve"> Sat Feb 03 2018 18:23:18</t>
  </si>
  <si>
    <t xml:space="preserve"> Ahhhaa!!!! Satoshis real name is Milton! He must've created bitcoin before he left and traveled to the next universe.</t>
  </si>
  <si>
    <t xml:space="preserve"> b****1 </t>
  </si>
  <si>
    <t xml:space="preserve"> Sat Feb 03 2018 18:23:48</t>
  </si>
  <si>
    <t xml:space="preserve"> Yep to see how bitcoin starts</t>
  </si>
  <si>
    <t xml:space="preserve"> Bitcoin doesn't fit what he explained eCash. Another crypto will fill that role may take several years to fully see it unfold.</t>
  </si>
  <si>
    <t xml:space="preserve"> Sat Feb 03 2018 18:24:09</t>
  </si>
  <si>
    <t xml:space="preserve"> Nothing cotton's up the ole vag like hearing a white dude talk about bitcoin.</t>
  </si>
  <si>
    <t xml:space="preserve"> Portland </t>
  </si>
  <si>
    <t xml:space="preserve"> Sat Feb 03 2018 18:24:25</t>
  </si>
  <si>
    <t xml:space="preserve"> H)K( free community discussion at education and much more:</t>
  </si>
  <si>
    <t xml:space="preserve"> Sat Feb 03 2018 18:24:49</t>
  </si>
  <si>
    <t xml:space="preserve"> Imagine hodling Bcash right now because you think Bitcoin is antiquated.</t>
  </si>
  <si>
    <t xml:space="preserve"> d****h </t>
  </si>
  <si>
    <t xml:space="preserve"> Sat Feb 03 2018 18:24:55</t>
  </si>
  <si>
    <t xml:space="preserve"> Im currently watching a documentary on bitcoin so in 1h and 22 mins its over for you all</t>
  </si>
  <si>
    <t xml:space="preserve"> Sat Feb 03 2018 18:25:22</t>
  </si>
  <si>
    <t xml:space="preserve"> How many ppl lost faith in litecoin? I bought ethereum and Bitcoin cash in the dip....</t>
  </si>
  <si>
    <t xml:space="preserve"> P****2 </t>
  </si>
  <si>
    <t xml:space="preserve"> Sat Feb 03 2018 18:25:30</t>
  </si>
  <si>
    <t xml:space="preserve"> So what is your overall portfolio ? </t>
  </si>
  <si>
    <t xml:space="preserve"> Sat Feb 03 2018 18:25:35</t>
  </si>
  <si>
    <t xml:space="preserve"> Bitcoin Price Prediction: up to $26516.1! - BTC/USD Forecast, Long-Term</t>
  </si>
  <si>
    <t xml:space="preserve"> Sat Feb 03 2018 18:25:38</t>
  </si>
  <si>
    <t xml:space="preserve"> UsnowacCoin </t>
  </si>
  <si>
    <t xml:space="preserve"> Sat Feb 03 2018 18:25:47</t>
  </si>
  <si>
    <t xml:space="preserve"> The Current Bitcoin Price is 0.00010902 BTC for $1 USD </t>
  </si>
  <si>
    <t xml:space="preserve"> Sat Feb 03 2018 18:26:03</t>
  </si>
  <si>
    <t xml:space="preserve"> Lightening your Bitcoin blues?</t>
  </si>
  <si>
    <t xml:space="preserve"> Sat Feb 03 2018 18:26:19</t>
  </si>
  <si>
    <t xml:space="preserve"> I invented bitcoin about 15y ago. I was stupid then. What part you don't understand?</t>
  </si>
  <si>
    <t xml:space="preserve"> is some sort of digital Ponzi scheme..because how is it going to drop several 100 in one day? based on what?</t>
  </si>
  <si>
    <t xml:space="preserve"> P****e </t>
  </si>
  <si>
    <t xml:space="preserve"> Sat Feb 03 2018 18:26:30</t>
  </si>
  <si>
    <t xml:space="preserve"> Little GY!BE things: trading in your fiat currency for a bitcoin wallet full of blood</t>
  </si>
  <si>
    <t xml:space="preserve"> Sat Feb 03 2018 18:26:31</t>
  </si>
  <si>
    <t xml:space="preserve"> I'm trying to put together a script explaining just the bare essentials of Bitcoin, and I can't make it not sound like coke ravings.</t>
  </si>
  <si>
    <t xml:space="preserve"> s****D </t>
  </si>
  <si>
    <t xml:space="preserve"> Stolen by pirates</t>
  </si>
  <si>
    <t xml:space="preserve"> Sat Feb 03 2018 18:26:57</t>
  </si>
  <si>
    <t xml:space="preserve"> *buys BitCoin miner after gambling career hits rocks*</t>
  </si>
  <si>
    <t xml:space="preserve"> Harpenden </t>
  </si>
  <si>
    <t xml:space="preserve"> Sat Feb 03 2018 18:27:16</t>
  </si>
  <si>
    <t xml:space="preserve"> 10k bitcoin btw</t>
  </si>
  <si>
    <t xml:space="preserve"> Sat Feb 03 2018 18:28:04</t>
  </si>
  <si>
    <t xml:space="preserve"> BUY $btc $bcc $btg $eth $ltc</t>
  </si>
  <si>
    <t xml:space="preserve"> Sat Feb 03 2018 18:28:15</t>
  </si>
  <si>
    <t xml:space="preserve"> Bitcoin ban expands across credit cards , falls below $8000 ~news</t>
  </si>
  <si>
    <t xml:space="preserve"> Sat Feb 03 2018 18:28:21</t>
  </si>
  <si>
    <t xml:space="preserve"> Of course, please dont tell anyone that Mossad invented Bitcoin, as it is a secret.</t>
  </si>
  <si>
    <t xml:space="preserve"> Sat Feb 03 2018 18:29:16</t>
  </si>
  <si>
    <t xml:space="preserve"> Johnny can you please warn your follows if bitcoin drops fast</t>
  </si>
  <si>
    <t xml:space="preserve"> b****o </t>
  </si>
  <si>
    <t xml:space="preserve"> Hovedstaden, Danmark</t>
  </si>
  <si>
    <t xml:space="preserve"> da</t>
  </si>
  <si>
    <t xml:space="preserve"> Sat Feb 03 2018 18:29:34</t>
  </si>
  <si>
    <t xml:space="preserve"> The day bitcoin does a staged crash and yall find out it was a scam </t>
  </si>
  <si>
    <t xml:space="preserve"> H****c </t>
  </si>
  <si>
    <t xml:space="preserve"> Paradise, NV</t>
  </si>
  <si>
    <t xml:space="preserve"> Sat Feb 03 2018 18:29:39</t>
  </si>
  <si>
    <t xml:space="preserve"> Imagine a vegan crossfitter who trades bitcoin.</t>
  </si>
  <si>
    <t xml:space="preserve"> Rhode Island</t>
  </si>
  <si>
    <t xml:space="preserve"> Sat Feb 03 2018 18:30:00</t>
  </si>
  <si>
    <t xml:space="preserve"> make money - make money - get slaughtered $btc $eth </t>
  </si>
  <si>
    <t xml:space="preserve"> d****p </t>
  </si>
  <si>
    <t xml:space="preserve"> Sat Feb 03 2018 18:30:02</t>
  </si>
  <si>
    <t xml:space="preserve"> Bitcoin:$9191.57 Ethereum:$961.379 Bitcoin Cash:$1247.04 Litecoin:$148.929 Ripple:$0.914625 IOTA:$1.97122</t>
  </si>
  <si>
    <t xml:space="preserve"> Sat Feb 03 2018 18:30:03</t>
  </si>
  <si>
    <t xml:space="preserve"> Thinking of releasing the playlists I listen to when Im studying Bitcoin.</t>
  </si>
  <si>
    <t xml:space="preserve"> Sat Feb 03 2018 18:30:18</t>
  </si>
  <si>
    <t xml:space="preserve"> Bitcoin news: Top 10 cryptocurrency predictions for 2018 by Blockchain guru | City &amp; Business | Finance </t>
  </si>
  <si>
    <t xml:space="preserve"> Sat Feb 03 2018 18:30:29</t>
  </si>
  <si>
    <t xml:space="preserve"> let take it with an ex. - Is Bitcoin trading allowed in India?</t>
  </si>
  <si>
    <t xml:space="preserve"> n****a </t>
  </si>
  <si>
    <t xml:space="preserve"> Sat Feb 03 2018 18:30:40</t>
  </si>
  <si>
    <t xml:space="preserve"> Yeah send me half a bitcoin</t>
  </si>
  <si>
    <t xml:space="preserve"> P****D </t>
  </si>
  <si>
    <t xml:space="preserve"> On The Road To Riches </t>
  </si>
  <si>
    <t xml:space="preserve"> Sat Feb 03 2018 18:30:42</t>
  </si>
  <si>
    <t xml:space="preserve"> abhi we need more tweets from you, full support </t>
  </si>
  <si>
    <t xml:space="preserve"> Seracle</t>
  </si>
  <si>
    <t xml:space="preserve"> Sat Feb 03 2018 18:30:47</t>
  </si>
  <si>
    <t xml:space="preserve"> fancy a date?</t>
  </si>
  <si>
    <t xml:space="preserve"> Sat Feb 03 2018 18:31:00</t>
  </si>
  <si>
    <t xml:space="preserve"> Bitcoin is patience. It is preparation. Learn that and you have taken your first steps. .</t>
  </si>
  <si>
    <t xml:space="preserve"> Sat Feb 03 2018 18:31:12</t>
  </si>
  <si>
    <t xml:space="preserve"> Hello humans, is currently around $9184.27 as of Sat Feb 3 12:31:10 CST 2018</t>
  </si>
  <si>
    <t xml:space="preserve"> Sat Feb 03 2018 18:31:33</t>
  </si>
  <si>
    <t xml:space="preserve"> Lol Ill trade u half a Bitcoin for a whole one</t>
  </si>
  <si>
    <t xml:space="preserve"> s****_ </t>
  </si>
  <si>
    <t xml:space="preserve"> Magnolia</t>
  </si>
  <si>
    <t xml:space="preserve"> Sat Feb 03 2018 18:31:45</t>
  </si>
  <si>
    <t xml:space="preserve"> Youre trying to make things more complicated than they are.</t>
  </si>
  <si>
    <t xml:space="preserve"> Poole, England</t>
  </si>
  <si>
    <t xml:space="preserve"> Sat Feb 03 2018 18:31:48</t>
  </si>
  <si>
    <t xml:space="preserve"> Optimal tx fee: 60 satoshi per byte. BTC : $9230 / 7406 / 6535 Block 507468. Market Cap: 158.5B USD. </t>
  </si>
  <si>
    <t xml:space="preserve"> Sat Feb 03 2018 18:32:07</t>
  </si>
  <si>
    <t xml:space="preserve"> The people who believe in bitcoin are the same people who in the 70s bought a pet rock.</t>
  </si>
  <si>
    <t xml:space="preserve"> i****D </t>
  </si>
  <si>
    <t xml:space="preserve"> Suffragette City</t>
  </si>
  <si>
    <t xml:space="preserve"> Sat Feb 03 2018 18:32:14</t>
  </si>
  <si>
    <t xml:space="preserve"> Are you short in bitcoin future that you post a lot of old and panic news? Nobody written today about that......! Please stop </t>
  </si>
  <si>
    <t xml:space="preserve"> Sat Feb 03 2018 18:32:26</t>
  </si>
  <si>
    <t xml:space="preserve"> But that's not true XD. Neither is the original and both are the new coin.</t>
  </si>
  <si>
    <t xml:space="preserve"> Sat Feb 03 2018 18:32:39</t>
  </si>
  <si>
    <t xml:space="preserve"> Earn approximately $2,500 in 10 days from Bitcoin Mining. No Risk , no investment and dont send your money to anyone.</t>
  </si>
  <si>
    <t xml:space="preserve"> Sat Feb 03 2018 18:33:19</t>
  </si>
  <si>
    <t xml:space="preserve"> Boys have the capacity to turn Bitcoin and Suarez into a two hour conversation</t>
  </si>
  <si>
    <t xml:space="preserve"> Sat Feb 03 2018 18:33:22</t>
  </si>
  <si>
    <t xml:space="preserve"> Im glad to watch how an experienced team is developing such a long-term product. , </t>
  </si>
  <si>
    <t xml:space="preserve"> e****u </t>
  </si>
  <si>
    <t xml:space="preserve"> Sat Feb 03 2018 18:33:39</t>
  </si>
  <si>
    <t xml:space="preserve"> how did you get 0.00096357 bitcoin hahaha such a random decimal </t>
  </si>
  <si>
    <t xml:space="preserve"> H****G </t>
  </si>
  <si>
    <t xml:space="preserve"> Sat Feb 03 2018 18:33:49</t>
  </si>
  <si>
    <t xml:space="preserve"> Well I'd argue preventing noobs from buying bitcoin on credit is a good step.</t>
  </si>
  <si>
    <t xml:space="preserve"> s****t </t>
  </si>
  <si>
    <t xml:space="preserve"> Sat Feb 03 2018 18:33:51</t>
  </si>
  <si>
    <t xml:space="preserve"> They only accept bitcoin bro not gonna happen</t>
  </si>
  <si>
    <t xml:space="preserve"> F****d </t>
  </si>
  <si>
    <t xml:space="preserve"> Vault 101</t>
  </si>
  <si>
    <t xml:space="preserve"> Sat Feb 03 2018 18:34:04</t>
  </si>
  <si>
    <t xml:space="preserve"> i dont have enough money for bitcoin anyway</t>
  </si>
  <si>
    <t xml:space="preserve"> Sat Feb 03 2018 18:34:12</t>
  </si>
  <si>
    <t xml:space="preserve"> And the influence of social media even has some big names in the investing world believing in ...</t>
  </si>
  <si>
    <t xml:space="preserve"> Sat Feb 03 2018 18:34:33</t>
  </si>
  <si>
    <t xml:space="preserve"> Bitcoin cannot fail because it is a revolutionary way to hide money from governmentsBitcoin expert</t>
  </si>
  <si>
    <t xml:space="preserve"> Sat Feb 03 2018 18:35:17</t>
  </si>
  <si>
    <t xml:space="preserve"> Bitcoin short Target 12000 $ Litecoin Short Target 250 $</t>
  </si>
  <si>
    <t xml:space="preserve"> Sat Feb 03 2018 18:35:26</t>
  </si>
  <si>
    <t xml:space="preserve"> ligi 100. 100 leagues. im your bitcoin jesus.</t>
  </si>
  <si>
    <t xml:space="preserve"> nairobi kenya</t>
  </si>
  <si>
    <t xml:space="preserve"> Sat Feb 03 2018 18:35:28</t>
  </si>
  <si>
    <t xml:space="preserve"> bitcoin date deposits make me happy</t>
  </si>
  <si>
    <t xml:space="preserve"> based in NYC // Fly Me to You</t>
  </si>
  <si>
    <t xml:space="preserve"> Sat Feb 03 2018 18:35:44</t>
  </si>
  <si>
    <t xml:space="preserve"> I was trying to say wait until 2019 to buy a bitcoin um harvester machine</t>
  </si>
  <si>
    <t xml:space="preserve"> Sat Feb 03 2018 18:35:59</t>
  </si>
  <si>
    <t xml:space="preserve"> Bitcoin news: Top 10 cryptocurrency predictions for 2018 by Blockchain guru | City &amp; Business | Finance</t>
  </si>
  <si>
    <t xml:space="preserve"> Sat Feb 03 2018 18:36:10</t>
  </si>
  <si>
    <t xml:space="preserve"> Forex &lt; bitcoin &lt; fpl</t>
  </si>
  <si>
    <t xml:space="preserve"> f****I </t>
  </si>
  <si>
    <t xml:space="preserve"> vanuatu</t>
  </si>
  <si>
    <t xml:space="preserve"> Sat Feb 03 2018 18:36:18</t>
  </si>
  <si>
    <t xml:space="preserve"> Good stuff coming </t>
  </si>
  <si>
    <t xml:space="preserve"> Stay tuned for more updates. Support and be one of us.</t>
  </si>
  <si>
    <t xml:space="preserve"> Philippines</t>
  </si>
  <si>
    <t xml:space="preserve"> Sat Feb 03 2018 18:37:25</t>
  </si>
  <si>
    <t xml:space="preserve"> End of 2018 Predictions: Bitcoin: $65,000 Ethereum: $25,000 Litecoin: $15,000 NEO: $23,000</t>
  </si>
  <si>
    <t xml:space="preserve"> w****r </t>
  </si>
  <si>
    <t xml:space="preserve"> RT doesnt = endorsement</t>
  </si>
  <si>
    <t xml:space="preserve"> Sat Feb 03 2018 18:37:28</t>
  </si>
  <si>
    <t xml:space="preserve"> Ppl are serious bad READERS to misinterpret and create fud $BTC $ETH </t>
  </si>
  <si>
    <t xml:space="preserve"> Sat Feb 03 2018 18:37:30</t>
  </si>
  <si>
    <t xml:space="preserve"> When will the ascension be? Bitcoin </t>
  </si>
  <si>
    <t xml:space="preserve"> J****e </t>
  </si>
  <si>
    <t xml:space="preserve"> Sat Feb 03 2018 18:37:56</t>
  </si>
  <si>
    <t xml:space="preserve"> Talk is cheap, especially from a s...s...stutterer! </t>
  </si>
  <si>
    <t xml:space="preserve"> Prague, Czech Republic</t>
  </si>
  <si>
    <t xml:space="preserve"> Sat Feb 03 2018 18:38:09</t>
  </si>
  <si>
    <t xml:space="preserve"> The earth being flat has nothing to do with . And the Earth is flat, you like it or not.</t>
  </si>
  <si>
    <t xml:space="preserve"> Sat Feb 03 2018 18:38:28</t>
  </si>
  <si>
    <t xml:space="preserve"> MGTI: Bitcoin $9.3k now. MGTI should have a good comeback.</t>
  </si>
  <si>
    <t xml:space="preserve"> Sat Feb 03 2018 18:38:32</t>
  </si>
  <si>
    <t xml:space="preserve"> How do you invest in bitcoin via the cash app</t>
  </si>
  <si>
    <t xml:space="preserve"> MSU</t>
  </si>
  <si>
    <t xml:space="preserve"> Sat Feb 03 2018 18:39:02</t>
  </si>
  <si>
    <t xml:space="preserve"> BITCOIN collapses :-) US and Europe already asked for collaboration on shutting the Ponzi down</t>
  </si>
  <si>
    <t xml:space="preserve"> Sat Feb 03 2018 18:39:07</t>
  </si>
  <si>
    <t xml:space="preserve"> 3/ every single core value bitcoin was designed to bring into the world. That should at least raise some red flags</t>
  </si>
  <si>
    <t xml:space="preserve"> Intergalactic void</t>
  </si>
  <si>
    <t xml:space="preserve"> Sat Feb 03 2018 18:39:16</t>
  </si>
  <si>
    <t xml:space="preserve"> Have we started a fire? Yes. The fire rises! - two guys buying bitcoin from an ATM in a pita shop</t>
  </si>
  <si>
    <t xml:space="preserve"> Sat Feb 03 2018 18:39:26</t>
  </si>
  <si>
    <t xml:space="preserve"> I don't care about the price! I want !</t>
  </si>
  <si>
    <t xml:space="preserve"> z****y </t>
  </si>
  <si>
    <t xml:space="preserve"> Sat Feb 03 2018 18:40:00</t>
  </si>
  <si>
    <t xml:space="preserve"> CryptoCompare Bitcoin price changed +1.03% to $9327.49 </t>
  </si>
  <si>
    <t xml:space="preserve"> Sat Feb 03 2018 18:40:12</t>
  </si>
  <si>
    <t xml:space="preserve"> It's pronounced: $BTC </t>
  </si>
  <si>
    <t xml:space="preserve"> l****e </t>
  </si>
  <si>
    <t xml:space="preserve"> Sat Feb 03 2018 18:40:16</t>
  </si>
  <si>
    <t xml:space="preserve"> (63229 follows) RT : Crypto and bitcoin has changed my life for the better so heres a random .1 btc giveaway...</t>
  </si>
  <si>
    <t xml:space="preserve"> Sat Feb 03 2018 18:40:22</t>
  </si>
  <si>
    <t xml:space="preserve"> 1 Litecoin = 0.165 Bitcoin</t>
  </si>
  <si>
    <t xml:space="preserve"> Sat Feb 03 2018 18:40:25</t>
  </si>
  <si>
    <t xml:space="preserve"> Bitcoin initial price was $0.08, it is now $9230.00, And a few weeks ago it hit its highest peak at $13,601.43.</t>
  </si>
  <si>
    <t xml:space="preserve"> R****v </t>
  </si>
  <si>
    <t xml:space="preserve"> Low. </t>
  </si>
  <si>
    <t xml:space="preserve"> Sat Feb 03 2018 18:40:27</t>
  </si>
  <si>
    <t xml:space="preserve"> Interesting to see how many people left Crypto.... SO AMAZING! yet we need you. Don't let Bitcoin become centralized</t>
  </si>
  <si>
    <t xml:space="preserve"> Sat Feb 03 2018 18:40:36</t>
  </si>
  <si>
    <t xml:space="preserve"> You know LN doesn't have tokens. You know it's still bitcoin. You're only fooling the noobs which is messed up</t>
  </si>
  <si>
    <t xml:space="preserve"> Sat Feb 03 2018 18:40:43</t>
  </si>
  <si>
    <t xml:space="preserve"> How do i buy bitcoin?</t>
  </si>
  <si>
    <t xml:space="preserve"> l****9 </t>
  </si>
  <si>
    <t xml:space="preserve"> Long Beach, CA</t>
  </si>
  <si>
    <t xml:space="preserve"> Sat Feb 03 2018 18:40:54</t>
  </si>
  <si>
    <t xml:space="preserve"> Bitcoin, robbery proof?</t>
  </si>
  <si>
    <t xml:space="preserve"> Sat Feb 03 2018 18:42:01</t>
  </si>
  <si>
    <t xml:space="preserve"> I have turned all my bitcoin miners to rendering mnuchin deepfakes</t>
  </si>
  <si>
    <t xml:space="preserve"> s****u </t>
  </si>
  <si>
    <t xml:space="preserve"> Chicago</t>
  </si>
  <si>
    <t xml:space="preserve"> Sat Feb 03 2018 18:42:21</t>
  </si>
  <si>
    <t xml:space="preserve"> Great project with great possibilities </t>
  </si>
  <si>
    <t xml:space="preserve"> V****k </t>
  </si>
  <si>
    <t xml:space="preserve"> Sat Feb 03 2018 18:42:27</t>
  </si>
  <si>
    <t xml:space="preserve"> You can buy with and many more cryptocurrencies</t>
  </si>
  <si>
    <t xml:space="preserve"> Sat Feb 03 2018 18:42:28</t>
  </si>
  <si>
    <t xml:space="preserve"> We heard you are THE bitcoin Oracle..... we need a partnership right now ! </t>
  </si>
  <si>
    <t xml:space="preserve"> Sat Feb 03 2018 18:42:39</t>
  </si>
  <si>
    <t xml:space="preserve"> I am the face of </t>
  </si>
  <si>
    <t xml:space="preserve"> b****9 </t>
  </si>
  <si>
    <t xml:space="preserve"> Infinite Sorrow</t>
  </si>
  <si>
    <t xml:space="preserve"> Sat Feb 03 2018 18:43:03</t>
  </si>
  <si>
    <t xml:space="preserve"> Lmao I just checked coinbase. Ethereum is up 9%, Bitcoin is up 8% and Litecoin is up 21% today.</t>
  </si>
  <si>
    <t xml:space="preserve"> _****n </t>
  </si>
  <si>
    <t xml:space="preserve"> Sat Feb 03 2018 18:43:12</t>
  </si>
  <si>
    <t xml:space="preserve"> F' it! I don't care about the price... I want Bitcoin!!! You missing the point.</t>
  </si>
  <si>
    <t xml:space="preserve"> Sat Feb 03 2018 18:43:26</t>
  </si>
  <si>
    <t xml:space="preserve"> Bitcoin carnivores arguing with bitcoin vegans is why Twitter exists.</t>
  </si>
  <si>
    <t xml:space="preserve"> p****f </t>
  </si>
  <si>
    <t xml:space="preserve"> St. Louis</t>
  </si>
  <si>
    <t xml:space="preserve"> Sat Feb 03 2018 18:43:42</t>
  </si>
  <si>
    <t xml:space="preserve"> Roubini finally declared bitcoin a bubble.</t>
  </si>
  <si>
    <t xml:space="preserve"> b****w </t>
  </si>
  <si>
    <t xml:space="preserve"> Sat Feb 03 2018 18:44:26</t>
  </si>
  <si>
    <t xml:space="preserve"> In these days money moves from less trusted bitcoin investors to more trusted bitcoin holders as always.</t>
  </si>
  <si>
    <t xml:space="preserve"> Sat Feb 03 2018 18:45:02</t>
  </si>
  <si>
    <t xml:space="preserve"> There are currently 10,997 unconfirmed Bitcoin transactions. $BTC</t>
  </si>
  <si>
    <t xml:space="preserve"> Sat Feb 03 2018 18:46:00</t>
  </si>
  <si>
    <t xml:space="preserve"> So... is Etherium a Bitcoin competitor or...?</t>
  </si>
  <si>
    <t xml:space="preserve"> Sat Feb 03 2018 18:46:08</t>
  </si>
  <si>
    <t xml:space="preserve"> Just watch as many episodes as humanly possible from any year. That'll be 3 Bitcoin, please.</t>
  </si>
  <si>
    <t xml:space="preserve"> Mordor, New Jersey</t>
  </si>
  <si>
    <t xml:space="preserve"> Sat Feb 03 2018 18:46:25</t>
  </si>
  <si>
    <t xml:space="preserve"> That's pretty spectacular mate, send me all your and I'll send you more back - seems to be trending on Twitter recently</t>
  </si>
  <si>
    <t xml:space="preserve"> North West, England</t>
  </si>
  <si>
    <t xml:space="preserve"> Sat Feb 03 2018 18:46:35</t>
  </si>
  <si>
    <t xml:space="preserve"> Just put 14,000 BitCoin on Joe Weller. Get in lad!</t>
  </si>
  <si>
    <t xml:space="preserve"> K****d </t>
  </si>
  <si>
    <t xml:space="preserve"> Sat Feb 03 2018 18:47:07</t>
  </si>
  <si>
    <t xml:space="preserve"> is at 9k .. can I you now or later ?!</t>
  </si>
  <si>
    <t xml:space="preserve"> San Jose, CA</t>
  </si>
  <si>
    <t xml:space="preserve"> Sat Feb 03 2018 18:47:17</t>
  </si>
  <si>
    <t xml:space="preserve"> You really needed a its Bitcoin, who the hell knows button. </t>
  </si>
  <si>
    <t xml:space="preserve"> Z****2 </t>
  </si>
  <si>
    <t xml:space="preserve"> Sat Feb 03 2018 18:47:20</t>
  </si>
  <si>
    <t xml:space="preserve"> And I can give you one reason why even if you sometimes support the right idea, most people will still reject you.</t>
  </si>
  <si>
    <t xml:space="preserve"> c****d </t>
  </si>
  <si>
    <t xml:space="preserve"> Sat Feb 03 2018 18:47:24</t>
  </si>
  <si>
    <t xml:space="preserve"> Wrong. After Mt Gox, bitcoin dropped 92%. Last January was nothing. Get your facts straight</t>
  </si>
  <si>
    <t xml:space="preserve"> Sat Feb 03 2018 18:47:52</t>
  </si>
  <si>
    <t xml:space="preserve"> Bitcoin is bae </t>
  </si>
  <si>
    <t xml:space="preserve"> In Sane | Mount Neverest </t>
  </si>
  <si>
    <t xml:space="preserve"> Sat Feb 03 2018 18:48:04</t>
  </si>
  <si>
    <t xml:space="preserve"> thoughts on cryptocurrency and bitcoin in general?</t>
  </si>
  <si>
    <t xml:space="preserve"> Ireland </t>
  </si>
  <si>
    <t xml:space="preserve"> Sat Feb 03 2018 18:48:06</t>
  </si>
  <si>
    <t xml:space="preserve"> Just explained Bitcoin to my friend as fake electronic money.</t>
  </si>
  <si>
    <t xml:space="preserve"> Illinois, USA</t>
  </si>
  <si>
    <t xml:space="preserve"> Sat Feb 03 2018 18:48:12</t>
  </si>
  <si>
    <t xml:space="preserve"> In we use to say dont quit your job to be a poker player, now it should be dont quit your job to be a trader </t>
  </si>
  <si>
    <t xml:space="preserve"> Sat Feb 03 2018 18:48:57</t>
  </si>
  <si>
    <t xml:space="preserve"> February 2018 brought to you by me spending money on a GTX 1060 6gb because it hasn't been price hiked due to bitcoin mining</t>
  </si>
  <si>
    <t xml:space="preserve"> Sat Feb 03 2018 18:49:39</t>
  </si>
  <si>
    <t xml:space="preserve"> Cryptocurrency: Price USD: 9251.67 Price BTC: 1.0 24h Volume USD: 7495910000.0 Percent change 24h: 6.35</t>
  </si>
  <si>
    <t xml:space="preserve"> if ksi wins I'll give everyone that likes this tweet 1 whole bitcoin</t>
  </si>
  <si>
    <t xml:space="preserve"> Sat Feb 03 2018 18:49:47</t>
  </si>
  <si>
    <t xml:space="preserve"> Hurry to join Pre-Sale working with a 45% discount until March 5! </t>
  </si>
  <si>
    <t xml:space="preserve"> V****u </t>
  </si>
  <si>
    <t xml:space="preserve"> Sat Feb 03 2018 18:49:52</t>
  </si>
  <si>
    <t xml:space="preserve"> Because the NASDAQ and BitCoin are the same thing...and the timeline doesnt fit.</t>
  </si>
  <si>
    <t xml:space="preserve"> Welcome to Da Bay</t>
  </si>
  <si>
    <t xml:space="preserve"> Sat Feb 03 2018 18:50:01</t>
  </si>
  <si>
    <t xml:space="preserve"> BTC-DOPE AskRate: 0.00000990 $DOPE FOLLOW for PROFIT</t>
  </si>
  <si>
    <t xml:space="preserve"> Sat Feb 03 2018 18:50:12</t>
  </si>
  <si>
    <t xml:space="preserve"> How to invest in Bitcoin Tip - Don't!</t>
  </si>
  <si>
    <t xml:space="preserve"> York, England</t>
  </si>
  <si>
    <t xml:space="preserve"> Sat Feb 03 2018 18:50:46</t>
  </si>
  <si>
    <t xml:space="preserve"> My bitcoin went back up today lol</t>
  </si>
  <si>
    <t xml:space="preserve"> Sat Feb 03 2018 18:51:36</t>
  </si>
  <si>
    <t xml:space="preserve"> On a side note, really enjoy your youtube channel. Different take on bitcoin, great fun.</t>
  </si>
  <si>
    <t xml:space="preserve"> Sat Feb 03 2018 18:51:51</t>
  </si>
  <si>
    <t xml:space="preserve"> Life is rough, but could you imagine having bought like 17 bitcoin back in the day to buy drugs and hating yourself today for not saving it?</t>
  </si>
  <si>
    <t xml:space="preserve"> College of Wooster</t>
  </si>
  <si>
    <t xml:space="preserve"> Sat Feb 03 2018 18:53:28</t>
  </si>
  <si>
    <t xml:space="preserve"> AI. Bitcoin soon becomes self aware </t>
  </si>
  <si>
    <t xml:space="preserve"> Southampton</t>
  </si>
  <si>
    <t xml:space="preserve"> Sat Feb 03 2018 18:54:22</t>
  </si>
  <si>
    <t xml:space="preserve"> Bitcoin (feat. H Love) - by PBH &amp; Jack Shizzle </t>
  </si>
  <si>
    <t xml:space="preserve"> N****1 </t>
  </si>
  <si>
    <t xml:space="preserve"> Sat Feb 03 2018 18:54:25</t>
  </si>
  <si>
    <t xml:space="preserve"> Scamity scam scam scam.... $BTC</t>
  </si>
  <si>
    <t xml:space="preserve"> Sat Feb 03 2018 18:54:29</t>
  </si>
  <si>
    <t xml:space="preserve"> Ill give you 4 now but you give me back 40 when Bitcoin is at new highs.</t>
  </si>
  <si>
    <t xml:space="preserve"> Sat Feb 03 2018 18:54:31</t>
  </si>
  <si>
    <t xml:space="preserve"> and Bitcoin</t>
  </si>
  <si>
    <t xml:space="preserve"> x****t </t>
  </si>
  <si>
    <t xml:space="preserve"> Sat Feb 03 2018 18:54:52</t>
  </si>
  <si>
    <t xml:space="preserve"> I should add, why is the book relevant to bitcoin?</t>
  </si>
  <si>
    <t xml:space="preserve"> Sat Feb 03 2018 18:55:19</t>
  </si>
  <si>
    <t xml:space="preserve"> I was hoping for a 5k Bitcoin I dont think Ill get iy</t>
  </si>
  <si>
    <t xml:space="preserve"> O****8 </t>
  </si>
  <si>
    <t xml:space="preserve"> Sat Feb 03 2018 18:55:24</t>
  </si>
  <si>
    <t xml:space="preserve"> People are getting bearish on . You know what that means. </t>
  </si>
  <si>
    <t xml:space="preserve"> Sat Feb 03 2018 18:55:41</t>
  </si>
  <si>
    <t xml:space="preserve"> Sorry dude only have Bitcoin :/</t>
  </si>
  <si>
    <t xml:space="preserve"> US of A</t>
  </si>
  <si>
    <t xml:space="preserve"> Sat Feb 03 2018 18:56:03</t>
  </si>
  <si>
    <t xml:space="preserve"> Ontario Minimum Wage: 2018 =&gt; $14 2019 =&gt; $15 2022 =&gt; $18 2024 =&gt; $22 2028 =&gt; 0.001 Bitcoin</t>
  </si>
  <si>
    <t xml:space="preserve"> Sat Feb 03 2018 18:56:29</t>
  </si>
  <si>
    <t xml:space="preserve"> Bitcoin is a techno tour de force. Bill Gates, Founder of Microsoft </t>
  </si>
  <si>
    <t xml:space="preserve"> Sat Feb 03 2018 18:56:38</t>
  </si>
  <si>
    <t xml:space="preserve"> So what's the prize for bitcoin at the moment?</t>
  </si>
  <si>
    <t xml:space="preserve"> Sat Feb 03 2018 18:57:06</t>
  </si>
  <si>
    <t xml:space="preserve"> Todays the day to buy bitcoin.</t>
  </si>
  <si>
    <t xml:space="preserve"> Kent, OH</t>
  </si>
  <si>
    <t xml:space="preserve"> Sat Feb 03 2018 18:57:10</t>
  </si>
  <si>
    <t xml:space="preserve"> Jealousy is corrosive. Bitcoin evokes strong emotions from both supporters and in this case detractors.</t>
  </si>
  <si>
    <t xml:space="preserve"> Cayman Islands</t>
  </si>
  <si>
    <t xml:space="preserve"> Sat Feb 03 2018 18:57:46</t>
  </si>
  <si>
    <t xml:space="preserve"> Can someone explain to me how bitcoin is expected to rise later on?</t>
  </si>
  <si>
    <t xml:space="preserve"> Sat Feb 03 2018 18:57:48</t>
  </si>
  <si>
    <t xml:space="preserve"> The Short Squeeze - 2018 sequel - staring and in the role of Satoshi Nakamoto. Producer Willy the Whale</t>
  </si>
  <si>
    <t xml:space="preserve"> $XBY $SPHTX $BAY $NEO $LSK $ARK $POWR $NEBL $ADC $IOT</t>
  </si>
  <si>
    <t xml:space="preserve"> Sat Feb 03 2018 18:57:52</t>
  </si>
  <si>
    <t xml:space="preserve"> Easy: Bitcoin is a crypto, scams are all scams. ;)</t>
  </si>
  <si>
    <t xml:space="preserve"> Sat Feb 03 2018 18:58:03</t>
  </si>
  <si>
    <t xml:space="preserve"> &amp; are three things i could do with hearing less about...</t>
  </si>
  <si>
    <t xml:space="preserve"> Hampshire/London/Glasgow</t>
  </si>
  <si>
    <t xml:space="preserve"> Sat Feb 03 2018 18:58:28</t>
  </si>
  <si>
    <t xml:space="preserve"> Bitcoin taxes are a nightmare.</t>
  </si>
  <si>
    <t xml:space="preserve"> Sat Feb 03 2018 18:58:35</t>
  </si>
  <si>
    <t xml:space="preserve"> Just enjoying the dance music, and bitcoin is actually in a track Two worlds collide!</t>
  </si>
  <si>
    <t xml:space="preserve"> Sat Feb 03 2018 18:58:38</t>
  </si>
  <si>
    <t xml:space="preserve"> ' Stop use for illicit purposes' Finish the Indian's Minister of finance statement in full . Wtf ? Bitcoin news or bitcoin fud ?</t>
  </si>
  <si>
    <t xml:space="preserve"> Sat Feb 03 2018 18:59:05</t>
  </si>
  <si>
    <t xml:space="preserve"> The Current Bitcoin Price is 0.00010738 BTC for $1 USD </t>
  </si>
  <si>
    <t xml:space="preserve"> Sat Feb 03 2018 18:59:25</t>
  </si>
  <si>
    <t xml:space="preserve"> A million people saw me tweet about being financially responsible the day after Bitcoin peaked. What did you do buddy?</t>
  </si>
  <si>
    <t xml:space="preserve"> Sat Feb 03 2018 18:59:35</t>
  </si>
  <si>
    <t xml:space="preserve"> Morning, Mr. Machine. How BITCOIN TODAY, sir?</t>
  </si>
  <si>
    <t xml:space="preserve"> Sat Feb 03 2018 18:59:47</t>
  </si>
  <si>
    <t xml:space="preserve"> You should do a year really. Like the Bitcoin bet you made if I recall?</t>
  </si>
  <si>
    <t xml:space="preserve"> District 9</t>
  </si>
  <si>
    <t xml:space="preserve"> Sat Feb 03 2018 19:00:00</t>
  </si>
  <si>
    <t xml:space="preserve"> , Bitcoin with unit price of $9,289.03, market cap of $156,458,494,919 (34.65%), and 24 hr vol. of $7,496,140,000 (31.23%)</t>
  </si>
  <si>
    <t xml:space="preserve"> Sat Feb 03 2018 19:00:01</t>
  </si>
  <si>
    <t xml:space="preserve"> CryptoCompare Bitcoin price changed +1.05% to $9425.44 </t>
  </si>
  <si>
    <t xml:space="preserve"> Average Bitcoin market price is: USD 9,388.62, EUR 7,542.92</t>
  </si>
  <si>
    <t xml:space="preserve"> Sat Feb 03 2018 19:00:02</t>
  </si>
  <si>
    <t xml:space="preserve"> Bitcoin:$9289.03 Ethereum:$968.255 Bitcoin Cash:$1255.59 Litecoin:$155.911 Ripple:$0.92238 IOTA:$1.9808</t>
  </si>
  <si>
    <t xml:space="preserve"> Current BTC Dominance: 34.65% </t>
  </si>
  <si>
    <t xml:space="preserve"> The average price of Bitcoin across all exchanges is 9,252.70 USD</t>
  </si>
  <si>
    <t xml:space="preserve"> Looking at joining the revolution, has anyone got any pointers on how to start </t>
  </si>
  <si>
    <t xml:space="preserve"> Harbury, England</t>
  </si>
  <si>
    <t xml:space="preserve"> Sat Feb 03 2018 19:00:04</t>
  </si>
  <si>
    <t xml:space="preserve"> NEWS: An Innovative Token Is a Wireless US$ Bitcoin Meetup - CoinTelegraph </t>
  </si>
  <si>
    <t xml:space="preserve"> T****N </t>
  </si>
  <si>
    <t xml:space="preserve"> Sat Feb 03 2018 19:00:05</t>
  </si>
  <si>
    <t xml:space="preserve"> 2018-02-03 07:00 UTC Bitcoin Price: 9378.03 USD</t>
  </si>
  <si>
    <t xml:space="preserve"> Sat Feb 03 2018 19:00:11</t>
  </si>
  <si>
    <t xml:space="preserve"> Feb 03, 2018 11:00AM Price: USD 8848.23 | EUR 7140.16 | JPY 951273.16</t>
  </si>
  <si>
    <t xml:space="preserve"> Sat Feb 03 2018 19:00:14</t>
  </si>
  <si>
    <t xml:space="preserve"> Top 6 BTC/USD Exchange Orderbooks: Resistance til $9700:$35.2M; Support til $9100:$16.1M $BTC $BTCUSD </t>
  </si>
  <si>
    <t xml:space="preserve"> Sat Feb 03 2018 19:00:30</t>
  </si>
  <si>
    <t xml:space="preserve"> BTC hourly update $9373.08 | +0.0157% $BTC </t>
  </si>
  <si>
    <t xml:space="preserve"> Sat Feb 03 2018 19:00:32</t>
  </si>
  <si>
    <t xml:space="preserve"> Bitcoin is currency not a equity. You dont pay taxes on cash in hand.</t>
  </si>
  <si>
    <t xml:space="preserve"> P****k </t>
  </si>
  <si>
    <t xml:space="preserve"> Sat Feb 03 2018 19:00:44</t>
  </si>
  <si>
    <t xml:space="preserve"> And that's how you know we're in a bitcoin bubble</t>
  </si>
  <si>
    <t xml:space="preserve"> D****h </t>
  </si>
  <si>
    <t xml:space="preserve"> Virginia Beach, VA</t>
  </si>
  <si>
    <t xml:space="preserve"> Sat Feb 03 2018 19:00:45</t>
  </si>
  <si>
    <t xml:space="preserve"> Better than Bitcoin!!!</t>
  </si>
  <si>
    <t xml:space="preserve"> Philadelphia</t>
  </si>
  <si>
    <t xml:space="preserve"> Sat Feb 03 2018 19:00:52</t>
  </si>
  <si>
    <t xml:space="preserve"> Current price of Bitcoin is $9417.00.</t>
  </si>
  <si>
    <t xml:space="preserve"> Sat Feb 03 2018 19:01:01</t>
  </si>
  <si>
    <t xml:space="preserve"> Stfu Roger</t>
  </si>
  <si>
    <t xml:space="preserve"> o****_ </t>
  </si>
  <si>
    <t xml:space="preserve"> 127.0.0.1</t>
  </si>
  <si>
    <t xml:space="preserve"> Sat Feb 03 2018 19:01:03</t>
  </si>
  <si>
    <t xml:space="preserve"> Old black guys hate bitcoin too, lets not be racists here lol</t>
  </si>
  <si>
    <t xml:space="preserve"> P****1 </t>
  </si>
  <si>
    <t xml:space="preserve"> Sat Feb 03 2018 19:01:21</t>
  </si>
  <si>
    <t xml:space="preserve"> Now is a really bad time to pick a pc together! Thanks to BitCoin</t>
  </si>
  <si>
    <t xml:space="preserve"> Sat Feb 03 2018 19:01:23</t>
  </si>
  <si>
    <t xml:space="preserve"> So you sold your bitcoin on time</t>
  </si>
  <si>
    <t xml:space="preserve"> Sat Feb 03 2018 19:01:24</t>
  </si>
  <si>
    <t xml:space="preserve"> Current price of Bitcoin is $9417.00 </t>
  </si>
  <si>
    <t xml:space="preserve"> Sat Feb 03 2018 19:01:50</t>
  </si>
  <si>
    <t xml:space="preserve"> The buzz of bitcoin: Cryptocurrency for sale at vape shops, bars and gas stations </t>
  </si>
  <si>
    <t xml:space="preserve"> Get Ready for the Bitcoin Recovery. Technicians Point to Rebound </t>
  </si>
  <si>
    <t xml:space="preserve"> Sat Feb 03 2018 19:01:51</t>
  </si>
  <si>
    <t xml:space="preserve"> Dead again? In Reality Bitcoin Is Up 729% Since Last February </t>
  </si>
  <si>
    <t xml:space="preserve"> 6 cryptocurrencies that could become the next Bitcoin </t>
  </si>
  <si>
    <t xml:space="preserve"> Sat Feb 03 2018 19:02:09</t>
  </si>
  <si>
    <t xml:space="preserve"> Current price of Bitcoin is $9417.00</t>
  </si>
  <si>
    <t xml:space="preserve"> Sat Feb 03 2018 19:02:16</t>
  </si>
  <si>
    <t xml:space="preserve"> Current price of is $9417.00</t>
  </si>
  <si>
    <t xml:space="preserve"> Sat Feb 03 2018 19:02:17</t>
  </si>
  <si>
    <t xml:space="preserve"> I have no idea what blockchain freelancing is, but I can only assume it makes freelancing as precarious as Bitcoin... Sign me up!</t>
  </si>
  <si>
    <t xml:space="preserve"> Sat Feb 03 2018 19:02:36</t>
  </si>
  <si>
    <t xml:space="preserve"> Bitcoin equals 11330.86 US Dollar</t>
  </si>
  <si>
    <t xml:space="preserve"> Sat Feb 03 2018 19:02:39</t>
  </si>
  <si>
    <t xml:space="preserve"> Paul Ryans the kind of guy that writes invest in Bitcoin on the tip line of a restaurant receipt.</t>
  </si>
  <si>
    <t xml:space="preserve"> Staten Island, NY</t>
  </si>
  <si>
    <t xml:space="preserve"> Sat Feb 03 2018 19:02:51</t>
  </si>
  <si>
    <t xml:space="preserve"> did someone check the bitcoin for me?</t>
  </si>
  <si>
    <t xml:space="preserve"> d****_ </t>
  </si>
  <si>
    <t xml:space="preserve"> Twente</t>
  </si>
  <si>
    <t xml:space="preserve"> Sat Feb 03 2018 19:03:08</t>
  </si>
  <si>
    <t xml:space="preserve"> Current price of Bitcoin is $9417.00 Like if thats good for you and retweet if thats not good for you </t>
  </si>
  <si>
    <t xml:space="preserve"> Sat Feb 03 2018 19:03:11</t>
  </si>
  <si>
    <t xml:space="preserve"> The first decentralized , , was created in 2009 by pseudonymous developer Satoshi Nakamoto. It used SHA-256.</t>
  </si>
  <si>
    <t xml:space="preserve"> Albuquerque, New Mexico</t>
  </si>
  <si>
    <t xml:space="preserve"> Sat Feb 03 2018 19:03:26</t>
  </si>
  <si>
    <t xml:space="preserve"> i was discussing bitcoin with my friend and he said, Lets make this interesting. so we stopped discussing bitcoin</t>
  </si>
  <si>
    <t xml:space="preserve"> p****i </t>
  </si>
  <si>
    <t xml:space="preserve"> Sat Feb 03 2018 19:03:38</t>
  </si>
  <si>
    <t xml:space="preserve"> Ive made .73 on Bitcoin so far, I should sell huh?</t>
  </si>
  <si>
    <t xml:space="preserve"> E****K </t>
  </si>
  <si>
    <t xml:space="preserve"> Ft. Worth, TX</t>
  </si>
  <si>
    <t xml:space="preserve"> Sat Feb 03 2018 19:03:59</t>
  </si>
  <si>
    <t xml:space="preserve"> RIP bitcoin</t>
  </si>
  <si>
    <t xml:space="preserve"> Sat Feb 03 2018 19:04:02</t>
  </si>
  <si>
    <t xml:space="preserve"> Just lost 14,000 BitCoin. Thanks a lot idiot </t>
  </si>
  <si>
    <t xml:space="preserve"> Sat Feb 03 2018 19:04:03</t>
  </si>
  <si>
    <t xml:space="preserve"> Current price of Bitcoin is $9417.00 Please RT if you enjoy this service</t>
  </si>
  <si>
    <t xml:space="preserve"> Sat Feb 03 2018 19:04:10</t>
  </si>
  <si>
    <t xml:space="preserve"> Bitcoin bounces are more than the price of gold. Learn how to trade Peter.</t>
  </si>
  <si>
    <t xml:space="preserve"> Sat Feb 03 2018 19:04:13</t>
  </si>
  <si>
    <t xml:space="preserve"> you know how much bitcoin that could've bought 10 years ago?</t>
  </si>
  <si>
    <t xml:space="preserve"> Sat Feb 03 2018 19:04:15</t>
  </si>
  <si>
    <t xml:space="preserve"> If anyone sells their bitcoin right now theyre going to miss a massive spike in volume and upward price action.</t>
  </si>
  <si>
    <t xml:space="preserve"> Sat Feb 03 2018 19:04:25</t>
  </si>
  <si>
    <t xml:space="preserve"> Current price of Bitcoin is $9417.00 via Chain </t>
  </si>
  <si>
    <t xml:space="preserve"> d****u </t>
  </si>
  <si>
    <t xml:space="preserve"> jakarta indonesia</t>
  </si>
  <si>
    <t xml:space="preserve"> Sat Feb 03 2018 19:04:27</t>
  </si>
  <si>
    <t xml:space="preserve"> Current price of is $9417.00 via Chain </t>
  </si>
  <si>
    <t xml:space="preserve"> Sat Feb 03 2018 19:04:43</t>
  </si>
  <si>
    <t xml:space="preserve"> Shorts on </t>
  </si>
  <si>
    <t xml:space="preserve"> Sat Feb 03 2018 19:04:45</t>
  </si>
  <si>
    <t xml:space="preserve"> Gonna make a parody of Don't Mine at Night about Bitcoin</t>
  </si>
  <si>
    <t xml:space="preserve"> Sat Feb 03 2018 19:04:52</t>
  </si>
  <si>
    <t xml:space="preserve"> That's because bitcoin keeps wrecking itself dragging down the whole market you mad man.</t>
  </si>
  <si>
    <t xml:space="preserve"> Sat Feb 03 2018 19:04:53</t>
  </si>
  <si>
    <t xml:space="preserve"> Am I the only one who has noticed the impeccable fud timing that bitcoin news has had in the last few weeks?</t>
  </si>
  <si>
    <t xml:space="preserve"> The Internet</t>
  </si>
  <si>
    <t xml:space="preserve"> Sat Feb 03 2018 19:05:06</t>
  </si>
  <si>
    <t xml:space="preserve"> adresse Bitcoin 1AP49EXSASd17P9wBPYBs26iVtWowUY6kn</t>
  </si>
  <si>
    <t xml:space="preserve"> Sat Feb 03 2018 19:05:39</t>
  </si>
  <si>
    <t xml:space="preserve"> Current price of Bitcoin is 7.542 </t>
  </si>
  <si>
    <t xml:space="preserve"> Sat Feb 03 2018 19:05:42</t>
  </si>
  <si>
    <t xml:space="preserve"> Mining a coin kills a polar bear. </t>
  </si>
  <si>
    <t xml:space="preserve"> Sat Feb 03 2018 19:05:45</t>
  </si>
  <si>
    <t xml:space="preserve"> Being the litecoin receives the EXACT SAME benefit from lightning network that Bitcoin does makes your point completely nonsense</t>
  </si>
  <si>
    <t xml:space="preserve"> 3****r </t>
  </si>
  <si>
    <t xml:space="preserve"> Heaven bound / Jesus is Lord</t>
  </si>
  <si>
    <t xml:space="preserve"> Sat Feb 03 2018 19:05:46</t>
  </si>
  <si>
    <t xml:space="preserve"> Bitcoin Held $8,000 looks like bottom is in!</t>
  </si>
  <si>
    <t xml:space="preserve"> Sat Feb 03 2018 19:05:58</t>
  </si>
  <si>
    <t xml:space="preserve"> Do you guys have a bitcoin address for donations? Love the game, worth way more than $15</t>
  </si>
  <si>
    <t xml:space="preserve"> Sat Feb 03 2018 19:06:17</t>
  </si>
  <si>
    <t xml:space="preserve"> nice to see bitcoin coming back a little today</t>
  </si>
  <si>
    <t xml:space="preserve"> Sat Feb 03 2018 19:06:29</t>
  </si>
  <si>
    <t xml:space="preserve"> Feeling reckless? No this is normal.. Getting into Bitcoin back in the day was reckless</t>
  </si>
  <si>
    <t xml:space="preserve"> Sat Feb 03 2018 19:06:40</t>
  </si>
  <si>
    <t xml:space="preserve"> So your saying ripple needs bitcoin.</t>
  </si>
  <si>
    <t xml:space="preserve"> Sat Feb 03 2018 19:06:44</t>
  </si>
  <si>
    <t xml:space="preserve"> $LTCUSD entering overbought zone on interval 60m </t>
  </si>
  <si>
    <t xml:space="preserve"> Sat Feb 03 2018 19:07:05</t>
  </si>
  <si>
    <t xml:space="preserve"> Lmso i just made .36 on bitcoin my money growing</t>
  </si>
  <si>
    <t xml:space="preserve"> r****_ </t>
  </si>
  <si>
    <t xml:space="preserve"> Sat Feb 03 2018 19:07:09</t>
  </si>
  <si>
    <t xml:space="preserve"> I was planning to go out and socialize a bit with good normies.....but than bitcoin got high. </t>
  </si>
  <si>
    <t xml:space="preserve"> Sat Feb 03 2018 19:07:15</t>
  </si>
  <si>
    <t xml:space="preserve"> Bitcoin's records of history will become glorious, and a high prize for future people.</t>
  </si>
  <si>
    <t xml:space="preserve"> Luxembourg</t>
  </si>
  <si>
    <t xml:space="preserve"> Sat Feb 03 2018 19:07:17</t>
  </si>
  <si>
    <t xml:space="preserve"> my current investment advice is to use your student loan to drop out and count cards on online bitcoin casinos</t>
  </si>
  <si>
    <t xml:space="preserve"> 21 m US not interested</t>
  </si>
  <si>
    <t xml:space="preserve"> Sat Feb 03 2018 19:07:22</t>
  </si>
  <si>
    <t xml:space="preserve"> Agreed! Gen X'ers gravitate to Bitcoin, Millennials to ETH.</t>
  </si>
  <si>
    <t xml:space="preserve"> Sat Feb 03 2018 19:07:57</t>
  </si>
  <si>
    <t xml:space="preserve"> I'm unfollowing you because you are a liar. You didn't keep to your promise on . Learn to be a honest person. </t>
  </si>
  <si>
    <t xml:space="preserve"> n****1 </t>
  </si>
  <si>
    <t xml:space="preserve"> Sat Feb 03 2018 19:08:42</t>
  </si>
  <si>
    <t xml:space="preserve"> No problem. You can safely remove and reinstall the Bitcoin app through the Ledger Manager.</t>
  </si>
  <si>
    <t xml:space="preserve"> Sat Feb 03 2018 19:09:01</t>
  </si>
  <si>
    <t xml:space="preserve"> The only good use of is to buy an Antminer so you can mine .</t>
  </si>
  <si>
    <t xml:space="preserve"> Challenge your limits</t>
  </si>
  <si>
    <t xml:space="preserve"> Sat Feb 03 2018 19:09:04</t>
  </si>
  <si>
    <t xml:space="preserve"> The first edition of the project was published! All the fun is here! , </t>
  </si>
  <si>
    <t xml:space="preserve"> Sat Feb 03 2018 19:09:17</t>
  </si>
  <si>
    <t xml:space="preserve"> EnglishJapanese in low price 1word0.00003bitcoin </t>
  </si>
  <si>
    <t xml:space="preserve"> Sat Feb 03 2018 19:09:27</t>
  </si>
  <si>
    <t xml:space="preserve"> wait you guys timeout i just made 3 cents off of bitcoin</t>
  </si>
  <si>
    <t xml:space="preserve"> mach 1</t>
  </si>
  <si>
    <t xml:space="preserve"> Sat Feb 03 2018 19:09:29</t>
  </si>
  <si>
    <t xml:space="preserve"> a bitcoin and $2.75 will get you on the subway</t>
  </si>
  <si>
    <t xml:space="preserve"> Sat Feb 03 2018 19:09:52</t>
  </si>
  <si>
    <t xml:space="preserve"> Best advice for bitcoin trading. Buy Low, Sell High, I promise it works. Buying high and panic selling lower is not a proven strategy.</t>
  </si>
  <si>
    <t xml:space="preserve"> Sat Feb 03 2018 19:10:01</t>
  </si>
  <si>
    <t xml:space="preserve"> BTC-LTC AskRate: 0.01682272 $LTC FOLLOW for PROFIT</t>
  </si>
  <si>
    <t xml:space="preserve"> Sat Feb 03 2018 19:10:05</t>
  </si>
  <si>
    <t xml:space="preserve"> Bitcoin BTC Current Price: $9289.03 1 Hour: 0.98 % | 24 Hours: 6.97 % | 7 Days: -18.65 % </t>
  </si>
  <si>
    <t xml:space="preserve"> Sat Feb 03 2018 19:10:16</t>
  </si>
  <si>
    <t xml:space="preserve"> (9528 follows) Everyone is focused on the price of bitcoin but people should focus on the amazing companies now being buil...</t>
  </si>
  <si>
    <t xml:space="preserve"> Sat Feb 03 2018 19:10:18</t>
  </si>
  <si>
    <t xml:space="preserve"> It means Bitcoin's real price is 2000 only</t>
  </si>
  <si>
    <t xml:space="preserve"> Sat Feb 03 2018 19:11:03</t>
  </si>
  <si>
    <t xml:space="preserve"> 12 reasons why you are a scam.</t>
  </si>
  <si>
    <t xml:space="preserve"> Sat Feb 03 2018 19:11:05</t>
  </si>
  <si>
    <t xml:space="preserve"> [Garrubot] With the power of bitcoin, I purchase pants</t>
  </si>
  <si>
    <t xml:space="preserve"> G****C </t>
  </si>
  <si>
    <t xml:space="preserve"> Sat Feb 03 2018 19:11:23</t>
  </si>
  <si>
    <t xml:space="preserve"> They said the same thing about Bitcoin this time last year.</t>
  </si>
  <si>
    <t xml:space="preserve"> St Louis, MO</t>
  </si>
  <si>
    <t xml:space="preserve"> Sat Feb 03 2018 19:11:31</t>
  </si>
  <si>
    <t xml:space="preserve"> Where's my bitcoin</t>
  </si>
  <si>
    <t xml:space="preserve"> Sat Feb 03 2018 19:12:01</t>
  </si>
  <si>
    <t xml:space="preserve"> $: (9352.59) 1mTrending+ (1.2%), bars:10, 12:3Accel+, tf:0111111, FirmTrnd-:+125%, 5LoDays:55%; TLM:0.1; ILM:1.1</t>
  </si>
  <si>
    <t xml:space="preserve"> Sat Feb 03 2018 19:12:26</t>
  </si>
  <si>
    <t xml:space="preserve"> Bitcoin transactions are around 5 sats/byte and people are screaming that fees are too high... wtf do you want from us?!?</t>
  </si>
  <si>
    <t xml:space="preserve"> Cape Girardeau,</t>
  </si>
  <si>
    <t xml:space="preserve"> Sat Feb 03 2018 19:12:56</t>
  </si>
  <si>
    <t xml:space="preserve"> is dow like the stock market version of bitcoin?</t>
  </si>
  <si>
    <t xml:space="preserve"> highschol</t>
  </si>
  <si>
    <t xml:space="preserve"> Sat Feb 03 2018 19:13:01</t>
  </si>
  <si>
    <t xml:space="preserve"> friend: bitcoin is at-- me: i only want to hear $5k or $17k</t>
  </si>
  <si>
    <t xml:space="preserve"> O****d </t>
  </si>
  <si>
    <t xml:space="preserve"> Sat Feb 03 2018 19:13:05</t>
  </si>
  <si>
    <t xml:space="preserve"> a 1.50 bitcoin can more than pay for Costco membership.</t>
  </si>
  <si>
    <t xml:space="preserve"> Sat Feb 03 2018 19:14:08</t>
  </si>
  <si>
    <t xml:space="preserve"> I gotta figure this thing out.</t>
  </si>
  <si>
    <t xml:space="preserve"> Sat Feb 03 2018 19:14:10</t>
  </si>
  <si>
    <t xml:space="preserve"> BUT, banks offer a credit line aswell, I can buy tomatoes, bitcoin, or nickels with that credit line.</t>
  </si>
  <si>
    <t xml:space="preserve"> N****_ </t>
  </si>
  <si>
    <t xml:space="preserve"> Sat Feb 03 2018 19:14:14</t>
  </si>
  <si>
    <t xml:space="preserve"> Theyre will be hell to pay if he keeps making my bitcoin drop.</t>
  </si>
  <si>
    <t xml:space="preserve"> Sat Feb 03 2018 19:14:21</t>
  </si>
  <si>
    <t xml:space="preserve"> 1 Litecoin = 0.017 Bitcoin</t>
  </si>
  <si>
    <t xml:space="preserve"> Sat Feb 03 2018 19:14:54</t>
  </si>
  <si>
    <t xml:space="preserve"> No matter how many different ways it is explained to me I will never understand bitcoin</t>
  </si>
  <si>
    <t xml:space="preserve"> J****7 </t>
  </si>
  <si>
    <t xml:space="preserve"> Sat Feb 03 2018 19:15:02</t>
  </si>
  <si>
    <t xml:space="preserve"> The current price of Bitcoin is $9345.61. The current price of BCash is $1269.73, or 0.135083 BTC</t>
  </si>
  <si>
    <t xml:space="preserve"> Sat Feb 03 2018 19:15:12</t>
  </si>
  <si>
    <t xml:space="preserve"> But we tax cristo heavily... Like it or not India won't approve Crypto or Bitcoin.</t>
  </si>
  <si>
    <t xml:space="preserve"> Sat Feb 03 2018 19:15:19</t>
  </si>
  <si>
    <t xml:space="preserve"> Bitcoin cash is scam</t>
  </si>
  <si>
    <t xml:space="preserve"> Sat Feb 03 2018 19:15:23</t>
  </si>
  <si>
    <t xml:space="preserve"> Being of a sadistic nature, I'm currently enjoying Cryptofreude (pleasure derived from watching Bitcoin collapse)</t>
  </si>
  <si>
    <t xml:space="preserve"> Sat Feb 03 2018 19:15:47</t>
  </si>
  <si>
    <t xml:space="preserve"> Yeah, ok, dont buy bitcoin guys, cause it crashes!! it is amazing how much OUT OF TOUCH WITH REALITY YOU GUYS ARE.</t>
  </si>
  <si>
    <t xml:space="preserve"> I****r </t>
  </si>
  <si>
    <t xml:space="preserve"> Sat Feb 03 2018 19:15:56</t>
  </si>
  <si>
    <t xml:space="preserve"> I'm thirty years old. I don't do CrossFit. I barely even know what Bitcoin is. Am I even real?</t>
  </si>
  <si>
    <t xml:space="preserve"> Sat Feb 03 2018 19:17:02</t>
  </si>
  <si>
    <t xml:space="preserve"> Bitcoin rises 10% to $9,387 while litecoin up 24% today after massive plunge recently</t>
  </si>
  <si>
    <t xml:space="preserve"> Sat Feb 03 2018 19:17:04</t>
  </si>
  <si>
    <t xml:space="preserve"> Bro, youve gone full Vinny. First rule of bitcoin is that you NEVER go full Vinny.</t>
  </si>
  <si>
    <t xml:space="preserve"> Sat Feb 03 2018 19:17:05</t>
  </si>
  <si>
    <t xml:space="preserve"> Bitcoin Cash BCH Current Price: $1269.73 1 Hour: 2.18 % | 24 Hours: 7.98 % | 7 Days: -22.39 % cash</t>
  </si>
  <si>
    <t xml:space="preserve"> Sat Feb 03 2018 19:17:20</t>
  </si>
  <si>
    <t xml:space="preserve"> Krugman's tweets Filling seats Nocoiners' teet. </t>
  </si>
  <si>
    <t xml:space="preserve"> San Juan, USA</t>
  </si>
  <si>
    <t xml:space="preserve"> Sat Feb 03 2018 19:17:39</t>
  </si>
  <si>
    <t xml:space="preserve"> cant wait for the next bitcoin update song! </t>
  </si>
  <si>
    <t xml:space="preserve"> e****s </t>
  </si>
  <si>
    <t xml:space="preserve"> Sat Feb 03 2018 19:17:40</t>
  </si>
  <si>
    <t xml:space="preserve"> Legit just tweeted about the same thing this a.m. Bitcoin bros storyline is gettin tiiiired</t>
  </si>
  <si>
    <t xml:space="preserve"> Sat Feb 03 2018 19:17:52</t>
  </si>
  <si>
    <t xml:space="preserve"> He shouldve invested in Bitcoin </t>
  </si>
  <si>
    <t xml:space="preserve"> Z****r </t>
  </si>
  <si>
    <t xml:space="preserve"> Sat Feb 03 2018 19:17:59</t>
  </si>
  <si>
    <t xml:space="preserve"> but he accepts bitcoin now</t>
  </si>
  <si>
    <t xml:space="preserve"> K****5 </t>
  </si>
  <si>
    <t xml:space="preserve"> Granada Hills CA</t>
  </si>
  <si>
    <t xml:space="preserve"> Sat Feb 03 2018 19:18:16</t>
  </si>
  <si>
    <t xml:space="preserve"> The media will still attack bitcoin so the price will change erratically. Regulations will not save it.</t>
  </si>
  <si>
    <t xml:space="preserve"> Sat Feb 03 2018 19:18:17</t>
  </si>
  <si>
    <t xml:space="preserve"> Do you guys think is over and market is bouncing back? # crypto </t>
  </si>
  <si>
    <t xml:space="preserve"> Sat Feb 03 2018 19:18:49</t>
  </si>
  <si>
    <t xml:space="preserve"> i mean trading above $9000 today</t>
  </si>
  <si>
    <t xml:space="preserve"> Sat Feb 03 2018 19:19:03</t>
  </si>
  <si>
    <t xml:space="preserve"> Cannabis and bout to have me laying on black sand beaches, eating copious amounts fresh seafood &amp; wearing exceptional quality wigs.</t>
  </si>
  <si>
    <t xml:space="preserve"> Sat Feb 03 2018 19:19:05</t>
  </si>
  <si>
    <t xml:space="preserve"> THIS FILM SECRETLY PREDICTS BITCOIN</t>
  </si>
  <si>
    <t xml:space="preserve"> Cathode Ray Mission</t>
  </si>
  <si>
    <t xml:space="preserve"> Sat Feb 03 2018 19:19:09</t>
  </si>
  <si>
    <t xml:space="preserve"> If you think gon hit 0 you don't know what your talking bout your just speculating</t>
  </si>
  <si>
    <t xml:space="preserve"> E****4 </t>
  </si>
  <si>
    <t xml:space="preserve"> Mars</t>
  </si>
  <si>
    <t xml:space="preserve"> Sat Feb 03 2018 19:19:15</t>
  </si>
  <si>
    <t xml:space="preserve"> More specifically, Bitcoin is a statement there *is* a better way.</t>
  </si>
  <si>
    <t xml:space="preserve"> Sat Feb 03 2018 19:19:24</t>
  </si>
  <si>
    <t xml:space="preserve"> Let me know how you can spend that block of gold in a few years whens bitcoin is 50k. See you at the ranch.</t>
  </si>
  <si>
    <t xml:space="preserve"> Calgary</t>
  </si>
  <si>
    <t xml:space="preserve"> Sat Feb 03 2018 19:19:48</t>
  </si>
  <si>
    <t xml:space="preserve"> Well, Bcore is still not Bitcoin either, looks to me like the race is still very much on.</t>
  </si>
  <si>
    <t xml:space="preserve"> Sat Feb 03 2018 19:20:03</t>
  </si>
  <si>
    <t xml:space="preserve"> When bitcoin moon sir</t>
  </si>
  <si>
    <t xml:space="preserve"> Sat Feb 03 2018 19:20:08</t>
  </si>
  <si>
    <t xml:space="preserve"> Are you even in your late 20s if you dont spend Saturday night in a glittery blue bath with mismatched candles and a podcast about bitcoin?</t>
  </si>
  <si>
    <t xml:space="preserve"> Birmingham, UK</t>
  </si>
  <si>
    <t xml:space="preserve"> Sat Feb 03 2018 19:20:15</t>
  </si>
  <si>
    <t xml:space="preserve"> Said it before (many times) Ill say it again. Bitcoin will reach its true value when it hits zero.</t>
  </si>
  <si>
    <t xml:space="preserve"> Right Here</t>
  </si>
  <si>
    <t xml:space="preserve"> Sat Feb 03 2018 19:20:19</t>
  </si>
  <si>
    <t xml:space="preserve"> Btrash not bitcoin</t>
  </si>
  <si>
    <t xml:space="preserve"> Sat Feb 03 2018 19:21:09</t>
  </si>
  <si>
    <t xml:space="preserve"> elf will be better than bitcoin</t>
  </si>
  <si>
    <t xml:space="preserve"> A****z </t>
  </si>
  <si>
    <t xml:space="preserve"> Sat Feb 03 2018 19:21:11</t>
  </si>
  <si>
    <t xml:space="preserve"> Bitcoin Diamond is the real Bitcoin Cash.</t>
  </si>
  <si>
    <t xml:space="preserve"> Sat Feb 03 2018 19:21:15</t>
  </si>
  <si>
    <t xml:space="preserve"> Can someone help me short some Bitcoin please?</t>
  </si>
  <si>
    <t xml:space="preserve"> l****h </t>
  </si>
  <si>
    <t xml:space="preserve"> Sat Feb 03 2018 19:21:21</t>
  </si>
  <si>
    <t xml:space="preserve"> I am the new bitcoin.</t>
  </si>
  <si>
    <t xml:space="preserve"> Sat Feb 03 2018 19:21:25</t>
  </si>
  <si>
    <t xml:space="preserve"> ...as safe as BitCoin......</t>
  </si>
  <si>
    <t xml:space="preserve"> p****2 </t>
  </si>
  <si>
    <t xml:space="preserve"> Montreal City of Champs </t>
  </si>
  <si>
    <t xml:space="preserve"> Sat Feb 03 2018 19:21:49</t>
  </si>
  <si>
    <t xml:space="preserve"> BCash is NOT Bitcoin. Your only competition is LiteCoin and its WAY better than BCash. Sell your BCash for LTC or BTC</t>
  </si>
  <si>
    <t xml:space="preserve"> Sat Feb 03 2018 19:22:03</t>
  </si>
  <si>
    <t xml:space="preserve"> $BTC to 10k in the next 24 hours? </t>
  </si>
  <si>
    <t xml:space="preserve"> S****C </t>
  </si>
  <si>
    <t xml:space="preserve"> Sat Feb 03 2018 19:22:05</t>
  </si>
  <si>
    <t xml:space="preserve"> Latest Bitcoin Price: $9295.55 USD for 1 BTC </t>
  </si>
  <si>
    <t xml:space="preserve"> Sat Feb 03 2018 19:22:16</t>
  </si>
  <si>
    <t xml:space="preserve"> Anyone on here know what cryptocurrency to buy apart from Bitcoin?</t>
  </si>
  <si>
    <t xml:space="preserve"> fleeing from youthful lust</t>
  </si>
  <si>
    <t xml:space="preserve"> Sat Feb 03 2018 19:22:30</t>
  </si>
  <si>
    <t xml:space="preserve"> The bitcoin market cap is technically called a trilby</t>
  </si>
  <si>
    <t xml:space="preserve"> p****k </t>
  </si>
  <si>
    <t xml:space="preserve"> Seattle</t>
  </si>
  <si>
    <t xml:space="preserve"> Sat Feb 03 2018 19:22:34</t>
  </si>
  <si>
    <t xml:space="preserve"> Once I get my hands on this bitcoin it's game over lol</t>
  </si>
  <si>
    <t xml:space="preserve"> Philly/Miami/LA/Vegas</t>
  </si>
  <si>
    <t xml:space="preserve"> Sat Feb 03 2018 19:22:53</t>
  </si>
  <si>
    <t xml:space="preserve"> What do you think about Bitcoin Cache?</t>
  </si>
  <si>
    <t xml:space="preserve"> Sat Feb 03 2018 19:23:32</t>
  </si>
  <si>
    <t xml:space="preserve"> Bitcoin trash sucks!</t>
  </si>
  <si>
    <t xml:space="preserve"> Sat Feb 03 2018 19:23:35</t>
  </si>
  <si>
    <t xml:space="preserve"> Bitcoin Core Cash</t>
  </si>
  <si>
    <t xml:space="preserve"> p****_ </t>
  </si>
  <si>
    <t xml:space="preserve"> Sat Feb 03 2018 19:23:37</t>
  </si>
  <si>
    <t xml:space="preserve"> If youre going to fake Roger Ver at least use bitcoin cash.</t>
  </si>
  <si>
    <t xml:space="preserve"> Los Angeles</t>
  </si>
  <si>
    <t xml:space="preserve"> Sat Feb 03 2018 19:23:42</t>
  </si>
  <si>
    <t xml:space="preserve"> Long &amp; Bullish on AND . Yes, you cheer for both. </t>
  </si>
  <si>
    <t xml:space="preserve"> Sat Feb 03 2018 19:24:04</t>
  </si>
  <si>
    <t xml:space="preserve"> Honest question: Is BitCoin Cash capable of being inflated/deflated?</t>
  </si>
  <si>
    <t xml:space="preserve"> E****m </t>
  </si>
  <si>
    <t xml:space="preserve"> Sat Feb 03 2018 19:24:14</t>
  </si>
  <si>
    <t xml:space="preserve"> My brudda, da BCashers are da true radicals tryin to hijack da real Bitcoin</t>
  </si>
  <si>
    <t xml:space="preserve"> Moon, Uganda</t>
  </si>
  <si>
    <t xml:space="preserve"> Sat Feb 03 2018 19:24:15</t>
  </si>
  <si>
    <t xml:space="preserve"> If it's real why does it have name after Bitcoin?</t>
  </si>
  <si>
    <t xml:space="preserve"> L****i </t>
  </si>
  <si>
    <t xml:space="preserve"> Abu Dhabi</t>
  </si>
  <si>
    <t xml:space="preserve"> Sat Feb 03 2018 19:24:38</t>
  </si>
  <si>
    <t xml:space="preserve"> What's the exchange rate for Bitcoin to SoonerSense?</t>
  </si>
  <si>
    <t xml:space="preserve"> Oklahoma City, OK</t>
  </si>
  <si>
    <t xml:space="preserve"> Sat Feb 03 2018 19:24:44</t>
  </si>
  <si>
    <t xml:space="preserve"> Bitcoin infighting makes me lolzo. All groups seem to eventually eat each other alive.</t>
  </si>
  <si>
    <t xml:space="preserve"> F****s </t>
  </si>
  <si>
    <t xml:space="preserve"> spontaneous-evolution.com</t>
  </si>
  <si>
    <t xml:space="preserve"> Sat Feb 03 2018 19:25:00</t>
  </si>
  <si>
    <t xml:space="preserve"> Dogecoin dark is the real bitcoin</t>
  </si>
  <si>
    <t xml:space="preserve"> Sat Feb 03 2018 19:25:18</t>
  </si>
  <si>
    <t xml:space="preserve"> Buying crypto with a credit card defeats the purpose of bitcoin No wonder its getting declined by the companies</t>
  </si>
  <si>
    <t xml:space="preserve"> Sat Feb 03 2018 19:25:28</t>
  </si>
  <si>
    <t xml:space="preserve"> Selling all my belongings and buying bitcoin here. I'll sell the top later</t>
  </si>
  <si>
    <t xml:space="preserve"> Sat Feb 03 2018 19:25:43</t>
  </si>
  <si>
    <t xml:space="preserve"> Bitcoin was never bcash and will not be</t>
  </si>
  <si>
    <t xml:space="preserve"> y****o </t>
  </si>
  <si>
    <t xml:space="preserve"> /usr/sbin</t>
  </si>
  <si>
    <t xml:space="preserve"> Sat Feb 03 2018 19:26:06</t>
  </si>
  <si>
    <t xml:space="preserve"> Long &amp; Bullish on AND . Yes, I can cheer for both. </t>
  </si>
  <si>
    <t xml:space="preserve"> Sat Feb 03 2018 19:26:08</t>
  </si>
  <si>
    <t xml:space="preserve"> Flip a Bitcoin </t>
  </si>
  <si>
    <t xml:space="preserve"> Murfreesboro, TN</t>
  </si>
  <si>
    <t xml:space="preserve"> Sat Feb 03 2018 19:26:13</t>
  </si>
  <si>
    <t xml:space="preserve"> Another Low For Is coming! ????? </t>
  </si>
  <si>
    <t xml:space="preserve"> I****s </t>
  </si>
  <si>
    <t xml:space="preserve"> Sat Feb 03 2018 19:26:16</t>
  </si>
  <si>
    <t xml:space="preserve"> I want to see you crying salt when Bitcoin is 100K...will buy your tears at 1USDT/TEAR</t>
  </si>
  <si>
    <t xml:space="preserve"> Sat Feb 03 2018 19:26:49</t>
  </si>
  <si>
    <t xml:space="preserve"> $litecoin finally broke free of following bitcoin trends up 30%today.</t>
  </si>
  <si>
    <t xml:space="preserve"> Boston</t>
  </si>
  <si>
    <t xml:space="preserve"> Sat Feb 03 2018 19:26:54</t>
  </si>
  <si>
    <t xml:space="preserve"> maybe its because the sub count is pretending to be bitcoin </t>
  </si>
  <si>
    <t xml:space="preserve"> Sat Feb 03 2018 19:27:14</t>
  </si>
  <si>
    <t xml:space="preserve"> TRON is the real bitcoin</t>
  </si>
  <si>
    <t xml:space="preserve"> M****F </t>
  </si>
  <si>
    <t xml:space="preserve"> Hopeless</t>
  </si>
  <si>
    <t xml:space="preserve"> Sat Feb 03 2018 19:27:25</t>
  </si>
  <si>
    <t xml:space="preserve"> Bitcoin is The Real Bitcoin </t>
  </si>
  <si>
    <t xml:space="preserve"> M****x </t>
  </si>
  <si>
    <t xml:space="preserve"> Sat Feb 03 2018 19:27:35</t>
  </si>
  <si>
    <t xml:space="preserve"> Bitcoin is the central utilisation of the blockchain. You can't have one without the other. </t>
  </si>
  <si>
    <t xml:space="preserve"> BITCOIN CITY, NEW BITCOIN</t>
  </si>
  <si>
    <t xml:space="preserve"> Sat Feb 03 2018 19:27:59</t>
  </si>
  <si>
    <t xml:space="preserve"> It's that is important, not bitcoin or the other so called currencies.</t>
  </si>
  <si>
    <t xml:space="preserve"> r****w </t>
  </si>
  <si>
    <t xml:space="preserve"> Sat Feb 03 2018 19:28:02</t>
  </si>
  <si>
    <t xml:space="preserve"> Very good In Bitcoin Cash we trust Bitcoin Cash is Bitcoin.</t>
  </si>
  <si>
    <t xml:space="preserve"> g****a </t>
  </si>
  <si>
    <t xml:space="preserve"> Recife, PE - Brazil</t>
  </si>
  <si>
    <t xml:space="preserve"> Sat Feb 03 2018 19:28:03</t>
  </si>
  <si>
    <t xml:space="preserve"> You also do your research. Blockchain!=Bitcoin. Joker.</t>
  </si>
  <si>
    <t xml:space="preserve"> H****a </t>
  </si>
  <si>
    <t xml:space="preserve"> Bharatavarsha</t>
  </si>
  <si>
    <t xml:space="preserve"> Sat Feb 03 2018 19:28:19</t>
  </si>
  <si>
    <t xml:space="preserve"> It is hijacked by greeds. Bitcoin core has degraded to trading token from electronic cash.</t>
  </si>
  <si>
    <t xml:space="preserve"> Malaysia</t>
  </si>
  <si>
    <t xml:space="preserve"> Sat Feb 03 2018 19:28:21</t>
  </si>
  <si>
    <t xml:space="preserve"> you know what, I still love you.... bitcoin. I ain't ever gonna stop lovinnnn you.... biiitcoin.</t>
  </si>
  <si>
    <t xml:space="preserve"> Hawaii, USA</t>
  </si>
  <si>
    <t xml:space="preserve"> Sat Feb 03 2018 19:28:38</t>
  </si>
  <si>
    <t xml:space="preserve"> Lol, Bitcoin Cash is the real Bitcoin..... There's a contradiction on that phrase.</t>
  </si>
  <si>
    <t xml:space="preserve"> Sat Feb 03 2018 19:28:51</t>
  </si>
  <si>
    <t xml:space="preserve"> Bitcoin wasn't an ICO is what I was trying to say</t>
  </si>
  <si>
    <t xml:space="preserve"> 1 AU</t>
  </si>
  <si>
    <t xml:space="preserve"> Sat Feb 03 2018 19:28:53</t>
  </si>
  <si>
    <t xml:space="preserve"> Cool, I bet you are not mining Bitcoin though.</t>
  </si>
  <si>
    <t xml:space="preserve"> S****H </t>
  </si>
  <si>
    <t xml:space="preserve"> Washington, USA</t>
  </si>
  <si>
    <t xml:space="preserve"> Sat Feb 03 2018 19:29:00</t>
  </si>
  <si>
    <t xml:space="preserve"> So make it unavailable to buy so they can stack bitcoin and when they have it all disable the ban </t>
  </si>
  <si>
    <t xml:space="preserve"> Sat Feb 03 2018 19:29:07</t>
  </si>
  <si>
    <t xml:space="preserve"> This is by far the best justification anyone can give for believing in </t>
  </si>
  <si>
    <t xml:space="preserve"> Bengaluru,</t>
  </si>
  <si>
    <t xml:space="preserve"> Sat Feb 03 2018 19:29:15</t>
  </si>
  <si>
    <t xml:space="preserve"> In Bitcoin Cash we trust Bitcoin Cash is Bitcoin.</t>
  </si>
  <si>
    <t xml:space="preserve"> Sat Feb 03 2018 19:29:25</t>
  </si>
  <si>
    <t xml:space="preserve"> go buy some tide pods w/ur bitcoin</t>
  </si>
  <si>
    <t xml:space="preserve"> F****e </t>
  </si>
  <si>
    <t xml:space="preserve"> Kenneth Dab Daddy Fan Account</t>
  </si>
  <si>
    <t xml:space="preserve"> Sat Feb 03 2018 19:29:55</t>
  </si>
  <si>
    <t xml:space="preserve"> Doge coin is the real Bitcoin</t>
  </si>
  <si>
    <t xml:space="preserve"> B****b </t>
  </si>
  <si>
    <t xml:space="preserve"> Sat Feb 03 2018 19:30:01</t>
  </si>
  <si>
    <t xml:space="preserve"> But the question really is, did you buy the dip?</t>
  </si>
  <si>
    <t xml:space="preserve"> Is bitcoin not the fully functioning version of bitcoin</t>
  </si>
  <si>
    <t xml:space="preserve"> Bitcoin:$9336.88 Ethereum:$974.129 Bitcoin Cash:$1271.91 Litecoin:$157.214 Ripple:$0.932047 IOTA:$1.99035</t>
  </si>
  <si>
    <t xml:space="preserve"> Sat Feb 03 2018 19:30:07</t>
  </si>
  <si>
    <t xml:space="preserve"> Unless something stops working in the Bitcoin code that cant be fixed the essentials are no different at $2000 than they were at $1.</t>
  </si>
  <si>
    <t xml:space="preserve"> Sat Feb 03 2018 19:30:12</t>
  </si>
  <si>
    <t xml:space="preserve"> BCH is the real Bitcoin.. wait n watch for next couple of months.</t>
  </si>
  <si>
    <t xml:space="preserve"> l****z </t>
  </si>
  <si>
    <t xml:space="preserve"> Sat Feb 03 2018 19:30:19</t>
  </si>
  <si>
    <t xml:space="preserve"> youre a badass. I just read the story about how you used pesos at the grocery store growing up. Keep it up. </t>
  </si>
  <si>
    <t xml:space="preserve"> Santa Monica</t>
  </si>
  <si>
    <t xml:space="preserve"> Sat Feb 03 2018 19:30:24</t>
  </si>
  <si>
    <t xml:space="preserve"> Optimal tx fee: 70 satoshi per byte. BTC : $9371 / 7520 / 6635 Block 507475. Market Cap: 158.5B USD. </t>
  </si>
  <si>
    <t xml:space="preserve"> Sat Feb 03 2018 19:30:35</t>
  </si>
  <si>
    <t xml:space="preserve"> I NEVER TRADE BITCOIN BUT WATCH, INTERESTING TO SEE ISEVERY SATURDAY BITCOIN IS UP</t>
  </si>
  <si>
    <t xml:space="preserve"> Sat Feb 03 2018 19:31:00</t>
  </si>
  <si>
    <t xml:space="preserve"> Yep blockchain=Bitcoin that's y it's here to stay</t>
  </si>
  <si>
    <t xml:space="preserve"> Sat Feb 03 2018 19:31:05</t>
  </si>
  <si>
    <t xml:space="preserve"> What's the plan to decouple XRP from bitcoin? Is it more fiat pairs? </t>
  </si>
  <si>
    <t xml:space="preserve"> I****4 </t>
  </si>
  <si>
    <t xml:space="preserve"> Sat Feb 03 2018 19:31:13</t>
  </si>
  <si>
    <t xml:space="preserve"> Hello humans, is currently around $9326.75 as of Sat Feb 3 13:31:09 CST 2018</t>
  </si>
  <si>
    <t xml:space="preserve"> Sat Feb 03 2018 19:31:35</t>
  </si>
  <si>
    <t xml:space="preserve"> We need a Bitcoin dossier</t>
  </si>
  <si>
    <t xml:space="preserve"> Sat Feb 03 2018 19:31:50</t>
  </si>
  <si>
    <t xml:space="preserve"> Has the Bitcoin bubble finally popped? I was getting tired of cryptocurrency promoted ads. </t>
  </si>
  <si>
    <t xml:space="preserve"> Catlynxfurnya</t>
  </si>
  <si>
    <t xml:space="preserve"> Sat Feb 03 2018 19:31:55</t>
  </si>
  <si>
    <t xml:space="preserve"> Segwit Bitcoin isn't Bitcoin.</t>
  </si>
  <si>
    <t xml:space="preserve"> Sat Feb 03 2018 19:32:04</t>
  </si>
  <si>
    <t xml:space="preserve"> The Current Bitcoin Price is 0.0001069 BTC for $1 USD </t>
  </si>
  <si>
    <t xml:space="preserve"> Sat Feb 03 2018 19:32:11</t>
  </si>
  <si>
    <t xml:space="preserve"> People getting mugged and kidnapped for the bitcoin, xfer or die. Not funny.</t>
  </si>
  <si>
    <t xml:space="preserve"> Rust Belt</t>
  </si>
  <si>
    <t xml:space="preserve"> Ripple /xrp can save Bitcoin</t>
  </si>
  <si>
    <t xml:space="preserve"> v****0 </t>
  </si>
  <si>
    <t xml:space="preserve"> Sat Feb 03 2018 19:32:12</t>
  </si>
  <si>
    <t xml:space="preserve"> If you could add from to the jaxx app this would be nice! </t>
  </si>
  <si>
    <t xml:space="preserve"> Sat Feb 03 2018 19:32:32</t>
  </si>
  <si>
    <t xml:space="preserve"> But the article doesn't say that Bitcoin was an ICO. It doesn't say forget Bitcoin ICO. It only says forget Bitcoin</t>
  </si>
  <si>
    <t xml:space="preserve"> Arad, Romnia</t>
  </si>
  <si>
    <t xml:space="preserve"> Sat Feb 03 2018 19:32:46</t>
  </si>
  <si>
    <t xml:space="preserve"> , Benefits of Using Binary Options Trading Software...</t>
  </si>
  <si>
    <t xml:space="preserve"> Sat Feb 03 2018 19:32:47</t>
  </si>
  <si>
    <t xml:space="preserve"> Buy btc...</t>
  </si>
  <si>
    <t xml:space="preserve"> A****4 </t>
  </si>
  <si>
    <t xml:space="preserve"> Sat Feb 03 2018 19:32:59</t>
  </si>
  <si>
    <t xml:space="preserve"> I care more for my Bitcoin-Testnet coins than for .</t>
  </si>
  <si>
    <t xml:space="preserve"> k****o </t>
  </si>
  <si>
    <t xml:space="preserve"> Sat Feb 03 2018 19:33:05</t>
  </si>
  <si>
    <t xml:space="preserve"> If Bitcoin gets rejected before 10000 and dumps to below 7900, that would be epic.</t>
  </si>
  <si>
    <t xml:space="preserve"> C****X </t>
  </si>
  <si>
    <t xml:space="preserve"> Sat Feb 03 2018 19:33:28</t>
  </si>
  <si>
    <t xml:space="preserve"> Bitcoin tranny is the real btc</t>
  </si>
  <si>
    <t xml:space="preserve"> Sat Feb 03 2018 19:33:34</t>
  </si>
  <si>
    <t xml:space="preserve"> Bitcoin is not going to have 17 trillion dollars in total value in two years lol</t>
  </si>
  <si>
    <t xml:space="preserve"> n****s </t>
  </si>
  <si>
    <t xml:space="preserve"> Pizzagate, USA</t>
  </si>
  <si>
    <t xml:space="preserve"> Sat Feb 03 2018 19:33:51</t>
  </si>
  <si>
    <t xml:space="preserve"> The smart thing to do would be to invest the $1.50 in bitcoin</t>
  </si>
  <si>
    <t xml:space="preserve"> Sat Feb 03 2018 19:34:13</t>
  </si>
  <si>
    <t xml:space="preserve"> please enable selling things for . Ill list everything!!!</t>
  </si>
  <si>
    <t xml:space="preserve"> Sat Feb 03 2018 19:34:34</t>
  </si>
  <si>
    <t xml:space="preserve"> yep, i hold barry-coins as if they were bitcoin themselves, lol</t>
  </si>
  <si>
    <t xml:space="preserve"> Vladivostok</t>
  </si>
  <si>
    <t xml:space="preserve"> Sat Feb 03 2018 19:34:42</t>
  </si>
  <si>
    <t xml:space="preserve"> Now that the Bitcoin price gap of $8400 has been filled, let's hope price can continue on its merry way to the moon :D</t>
  </si>
  <si>
    <t xml:space="preserve"> N****s </t>
  </si>
  <si>
    <t xml:space="preserve"> Las Cruces, NM</t>
  </si>
  <si>
    <t xml:space="preserve"> Sat Feb 03 2018 19:35:25</t>
  </si>
  <si>
    <t xml:space="preserve"> You will never overtake Bitcoin. Bcash is bcash. Get over ityou investment is screwed.</t>
  </si>
  <si>
    <t xml:space="preserve"> Sat Feb 03 2018 19:35:29</t>
  </si>
  <si>
    <t xml:space="preserve"> . I checked bitcoin prices and it seems with the price up and also moving up strong the correction may be over. Is it Christmas? :)</t>
  </si>
  <si>
    <t xml:space="preserve"> Sat Feb 03 2018 19:35:47</t>
  </si>
  <si>
    <t xml:space="preserve"> Bitcoin is at this airport Jk I'm not a donut, I'm not really cuz im gonna play bidya bames.</t>
  </si>
  <si>
    <t xml:space="preserve"> Sat Feb 03 2018 19:35:53</t>
  </si>
  <si>
    <t xml:space="preserve"> Whatever they make after bitcoin is gonna send us into bladerunner</t>
  </si>
  <si>
    <t xml:space="preserve"> Sat Feb 03 2018 19:36:17</t>
  </si>
  <si>
    <t xml:space="preserve"> This is my humble opinion but litecoin is better than bitcoin cash. Why dont you switch to litecoin? </t>
  </si>
  <si>
    <t xml:space="preserve"> Stream Sniper</t>
  </si>
  <si>
    <t xml:space="preserve"> Sat Feb 03 2018 19:36:27</t>
  </si>
  <si>
    <t xml:space="preserve"> value dropped like stone based on a rumour. Imagine what could happen if that rumour turns to fact. </t>
  </si>
  <si>
    <t xml:space="preserve"> 7****7 </t>
  </si>
  <si>
    <t xml:space="preserve"> Sat Feb 03 2018 19:36:32</t>
  </si>
  <si>
    <t xml:space="preserve"> Cryptocurrency: Price USD: 9327.2 Price BTC: 1.0 24h Volume USD: 7491990000.0 Percent change 24h: 7.76</t>
  </si>
  <si>
    <t xml:space="preserve"> Sat Feb 03 2018 19:36:49</t>
  </si>
  <si>
    <t xml:space="preserve"> bitcoin to $25K gonna go - today</t>
  </si>
  <si>
    <t xml:space="preserve"> Sat Feb 03 2018 19:36:56</t>
  </si>
  <si>
    <t xml:space="preserve"> You are right. Let's hope that Bitcoin becomes more than a currency and helps in these objectives.</t>
  </si>
  <si>
    <t xml:space="preserve"> Sat Feb 03 2018 19:37:00</t>
  </si>
  <si>
    <t xml:space="preserve"> All in bitcoin All in</t>
  </si>
  <si>
    <t xml:space="preserve"> Ankara, Trkiye </t>
  </si>
  <si>
    <t xml:space="preserve"> Sat Feb 03 2018 19:37:15</t>
  </si>
  <si>
    <t xml:space="preserve"> Because banks care about what youre doing with your money, Bitcoin dosent.</t>
  </si>
  <si>
    <t xml:space="preserve"> _****3 </t>
  </si>
  <si>
    <t xml:space="preserve"> Kekistan</t>
  </si>
  <si>
    <t xml:space="preserve"> Sat Feb 03 2018 19:37:16</t>
  </si>
  <si>
    <t xml:space="preserve"> lapis just as soon as I forgot about the bitcoin tweet and then this</t>
  </si>
  <si>
    <t xml:space="preserve"> G****D </t>
  </si>
  <si>
    <t xml:space="preserve"> indonishen</t>
  </si>
  <si>
    <t xml:space="preserve"> Sat Feb 03 2018 19:37:27</t>
  </si>
  <si>
    <t xml:space="preserve"> I thought currencies were supposed to be stable. Bitcoin seems like a guaranteed loss.</t>
  </si>
  <si>
    <t xml:space="preserve"> Lake country, USA</t>
  </si>
  <si>
    <t xml:space="preserve"> Sat Feb 03 2018 19:37:52</t>
  </si>
  <si>
    <t xml:space="preserve"> Niggas musta been swipin for Bitcoin, BoA fed up</t>
  </si>
  <si>
    <t xml:space="preserve"> Sat Feb 03 2018 19:38:04</t>
  </si>
  <si>
    <t xml:space="preserve"> Medicalchain( $MTN) will be listed on Kucoin </t>
  </si>
  <si>
    <t xml:space="preserve"> Sat Feb 03 2018 19:38:08</t>
  </si>
  <si>
    <t xml:space="preserve"> Excuse me.i'm korean and i am your fan. i want to listen your thought about bitcoin. Please tell me.</t>
  </si>
  <si>
    <t xml:space="preserve"> Sat Feb 03 2018 19:38:14</t>
  </si>
  <si>
    <t xml:space="preserve"> There is something left to find, a gift from the solver, and it isnt bitcoin. :)</t>
  </si>
  <si>
    <t xml:space="preserve"> Sat Feb 03 2018 19:38:31</t>
  </si>
  <si>
    <t xml:space="preserve"> Prepare for the mother of all bounces...Bitcoin has repeated this cycle many times since its birth</t>
  </si>
  <si>
    <t xml:space="preserve"> Sat Feb 03 2018 19:38:32</t>
  </si>
  <si>
    <t xml:space="preserve"> Just have him ride a BitCoin....u know 21st Century Bro....</t>
  </si>
  <si>
    <t xml:space="preserve"> Humboldt County CA</t>
  </si>
  <si>
    <t xml:space="preserve"> Sat Feb 03 2018 19:39:01</t>
  </si>
  <si>
    <t xml:space="preserve"> CryptoCompare Bitcoin price changed -1.16% to $9315.89 </t>
  </si>
  <si>
    <t xml:space="preserve"> Sat Feb 03 2018 19:39:08</t>
  </si>
  <si>
    <t xml:space="preserve"> what do you think of bitcoin private?</t>
  </si>
  <si>
    <t xml:space="preserve"> k****_ </t>
  </si>
  <si>
    <t xml:space="preserve"> Sat Feb 03 2018 19:39:21</t>
  </si>
  <si>
    <t xml:space="preserve"> bitcoin jugg status: success </t>
  </si>
  <si>
    <t xml:space="preserve"> New Orleans, USA</t>
  </si>
  <si>
    <t xml:space="preserve"> Sat Feb 03 2018 19:39:41</t>
  </si>
  <si>
    <t xml:space="preserve"> There is nothing worse than 13 minute bitcoin or consulting advertisements when you're in the shower trying to listen to tunes on youtube.</t>
  </si>
  <si>
    <t xml:space="preserve"> n****0 </t>
  </si>
  <si>
    <t xml:space="preserve"> catch me mobbing thru ur town</t>
  </si>
  <si>
    <t xml:space="preserve"> Sat Feb 03 2018 19:39:43</t>
  </si>
  <si>
    <t xml:space="preserve"> Question, is bitcoin legit?</t>
  </si>
  <si>
    <t xml:space="preserve"> Westminster, CA</t>
  </si>
  <si>
    <t xml:space="preserve"> Sat Feb 03 2018 19:39:44</t>
  </si>
  <si>
    <t xml:space="preserve"> I read that is gluten free. Is this true?</t>
  </si>
  <si>
    <t xml:space="preserve"> Sat Feb 03 2018 19:39:58</t>
  </si>
  <si>
    <t xml:space="preserve"> could've made more by buying bitcoin</t>
  </si>
  <si>
    <t xml:space="preserve"> A****d </t>
  </si>
  <si>
    <t xml:space="preserve"> ...Earth</t>
  </si>
  <si>
    <t xml:space="preserve"> Sat Feb 03 2018 19:40:04</t>
  </si>
  <si>
    <t xml:space="preserve"> My friends invested in bitcoin awhile ago so if they make it I make it, Im not even tripping </t>
  </si>
  <si>
    <t xml:space="preserve"> Salt Lake City, UT</t>
  </si>
  <si>
    <t xml:space="preserve"> Sat Feb 03 2018 19:40:06</t>
  </si>
  <si>
    <t xml:space="preserve"> bitcoin going higher today will help</t>
  </si>
  <si>
    <t xml:space="preserve"> k****6 </t>
  </si>
  <si>
    <t xml:space="preserve"> 41.136801,-73.986265</t>
  </si>
  <si>
    <t xml:space="preserve"> Sat Feb 03 2018 19:40:14</t>
  </si>
  <si>
    <t xml:space="preserve"> the bitcoin tweet was lapis' best tweet smh</t>
  </si>
  <si>
    <t xml:space="preserve"> A****p </t>
  </si>
  <si>
    <t xml:space="preserve"> Cap</t>
  </si>
  <si>
    <t xml:space="preserve"> Sat Feb 03 2018 19:40:27</t>
  </si>
  <si>
    <t xml:space="preserve"> This bounce seems too perfect to be an actual bounce</t>
  </si>
  <si>
    <t xml:space="preserve"> Sat Feb 03 2018 19:40:30</t>
  </si>
  <si>
    <t xml:space="preserve"> sorry i meant Buy </t>
  </si>
  <si>
    <t xml:space="preserve"> w****g </t>
  </si>
  <si>
    <t xml:space="preserve"> Sydney</t>
  </si>
  <si>
    <t xml:space="preserve"> Sat Feb 03 2018 19:40:39</t>
  </si>
  <si>
    <t xml:space="preserve"> I am experimenting whether I can live only with bit coins donated. Please cooperate. 3NKbfJuuMKzNMYMcLqCf5w8TgeGvue7A5 # </t>
  </si>
  <si>
    <t xml:space="preserve"> Sat Feb 03 2018 19:41:19</t>
  </si>
  <si>
    <t xml:space="preserve"> Oh look, its the Bitcoin cash shill too. How vile.</t>
  </si>
  <si>
    <t xml:space="preserve"> Sat Feb 03 2018 19:41:24</t>
  </si>
  <si>
    <t xml:space="preserve"> ;[ ;[ ;[ ;[...&gt;.&lt; ....[Bitcoin performance assessment (-50.76%)] </t>
  </si>
  <si>
    <t xml:space="preserve"> Sat Feb 03 2018 19:41:26</t>
  </si>
  <si>
    <t xml:space="preserve"> Bitcoin percentage of market cap: 34.64 % </t>
  </si>
  <si>
    <t xml:space="preserve"> Sat Feb 03 2018 19:41:53</t>
  </si>
  <si>
    <t xml:space="preserve"> I do not understand people laughing about the possibility of bitcoin failing. Can someone please let me know Im missing something?</t>
  </si>
  <si>
    <t xml:space="preserve"> W****4 </t>
  </si>
  <si>
    <t xml:space="preserve"> Sun Valley, CA (from MA)</t>
  </si>
  <si>
    <t xml:space="preserve"> Sat Feb 03 2018 19:42:17</t>
  </si>
  <si>
    <t xml:space="preserve"> Agreed, no reason to bring drama, focus on Bitcoin...we have enough enemies as it is...</t>
  </si>
  <si>
    <t xml:space="preserve"> Sat Feb 03 2018 19:42:19</t>
  </si>
  <si>
    <t xml:space="preserve"> buying Bitcoin?</t>
  </si>
  <si>
    <t xml:space="preserve"> Zurich, Switzerland</t>
  </si>
  <si>
    <t xml:space="preserve"> Sat Feb 03 2018 19:42:57</t>
  </si>
  <si>
    <t xml:space="preserve"> is recovering, there's no day off in </t>
  </si>
  <si>
    <t xml:space="preserve"> Sat Feb 03 2018 19:43:15</t>
  </si>
  <si>
    <t xml:space="preserve"> BTC should rally before the end of feb in anticipation of the Bitcoin Private Hard Fork</t>
  </si>
  <si>
    <t xml:space="preserve"> Y****y </t>
  </si>
  <si>
    <t xml:space="preserve"> LDN || Dubai || Kurdistan</t>
  </si>
  <si>
    <t xml:space="preserve"> Sat Feb 03 2018 19:43:28</t>
  </si>
  <si>
    <t xml:space="preserve"> HAVE TO IMAGINE ALL COINS HAVE BEEN IN A SLUMP AS BITCOIN FALLS IN VALUE OTHERS FOLLOW SUIT BUT ONCE IT POPS UP SO WILL ALTS</t>
  </si>
  <si>
    <t xml:space="preserve"> Sat Feb 03 2018 19:43:37</t>
  </si>
  <si>
    <t xml:space="preserve"> Berlin capital of privacy </t>
  </si>
  <si>
    <t xml:space="preserve"> 1****z </t>
  </si>
  <si>
    <t xml:space="preserve"> Paris</t>
  </si>
  <si>
    <t xml:space="preserve"> Sat Feb 03 2018 19:43:44</t>
  </si>
  <si>
    <t xml:space="preserve"> Lol , this is dumb. How is it the real bitcoin if it is not bitcoin.</t>
  </si>
  <si>
    <t xml:space="preserve"> Sat Feb 03 2018 19:44:20</t>
  </si>
  <si>
    <t xml:space="preserve"> Think like a whale</t>
  </si>
  <si>
    <t xml:space="preserve"> Sat Feb 03 2018 19:44:27</t>
  </si>
  <si>
    <t xml:space="preserve"> Wouldn't 5% mean that 1 in 20 people on Earth has bitcoin? Because I am highly sceptical of that</t>
  </si>
  <si>
    <t xml:space="preserve"> off-chain</t>
  </si>
  <si>
    <t xml:space="preserve"> Sat Feb 03 2018 19:45:02</t>
  </si>
  <si>
    <t xml:space="preserve"> There are currently 11,996 unconfirmed Bitcoin transactions. $BTC</t>
  </si>
  <si>
    <t xml:space="preserve"> Sat Feb 03 2018 19:45:28</t>
  </si>
  <si>
    <t xml:space="preserve"> Just seeing the news about the Bitcoin value plunge. So glad most of my investment portfolio is in gold and guns hidden in my doom bunker.</t>
  </si>
  <si>
    <t xml:space="preserve"> Morgantown, WV, USA</t>
  </si>
  <si>
    <t xml:space="preserve"> Sat Feb 03 2018 19:45:33</t>
  </si>
  <si>
    <t xml:space="preserve"> If you think Bitcoin was Taken Over then you don't understand bitcoin you melt</t>
  </si>
  <si>
    <t xml:space="preserve"> Sat Feb 03 2018 19:45:36</t>
  </si>
  <si>
    <t xml:space="preserve"> this diagram for bitcoin not for xrp</t>
  </si>
  <si>
    <t xml:space="preserve"> Sat Feb 03 2018 19:45:37</t>
  </si>
  <si>
    <t xml:space="preserve"> Remeber to leave the bitcoin passwords on the dresser!</t>
  </si>
  <si>
    <t xml:space="preserve"> C****c </t>
  </si>
  <si>
    <t xml:space="preserve"> North of The Equator, South of Heaven</t>
  </si>
  <si>
    <t xml:space="preserve"> Sat Feb 03 2018 19:45:41</t>
  </si>
  <si>
    <t xml:space="preserve"> The fact there is a turf battle going on will push everyone in the crypto world in direction of etherium</t>
  </si>
  <si>
    <t xml:space="preserve"> Frankfurt on the Main, Germany</t>
  </si>
  <si>
    <t xml:space="preserve"> Sat Feb 03 2018 19:46:40</t>
  </si>
  <si>
    <t xml:space="preserve"> Is Rogger ver gonna suicide after this?! </t>
  </si>
  <si>
    <t xml:space="preserve"> Sat Feb 03 2018 19:46:43</t>
  </si>
  <si>
    <t xml:space="preserve"> What is Bitcoin? (Without the Tech Jargon)</t>
  </si>
  <si>
    <t xml:space="preserve"> P****A </t>
  </si>
  <si>
    <t xml:space="preserve"> Sat Feb 03 2018 19:46:50</t>
  </si>
  <si>
    <t xml:space="preserve"> I'm pretty confident right now that if I buy some it will go down, and if I sell it will go up.</t>
  </si>
  <si>
    <t xml:space="preserve"> 1 step ahead</t>
  </si>
  <si>
    <t xml:space="preserve"> Sat Feb 03 2018 19:47:12</t>
  </si>
  <si>
    <t xml:space="preserve"> You guys are pathetic.</t>
  </si>
  <si>
    <t xml:space="preserve"> c****1 </t>
  </si>
  <si>
    <t xml:space="preserve"> Sat Feb 03 2018 19:47:17</t>
  </si>
  <si>
    <t xml:space="preserve"> Has your card been declined for Bitcoin purchase </t>
  </si>
  <si>
    <t xml:space="preserve"> Yonkers, NY</t>
  </si>
  <si>
    <t xml:space="preserve"> Sat Feb 03 2018 19:47:27</t>
  </si>
  <si>
    <t xml:space="preserve"> The bitcoin tweet was the start of the downfall</t>
  </si>
  <si>
    <t xml:space="preserve"> U****w </t>
  </si>
  <si>
    <t xml:space="preserve"> Hell, MI</t>
  </si>
  <si>
    <t xml:space="preserve"> Sat Feb 03 2018 19:47:31</t>
  </si>
  <si>
    <t xml:space="preserve"> February 2018 you got bitcoin happy valentine</t>
  </si>
  <si>
    <t xml:space="preserve"> Sat Feb 03 2018 19:47:41</t>
  </si>
  <si>
    <t xml:space="preserve"> Bitcoin isn't mined with GPUs anymore, it's Ethereum they're after now.</t>
  </si>
  <si>
    <t xml:space="preserve"> N****x </t>
  </si>
  <si>
    <t xml:space="preserve"> Attleboro, MA</t>
  </si>
  <si>
    <t xml:space="preserve"> Sat Feb 03 2018 19:47:42</t>
  </si>
  <si>
    <t xml:space="preserve"> why should anyone want to pay via bitcoin in these days......nonsense</t>
  </si>
  <si>
    <t xml:space="preserve"> C****T </t>
  </si>
  <si>
    <t xml:space="preserve"> Sat Feb 03 2018 19:47:55</t>
  </si>
  <si>
    <t xml:space="preserve"> Who thinks Bitcoin has bottomed at $7500?</t>
  </si>
  <si>
    <t xml:space="preserve"> C****v </t>
  </si>
  <si>
    <t xml:space="preserve"> Sat Feb 03 2018 19:47:59</t>
  </si>
  <si>
    <t xml:space="preserve"> Bitconnect is everything that bitcoin cash was supposed to be.</t>
  </si>
  <si>
    <t xml:space="preserve"> C****k </t>
  </si>
  <si>
    <t xml:space="preserve"> Sat Feb 03 2018 19:48:28</t>
  </si>
  <si>
    <t xml:space="preserve"> And Litecoin LTC is everything Bitcoin Cash wishes it was! </t>
  </si>
  <si>
    <t xml:space="preserve"> Sat Feb 03 2018 19:48:31</t>
  </si>
  <si>
    <t xml:space="preserve"> Send bitcoin and data </t>
  </si>
  <si>
    <t xml:space="preserve"> Sat Feb 03 2018 19:48:34</t>
  </si>
  <si>
    <t xml:space="preserve"> I just looked into the increase of GPU prices and now I just hate bitcoin</t>
  </si>
  <si>
    <t xml:space="preserve"> f****b </t>
  </si>
  <si>
    <t xml:space="preserve"> almost Berlin</t>
  </si>
  <si>
    <t xml:space="preserve"> Sat Feb 03 2018 19:48:38</t>
  </si>
  <si>
    <t xml:space="preserve"> 1 Reason Bitcoin Cash is not Real Bitcoin Bitcoin is Real BITCOIN !!</t>
  </si>
  <si>
    <t xml:space="preserve"> Newcastle (U.K)</t>
  </si>
  <si>
    <t xml:space="preserve"> Sat Feb 03 2018 19:48:56</t>
  </si>
  <si>
    <t xml:space="preserve"> should i buy bitcoin</t>
  </si>
  <si>
    <t xml:space="preserve"> Sat Feb 03 2018 19:49:17</t>
  </si>
  <si>
    <t xml:space="preserve"> I have to tell you guys something... I couldn't stand more dumping and I have sold all my... . . . . . . . . . . Fiats</t>
  </si>
  <si>
    <t xml:space="preserve"> 4th dimension</t>
  </si>
  <si>
    <t xml:space="preserve"> Sat Feb 03 2018 19:49:23</t>
  </si>
  <si>
    <t xml:space="preserve"> Should we close our accounts with the banks that block crypto purchases? </t>
  </si>
  <si>
    <t xml:space="preserve"> almost anything you guys say, applies to almost every other alt coin in the market making Bcash another alt coin.</t>
  </si>
  <si>
    <t xml:space="preserve"> Sat Feb 03 2018 19:49:24</t>
  </si>
  <si>
    <t xml:space="preserve"> Those Bitcoin miners hijacked the entire market for those gpu!</t>
  </si>
  <si>
    <t xml:space="preserve"> t****i </t>
  </si>
  <si>
    <t xml:space="preserve"> Sat Feb 03 2018 19:49:26</t>
  </si>
  <si>
    <t xml:space="preserve"> is the tech. is merely the first mainstream manifestation of its potential. </t>
  </si>
  <si>
    <t xml:space="preserve"> Sat Feb 03 2018 19:49:29</t>
  </si>
  <si>
    <t xml:space="preserve"> Bitcoin now</t>
  </si>
  <si>
    <t xml:space="preserve"> b****x </t>
  </si>
  <si>
    <t xml:space="preserve"> honje.....</t>
  </si>
  <si>
    <t xml:space="preserve"> Sat Feb 03 2018 19:49:43</t>
  </si>
  <si>
    <t xml:space="preserve"> Have the attorneys lined up to sue the Bitcoin Ponzi scheme. Rules change daily which is unlawful.</t>
  </si>
  <si>
    <t xml:space="preserve"> Brentwood, TN</t>
  </si>
  <si>
    <t xml:space="preserve"> Sat Feb 03 2018 19:49:49</t>
  </si>
  <si>
    <t xml:space="preserve"> Fast? Then it's Bitcoin Cash, not Bitcoin Core.</t>
  </si>
  <si>
    <t xml:space="preserve"> Sat Feb 03 2018 19:49:52</t>
  </si>
  <si>
    <t xml:space="preserve"> Bitcoin cash is </t>
  </si>
  <si>
    <t xml:space="preserve"> Sat Feb 03 2018 19:49:56</t>
  </si>
  <si>
    <t xml:space="preserve"> The only solution is for people to eventually realise that blockchain isn't all about Bitcoin.</t>
  </si>
  <si>
    <t xml:space="preserve"> Sat Feb 03 2018 19:50:32</t>
  </si>
  <si>
    <t xml:space="preserve"> I'm curious. Why are there ads on /r/bitcoin promoting tweets from you? This really seems weird..</t>
  </si>
  <si>
    <t xml:space="preserve"> Sat Feb 03 2018 19:50:54</t>
  </si>
  <si>
    <t xml:space="preserve"> SVT I bought your product and my voice still sounds like a rusty diesel engine. I'll take my money back in bitcoin.</t>
  </si>
  <si>
    <t xml:space="preserve"> Sat Feb 03 2018 19:50:57</t>
  </si>
  <si>
    <t xml:space="preserve"> How does Bitcoin mining work? Ok, its like trying to find a humble slay queen n then getn 12.5 btc when she gives u her number</t>
  </si>
  <si>
    <t xml:space="preserve"> M****O </t>
  </si>
  <si>
    <t xml:space="preserve"> Sat Feb 03 2018 19:50:58</t>
  </si>
  <si>
    <t xml:space="preserve"> It's fine, it's easy to assume Bitcoin because that's one of the most well-known cryptocurrencies.</t>
  </si>
  <si>
    <t xml:space="preserve"> Sat Feb 03 2018 19:51:09</t>
  </si>
  <si>
    <t xml:space="preserve"> The CEO of recently stated he has full confidence in our 1:1 backing of Tether to USD.</t>
  </si>
  <si>
    <t xml:space="preserve"> Hong Kong/BVI/Federal Prison</t>
  </si>
  <si>
    <t xml:space="preserve"> Sat Feb 03 2018 19:51:28</t>
  </si>
  <si>
    <t xml:space="preserve"> They are finally doing the right thing to handle bitcoin. Will we do anything?</t>
  </si>
  <si>
    <t xml:space="preserve"> Sat Feb 03 2018 19:51:37</t>
  </si>
  <si>
    <t xml:space="preserve"> Typo : inverted the the word bitcoin cash ans the word bitcoin. </t>
  </si>
  <si>
    <t xml:space="preserve"> Sat Feb 03 2018 19:51:44</t>
  </si>
  <si>
    <t xml:space="preserve"> Someone mine their bitcoin wallet?</t>
  </si>
  <si>
    <t xml:space="preserve"> L****0 </t>
  </si>
  <si>
    <t xml:space="preserve"> The Old North State</t>
  </si>
  <si>
    <t xml:space="preserve"> Sat Feb 03 2018 19:51:51</t>
  </si>
  <si>
    <t xml:space="preserve"> All my nocoiner friends keep asking if I'm bringing dip to the superbowl party tomorrow with really smug looks. </t>
  </si>
  <si>
    <t xml:space="preserve"> Sat Feb 03 2018 19:51:58</t>
  </si>
  <si>
    <t xml:space="preserve"> Well well , I see you decreasing and then increasing in value rapidly</t>
  </si>
  <si>
    <t xml:space="preserve"> Sat Feb 03 2018 19:52:08</t>
  </si>
  <si>
    <t xml:space="preserve"> If you sold your Bitcoin over the past few days you shouldn't be in the crypto space </t>
  </si>
  <si>
    <t xml:space="preserve"> i****k </t>
  </si>
  <si>
    <t xml:space="preserve"> Sat Feb 03 2018 19:52:09</t>
  </si>
  <si>
    <t xml:space="preserve"> down the Bitcoin is...</t>
  </si>
  <si>
    <t xml:space="preserve"> Y****m </t>
  </si>
  <si>
    <t xml:space="preserve"> Dagobah </t>
  </si>
  <si>
    <t xml:space="preserve"> Sat Feb 03 2018 19:52:23</t>
  </si>
  <si>
    <t xml:space="preserve"> Bitcoin isn't a war on money, it's a revolution</t>
  </si>
  <si>
    <t xml:space="preserve"> North Shore of Boston, MA, USA</t>
  </si>
  <si>
    <t xml:space="preserve"> Sat Feb 03 2018 19:52:24</t>
  </si>
  <si>
    <t xml:space="preserve"> If someone could help me get onto bittrex id great appreciate the help! Please? </t>
  </si>
  <si>
    <t xml:space="preserve"> Boynton Beach, FL</t>
  </si>
  <si>
    <t xml:space="preserve"> Sat Feb 03 2018 19:52:39</t>
  </si>
  <si>
    <t xml:space="preserve"> So, better than you would have done buying Bitcoin at ATH and holding.. what's your point?</t>
  </si>
  <si>
    <t xml:space="preserve"> Sat Feb 03 2018 19:52:42</t>
  </si>
  <si>
    <t xml:space="preserve"> F Trump Coin is here to prior Bitcoin up. Just give us a </t>
  </si>
  <si>
    <t xml:space="preserve"> Sat Feb 03 2018 19:53:10</t>
  </si>
  <si>
    <t xml:space="preserve"> Bitcoin is a bubble.</t>
  </si>
  <si>
    <t xml:space="preserve"> Sat Feb 03 2018 19:53:16</t>
  </si>
  <si>
    <t xml:space="preserve"> I like the concept, and the Bitcoin design is just amazing. Maybe it can be the best choice for something. I kind of hope so.</t>
  </si>
  <si>
    <t xml:space="preserve"> Oslo, Norway</t>
  </si>
  <si>
    <t xml:space="preserve"> Sat Feb 03 2018 19:53:36</t>
  </si>
  <si>
    <t xml:space="preserve"> Bitcoin Cash is the real Bitcoin scam.</t>
  </si>
  <si>
    <t xml:space="preserve"> Menifee, CA</t>
  </si>
  <si>
    <t xml:space="preserve"> Sat Feb 03 2018 19:53:41</t>
  </si>
  <si>
    <t xml:space="preserve"> bitcoin, as the first big one has just kind of become the umbrella term for them. Even if incorrect.</t>
  </si>
  <si>
    <t xml:space="preserve"> Wherever my heart may be</t>
  </si>
  <si>
    <t xml:space="preserve"> Sat Feb 03 2018 19:53:48</t>
  </si>
  <si>
    <t xml:space="preserve"> RESPIRA BITCOIN</t>
  </si>
  <si>
    <t xml:space="preserve"> Casado</t>
  </si>
  <si>
    <t xml:space="preserve"> Sat Feb 03 2018 19:53:53</t>
  </si>
  <si>
    <t xml:space="preserve"> I'm starting to think you're a bot tweeting an array of pre-made tweets targeting the only and real Bitcoin</t>
  </si>
  <si>
    <t xml:space="preserve"> Sat Feb 03 2018 19:54:12</t>
  </si>
  <si>
    <t xml:space="preserve"> The 1060 now costs $900 because of bitcoin mining</t>
  </si>
  <si>
    <t xml:space="preserve"> Alma, Michigan</t>
  </si>
  <si>
    <t xml:space="preserve"> Sat Feb 03 2018 19:54:26</t>
  </si>
  <si>
    <t xml:space="preserve"> Whats your opinion on this? Is it possible that the Bitcoin bubble bursts and other cryptos take over?</t>
  </si>
  <si>
    <t xml:space="preserve"> Sat Feb 03 2018 19:54:30</t>
  </si>
  <si>
    <t xml:space="preserve"> Interested in learning more about blockchain and cryptocurrency like Bitcoin? Come join me and IBM at the IBM Coder Program! </t>
  </si>
  <si>
    <t xml:space="preserve"> a****2 </t>
  </si>
  <si>
    <t xml:space="preserve"> Sat Feb 03 2018 19:54:39</t>
  </si>
  <si>
    <t xml:space="preserve"> You started investing in bitcoin then it more than halved in value...coincidence? I think not!</t>
  </si>
  <si>
    <t xml:space="preserve"> Sat Feb 03 2018 19:54:52</t>
  </si>
  <si>
    <t xml:space="preserve"> you should accept bitcoin.</t>
  </si>
  <si>
    <t xml:space="preserve"> Sat Feb 03 2018 19:54:57</t>
  </si>
  <si>
    <t xml:space="preserve"> What will be the next target price for Bitcoin? </t>
  </si>
  <si>
    <t xml:space="preserve"> Sat Feb 03 2018 19:55:34</t>
  </si>
  <si>
    <t xml:space="preserve"> Gna put all my earnings from crypto into shorting bitcoin till March, it will hit 5k...</t>
  </si>
  <si>
    <t xml:space="preserve"> Sat Feb 03 2018 19:55:53</t>
  </si>
  <si>
    <t xml:space="preserve"> Its a bottom for now.... is it the bottom this month? Probably not. $btc </t>
  </si>
  <si>
    <t xml:space="preserve"> Sat Feb 03 2018 19:56:07</t>
  </si>
  <si>
    <t xml:space="preserve"> My Uber driver is trying to convince this other passenger not to get eyelash extensions and buy bitcoin...</t>
  </si>
  <si>
    <t xml:space="preserve"> Sat Feb 03 2018 19:56:08</t>
  </si>
  <si>
    <t xml:space="preserve"> any chance Bitcoin Hush gets listed on an exchange? </t>
  </si>
  <si>
    <t xml:space="preserve"> Sat Feb 03 2018 19:56:10</t>
  </si>
  <si>
    <t xml:space="preserve"> I also dont do CrossFit and am kinda anti bitcoin. Am I real?</t>
  </si>
  <si>
    <t xml:space="preserve"> Let's get lost together.</t>
  </si>
  <si>
    <t xml:space="preserve"> Sat Feb 03 2018 19:56:16</t>
  </si>
  <si>
    <t xml:space="preserve"> Who is holding onto their coins still? </t>
  </si>
  <si>
    <t xml:space="preserve"> R****h </t>
  </si>
  <si>
    <t xml:space="preserve"> Port Elizabeth, South Africa</t>
  </si>
  <si>
    <t xml:space="preserve"> Sat Feb 03 2018 19:56:24</t>
  </si>
  <si>
    <t xml:space="preserve"> Does more damage than Bitcoin</t>
  </si>
  <si>
    <t xml:space="preserve"> G****6 </t>
  </si>
  <si>
    <t xml:space="preserve"> Sat Feb 03 2018 19:56:31</t>
  </si>
  <si>
    <t xml:space="preserve"> Just panic sold all my Euros to BTC </t>
  </si>
  <si>
    <t xml:space="preserve"> Netherlands</t>
  </si>
  <si>
    <t xml:space="preserve"> Sat Feb 03 2018 19:56:33</t>
  </si>
  <si>
    <t xml:space="preserve"> Probably because it's gone mainstream. Now everyone will play it for what it really is....another fiat currency. </t>
  </si>
  <si>
    <t xml:space="preserve"> Everywhere, yet nowhere.</t>
  </si>
  <si>
    <t xml:space="preserve"> Sat Feb 03 2018 19:56:52</t>
  </si>
  <si>
    <t xml:space="preserve"> how about buying Bitcoin for cash at the stadium with a branded lighting enabled wallet</t>
  </si>
  <si>
    <t xml:space="preserve"> somewhere</t>
  </si>
  <si>
    <t xml:space="preserve"> Sat Feb 03 2018 19:57:12</t>
  </si>
  <si>
    <t xml:space="preserve"> What percentage of the bitcoin market is owned by people who live in India? $ETH $XRP $NEO $BTC $LTC</t>
  </si>
  <si>
    <t xml:space="preserve"> Sat Feb 03 2018 19:57:43</t>
  </si>
  <si>
    <t xml:space="preserve"> I told before bitcoin is not an profitable investment same as Usd:its not a profitable currency...blockchain cryptocurrency is</t>
  </si>
  <si>
    <t xml:space="preserve"> L****G </t>
  </si>
  <si>
    <t xml:space="preserve"> MALAYSIA</t>
  </si>
  <si>
    <t xml:space="preserve"> Sat Feb 03 2018 19:57:46</t>
  </si>
  <si>
    <t xml:space="preserve"> Well...... good thing the only coin i stock up like bitcoin is litecoin.... </t>
  </si>
  <si>
    <t xml:space="preserve"> Sat Feb 03 2018 19:58:05</t>
  </si>
  <si>
    <t xml:space="preserve"> The number one currency used by criminals around the world is the US dollar - not bitcoin. panel at </t>
  </si>
  <si>
    <t xml:space="preserve"> Savannah, Georgia</t>
  </si>
  <si>
    <t xml:space="preserve"> Sat Feb 03 2018 19:58:17</t>
  </si>
  <si>
    <t xml:space="preserve"> How about being hit by gold-bricks (platinum will do, too) ... joking. Or maybe for some bitcoin! LOL</t>
  </si>
  <si>
    <t xml:space="preserve"> K****m </t>
  </si>
  <si>
    <t xml:space="preserve"> Los Angeles | Worldwide by appt.</t>
  </si>
  <si>
    <t xml:space="preserve"> Sat Feb 03 2018 19:58:48</t>
  </si>
  <si>
    <t xml:space="preserve"> Zcash Touts Nuclear Waste-Fueled Random Number Generator </t>
  </si>
  <si>
    <t xml:space="preserve"> Sat Feb 03 2018 19:58:51</t>
  </si>
  <si>
    <t xml:space="preserve"> How much do you watch bitcoin while trading trx or other alts?</t>
  </si>
  <si>
    <t xml:space="preserve"> j****1 </t>
  </si>
  <si>
    <t xml:space="preserve"> DuBois, PA</t>
  </si>
  <si>
    <t xml:space="preserve"> Sat Feb 03 2018 19:59:21</t>
  </si>
  <si>
    <t xml:space="preserve"> OH: I'd trade you a bitcoin for that dresser</t>
  </si>
  <si>
    <t xml:space="preserve"> Sat Feb 03 2018 19:59:28</t>
  </si>
  <si>
    <t xml:space="preserve"> Society needs more I am certainly looking forward to another discussion about </t>
  </si>
  <si>
    <t xml:space="preserve"> Nashua, NH</t>
  </si>
  <si>
    <t xml:space="preserve"> Sat Feb 03 2018 19:59:44</t>
  </si>
  <si>
    <t xml:space="preserve"> not we going back down smh </t>
  </si>
  <si>
    <t xml:space="preserve"> Sat Feb 03 2018 20:00:00</t>
  </si>
  <si>
    <t xml:space="preserve"> VGhpcyB0ZXh0IHNob3VsZCBiZSBpbiB0aGUgMjAxOSB2ZXJzaW9uIG9mIHRoZSBhc3NpZ25tZW50IGF0IDIwOjAwOjAwLg==</t>
  </si>
  <si>
    <t xml:space="preserve"> Sat Feb 03 2018 20:00:01</t>
  </si>
  <si>
    <t xml:space="preserve"> Bitcoin:$9290.15 Ethereum:$971.353 Bitcoin Cash:$1277.31 Litecoin:$158.17 Ripple:$0.930165 IOTA:$1.97377</t>
  </si>
  <si>
    <t xml:space="preserve"> $INSN Price: $0.117202 / 0.00001254 BTC Volume (24h): $3 736.45 / 0.40 BTC </t>
  </si>
  <si>
    <t xml:space="preserve"> Prague, Czechia</t>
  </si>
  <si>
    <t xml:space="preserve"> The average price of Bitcoin across all exchanges is 9,290.15 USD</t>
  </si>
  <si>
    <t xml:space="preserve"> Sat Feb 03 2018 20:00:02</t>
  </si>
  <si>
    <t xml:space="preserve"> Average Bitcoin market price is: USD 9,308.31, EUR 7,490.77</t>
  </si>
  <si>
    <t xml:space="preserve"> Sat Feb 03 2018 20:00:03</t>
  </si>
  <si>
    <t xml:space="preserve"> can we crowdfund jeff bezos' assasination with bitcoin</t>
  </si>
  <si>
    <t xml:space="preserve"> Sat Feb 03 2018 20:00:05</t>
  </si>
  <si>
    <t xml:space="preserve"> Feb 03, 2018 12:00PM Price: USD 8862.45 | EUR 7152.02 | JPY 952837.79</t>
  </si>
  <si>
    <t xml:space="preserve"> Sat Feb 03 2018 20:00:06</t>
  </si>
  <si>
    <t xml:space="preserve"> The fundamental code behind Bitcoin solves a very old dilemma in computer science. Distributed consensus.</t>
  </si>
  <si>
    <t xml:space="preserve"> Sat Feb 03 2018 20:00:16</t>
  </si>
  <si>
    <t xml:space="preserve"> Top 6 BTC/USD Exchange Orderbooks: Resistance til $9600:$27.6M; Support til $9000:$22.3M $BTC $BTCUSD </t>
  </si>
  <si>
    <t xml:space="preserve"> Sat Feb 03 2018 20:00:25</t>
  </si>
  <si>
    <t xml:space="preserve"> 2m worth of Bitcoin I'm selling for 50k. DM</t>
  </si>
  <si>
    <t xml:space="preserve"> Sat Feb 03 2018 20:00:30</t>
  </si>
  <si>
    <t xml:space="preserve"> BTC hourly update $9328.46 | -0.0048% $BTC </t>
  </si>
  <si>
    <t xml:space="preserve"> Sat Feb 03 2018 20:00:40</t>
  </si>
  <si>
    <t xml:space="preserve"> Everybody knows that trading during news might be very profitable, but nobody has a robot except for us and you can have it too. </t>
  </si>
  <si>
    <t xml:space="preserve"> Sat Feb 03 2018 20:00:45</t>
  </si>
  <si>
    <t xml:space="preserve"> Current price of Bitcoin is $9310.00</t>
  </si>
  <si>
    <t xml:space="preserve"> Sat Feb 03 2018 20:00:48</t>
  </si>
  <si>
    <t xml:space="preserve"> Current price of Bitcoin is $9310.00 via Chain</t>
  </si>
  <si>
    <t xml:space="preserve"> Sat Feb 03 2018 20:01:11</t>
  </si>
  <si>
    <t xml:space="preserve"> Ill have you KNOW I own .00533992 bitcoin so youre required to call me Mr bada$$ from now on thank you </t>
  </si>
  <si>
    <t xml:space="preserve"> Eagle Pass, TX</t>
  </si>
  <si>
    <t xml:space="preserve"> Sat Feb 03 2018 20:01:15</t>
  </si>
  <si>
    <t xml:space="preserve"> Current price of Bitcoin is $9310.00.</t>
  </si>
  <si>
    <t xml:space="preserve"> Sat Feb 03 2018 20:01:19</t>
  </si>
  <si>
    <t xml:space="preserve"> You on behalf of the Bitcoin cashing in Japan . Sell a circle , and send in your favorite way the amount minus the fee . It passes directl</t>
  </si>
  <si>
    <t xml:space="preserve"> Sat Feb 03 2018 20:01:31</t>
  </si>
  <si>
    <t xml:space="preserve"> It's only up from here $BTC </t>
  </si>
  <si>
    <t xml:space="preserve"> R****7 </t>
  </si>
  <si>
    <t xml:space="preserve"> Bloomington, IL</t>
  </si>
  <si>
    <t xml:space="preserve"> Sat Feb 03 2018 20:01:34</t>
  </si>
  <si>
    <t xml:space="preserve"> Current price of Bitcoin is $9310.00 </t>
  </si>
  <si>
    <t xml:space="preserve"> Sat Feb 03 2018 20:01:41</t>
  </si>
  <si>
    <t xml:space="preserve"> Bitcoin Cash or Ripple</t>
  </si>
  <si>
    <t xml:space="preserve"> R****M </t>
  </si>
  <si>
    <t xml:space="preserve"> Bitcoin is now as valuable as the entire GDP of the United States -Well trained economists everywhere</t>
  </si>
  <si>
    <t xml:space="preserve"> Indiana, USA</t>
  </si>
  <si>
    <t xml:space="preserve"> Sat Feb 03 2018 20:01:52</t>
  </si>
  <si>
    <t xml:space="preserve"> i agree to your terms, however, i will need additional time to exchange my bitcoin for said eggs.</t>
  </si>
  <si>
    <t xml:space="preserve"> Sat Feb 03 2018 20:01:59</t>
  </si>
  <si>
    <t xml:space="preserve"> Bitcoin is the new mmm. Bitcoin experts are springing up every way</t>
  </si>
  <si>
    <t xml:space="preserve"> Nigeria.</t>
  </si>
  <si>
    <t xml:space="preserve"> Sat Feb 03 2018 20:02:02</t>
  </si>
  <si>
    <t xml:space="preserve"> If Lisk was sharing the same market cap as Bitcoin it's price should be 0.14328381 BTC $LSK</t>
  </si>
  <si>
    <t xml:space="preserve"> Sat Feb 03 2018 20:02:08</t>
  </si>
  <si>
    <t xml:space="preserve"> Love the semantics &amp; (almost) new language that comes with Bitcoin. Cryptofreude </t>
  </si>
  <si>
    <t xml:space="preserve"> Randburg, South Africa</t>
  </si>
  <si>
    <t xml:space="preserve"> Sat Feb 03 2018 20:02:12</t>
  </si>
  <si>
    <t xml:space="preserve"> Current price of is $9310.00</t>
  </si>
  <si>
    <t xml:space="preserve"> Sat Feb 03 2018 20:02:14</t>
  </si>
  <si>
    <t xml:space="preserve"> Current price of Bitcoin is $9310.00 - is that good for you? $btc</t>
  </si>
  <si>
    <t xml:space="preserve"> Sat Feb 03 2018 20:02:20</t>
  </si>
  <si>
    <t xml:space="preserve"> Cashapp got bitcoin now yussss</t>
  </si>
  <si>
    <t xml:space="preserve"> tejas</t>
  </si>
  <si>
    <t xml:space="preserve"> Sat Feb 03 2018 20:02:25</t>
  </si>
  <si>
    <t xml:space="preserve"> Most positive movements in the last hour Cash(2.81%), (2.68%), Cash(2.62%), (2.45%), Cash(2.43%)</t>
  </si>
  <si>
    <t xml:space="preserve"> Sat Feb 03 2018 20:02:31</t>
  </si>
  <si>
    <t xml:space="preserve"> Bitcoin can fall for the whole of Feb and still be at 70k by end of year.</t>
  </si>
  <si>
    <t xml:space="preserve"> Sat Feb 03 2018 20:02:51</t>
  </si>
  <si>
    <t xml:space="preserve"> Everyone who is not investing in Bitcoin is an idiot!... An idiot who still has all his money.</t>
  </si>
  <si>
    <t xml:space="preserve"> Shanghai, China</t>
  </si>
  <si>
    <t xml:space="preserve"> Sat Feb 03 2018 20:03:06</t>
  </si>
  <si>
    <t xml:space="preserve"> The current Bitcoin Price is 9310.00 USD</t>
  </si>
  <si>
    <t xml:space="preserve"> THE MOST INNOVATIVE AND LUCRATIVE WAY TO EARN BITCOIN JOIN BITCLUB NETWORK!!!!</t>
  </si>
  <si>
    <t xml:space="preserve"> Sat Feb 03 2018 20:03:11</t>
  </si>
  <si>
    <t xml:space="preserve"> Bitcoin is at 9327.27 US Dollar. Now I really regret not getting in when it was $19,000.</t>
  </si>
  <si>
    <t xml:space="preserve"> Sat Feb 03 2018 20:03:17</t>
  </si>
  <si>
    <t xml:space="preserve"> Current price of Bitcoin is $9310.00 Like if thats good for you and retweet if thats not good for you </t>
  </si>
  <si>
    <t xml:space="preserve"> Sat Feb 03 2018 20:04:06</t>
  </si>
  <si>
    <t xml:space="preserve"> Auto-Triggered 1x Bitcoin Cash on dip for $1000 :D</t>
  </si>
  <si>
    <t xml:space="preserve"> x****x </t>
  </si>
  <si>
    <t xml:space="preserve"> Sat Feb 03 2018 20:04:14</t>
  </si>
  <si>
    <t xml:space="preserve"> Yes that's why they desperately want to destroy that pin </t>
  </si>
  <si>
    <t xml:space="preserve"> Rockland/Sullivan NY/Bronx Riverdale NY</t>
  </si>
  <si>
    <t xml:space="preserve"> Sat Feb 03 2018 20:04:16</t>
  </si>
  <si>
    <t xml:space="preserve"> He's lying. Bitcoin is a scam. Do not believe him.</t>
  </si>
  <si>
    <t xml:space="preserve"> 1****e </t>
  </si>
  <si>
    <t xml:space="preserve"> Sat Feb 03 2018 20:04:18</t>
  </si>
  <si>
    <t xml:space="preserve"> Current price of Bitcoin is USD$9310.00 via Chain</t>
  </si>
  <si>
    <t xml:space="preserve"> Ciudadano del mundo</t>
  </si>
  <si>
    <t xml:space="preserve"> Sat Feb 03 2018 20:04:27</t>
  </si>
  <si>
    <t xml:space="preserve"> Bitcoin 9310.00 $</t>
  </si>
  <si>
    <t xml:space="preserve"> Sat Feb 03 2018 20:04:41</t>
  </si>
  <si>
    <t xml:space="preserve"> BTC,ETH,ETC,LTC,BCH,MONA Someone may do it, so please send it </t>
  </si>
  <si>
    <t xml:space="preserve"> Sat Feb 03 2018 20:04:43</t>
  </si>
  <si>
    <t xml:space="preserve"> I assume your referring to the relevant Bitcoin chain BCH, right.</t>
  </si>
  <si>
    <t xml:space="preserve"> its like a bitcoin only worth a lot more</t>
  </si>
  <si>
    <t xml:space="preserve"> Sat Feb 03 2018 20:05:42</t>
  </si>
  <si>
    <t xml:space="preserve"> Feminine intuition but only 4% of bitcoin users are female</t>
  </si>
  <si>
    <t xml:space="preserve"> self sabotaging</t>
  </si>
  <si>
    <t xml:space="preserve"> Sat Feb 03 2018 20:06:01</t>
  </si>
  <si>
    <t xml:space="preserve"> trading channel 7500-10000</t>
  </si>
  <si>
    <t xml:space="preserve"> CryptoCompare Bitcoin price changed +1.09% to $9417.07 </t>
  </si>
  <si>
    <t xml:space="preserve"> Sat Feb 03 2018 20:06:03</t>
  </si>
  <si>
    <t xml:space="preserve"> $1 USD is currently worth 0.00010692 BTC! </t>
  </si>
  <si>
    <t xml:space="preserve"> Sat Feb 03 2018 20:06:08</t>
  </si>
  <si>
    <t xml:space="preserve"> Pretty sure the 2008 crash was a bigger hubble than bitcoin could ever be</t>
  </si>
  <si>
    <t xml:space="preserve"> Sat Feb 03 2018 20:06:10</t>
  </si>
  <si>
    <t xml:space="preserve"> You can't stop huh? Bitcoin fees are cheaper than BCash Now and Dogecoin is the real BCash!</t>
  </si>
  <si>
    <t xml:space="preserve"> B****6 </t>
  </si>
  <si>
    <t xml:space="preserve"> Sat Feb 03 2018 20:06:14</t>
  </si>
  <si>
    <t xml:space="preserve"> made $1.40 on bitcoin, im balling</t>
  </si>
  <si>
    <t xml:space="preserve"> u****o </t>
  </si>
  <si>
    <t xml:space="preserve"> hell</t>
  </si>
  <si>
    <t xml:space="preserve"> I LOVE Bitcoin</t>
  </si>
  <si>
    <t xml:space="preserve"> Sat Feb 03 2018 20:06:23</t>
  </si>
  <si>
    <t xml:space="preserve"> Bitcoin is a barbarous relic</t>
  </si>
  <si>
    <t xml:space="preserve"> H****n </t>
  </si>
  <si>
    <t xml:space="preserve"> Tejas, USA</t>
  </si>
  <si>
    <t xml:space="preserve"> Sat Feb 03 2018 20:06:32</t>
  </si>
  <si>
    <t xml:space="preserve"> Mark Cuban is going to start accepting for tickets</t>
  </si>
  <si>
    <t xml:space="preserve"> Sat Feb 03 2018 20:07:03</t>
  </si>
  <si>
    <t xml:space="preserve"> Give it a few years. Itll be .</t>
  </si>
  <si>
    <t xml:space="preserve"> Canada China</t>
  </si>
  <si>
    <t xml:space="preserve"> Sat Feb 03 2018 20:07:23</t>
  </si>
  <si>
    <t xml:space="preserve"> Courtesy of and </t>
  </si>
  <si>
    <t xml:space="preserve"> D****f </t>
  </si>
  <si>
    <t xml:space="preserve"> Sat Feb 03 2018 20:07:47</t>
  </si>
  <si>
    <t xml:space="preserve"> Allow cryptocurrency bitcoin is possible</t>
  </si>
  <si>
    <t xml:space="preserve"> Metepec</t>
  </si>
  <si>
    <t xml:space="preserve"> Sat Feb 03 2018 20:08:30</t>
  </si>
  <si>
    <t xml:space="preserve"> What a difference a day or week makes for bitcoin</t>
  </si>
  <si>
    <t xml:space="preserve"> Sat Feb 03 2018 20:08:57</t>
  </si>
  <si>
    <t xml:space="preserve"> Omg the legend of just followed me back whoooopppp</t>
  </si>
  <si>
    <t xml:space="preserve"> Sat Feb 03 2018 20:09:11</t>
  </si>
  <si>
    <t xml:space="preserve"> Buy Bitcoin </t>
  </si>
  <si>
    <t xml:space="preserve"> Sat Feb 03 2018 20:09:15</t>
  </si>
  <si>
    <t xml:space="preserve"> GIVE ME MY BITCOIN NOW</t>
  </si>
  <si>
    <t xml:space="preserve"> Sat Feb 03 2018 20:09:51</t>
  </si>
  <si>
    <t xml:space="preserve"> Vishal Sikka is the opposite of Bitcoin</t>
  </si>
  <si>
    <t xml:space="preserve"> Mumbai, India</t>
  </si>
  <si>
    <t xml:space="preserve"> Sat Feb 03 2018 20:10:02</t>
  </si>
  <si>
    <t xml:space="preserve"> ty for the bitcoin</t>
  </si>
  <si>
    <t xml:space="preserve"> i only accept tips in bitcoin</t>
  </si>
  <si>
    <t xml:space="preserve"> Sat Feb 03 2018 20:10:06</t>
  </si>
  <si>
    <t xml:space="preserve"> Free 1 VIC 1 VIC = $40 airdrop live now </t>
  </si>
  <si>
    <t xml:space="preserve"> Sat Feb 03 2018 20:10:11</t>
  </si>
  <si>
    <t xml:space="preserve"> Bitcoin BTC Current Price: $9280.03 1 Hour: -0.14 % | 24 Hours: 7.47 % | 7 Days: -18.99 % </t>
  </si>
  <si>
    <t xml:space="preserve"> Sat Feb 03 2018 20:10:29</t>
  </si>
  <si>
    <t xml:space="preserve"> I just rewatched dope. Bitcoin, asap mob and all</t>
  </si>
  <si>
    <t xml:space="preserve"> Sat Feb 03 2018 20:10:34</t>
  </si>
  <si>
    <t xml:space="preserve"> They are bitcoin mining too hard</t>
  </si>
  <si>
    <t xml:space="preserve"> Sat Feb 03 2018 20:10:47</t>
  </si>
  <si>
    <t xml:space="preserve"> In bitcoin you have to know who you are.</t>
  </si>
  <si>
    <t xml:space="preserve"> Sat Feb 03 2018 20:10:51</t>
  </si>
  <si>
    <t xml:space="preserve"> I bought bitcoin cash since I was told it was bitcoin. Wtf is this ? Was I lied to?</t>
  </si>
  <si>
    <t xml:space="preserve"> Nashville, TN</t>
  </si>
  <si>
    <t xml:space="preserve"> Sat Feb 03 2018 20:10:54</t>
  </si>
  <si>
    <t xml:space="preserve"> Great ICO. It's a real company and with a great project! project. Wish them good luck! </t>
  </si>
  <si>
    <t xml:space="preserve"> Sat Feb 03 2018 20:11:03</t>
  </si>
  <si>
    <t xml:space="preserve"> What's with bitcoin lite #?</t>
  </si>
  <si>
    <t xml:space="preserve"> b****f </t>
  </si>
  <si>
    <t xml:space="preserve"> Sat Feb 03 2018 20:11:14</t>
  </si>
  <si>
    <t xml:space="preserve"> Bitcoin volatility is seen as a risk for merchants. But volatility averages out over time.</t>
  </si>
  <si>
    <t xml:space="preserve"> Sat Feb 03 2018 20:11:16</t>
  </si>
  <si>
    <t xml:space="preserve"> $ltc had almost a 50% gain from the current bottom. Definitely a better play than bitcoin and ethereum.</t>
  </si>
  <si>
    <t xml:space="preserve"> Rio de Janeiro</t>
  </si>
  <si>
    <t xml:space="preserve"> Sat Feb 03 2018 20:11:50</t>
  </si>
  <si>
    <t xml:space="preserve"> Prediction, within the next couple months the stock market tanks which causes to surge</t>
  </si>
  <si>
    <t xml:space="preserve"> Sat Feb 03 2018 20:11:57</t>
  </si>
  <si>
    <t xml:space="preserve"> hasn't even rallied yet...first bitcoin, now litecoin, next should be eth. patience. it will rally soon enough.</t>
  </si>
  <si>
    <t xml:space="preserve"> Sat Feb 03 2018 20:12:00</t>
  </si>
  <si>
    <t xml:space="preserve"> I just rewatched dope. Molly asap mob bitcoin, sick concept.</t>
  </si>
  <si>
    <t xml:space="preserve"> Sat Feb 03 2018 20:12:27</t>
  </si>
  <si>
    <t xml:space="preserve"> Some things... even bitcoin cant buy. </t>
  </si>
  <si>
    <t xml:space="preserve"> C****i </t>
  </si>
  <si>
    <t xml:space="preserve"> Sat Feb 03 2018 20:12:30</t>
  </si>
  <si>
    <t xml:space="preserve"> Japan &amp; Australia are full fledged Bitcoin countries the banks been working with Bitcoin</t>
  </si>
  <si>
    <t xml:space="preserve"> Sat Feb 03 2018 20:12:36</t>
  </si>
  <si>
    <t xml:space="preserve"> YES!! YOU VIRGINS WILL BE WRONG AGAIN, BITCOIN WILL WIN!!! SUBMIT TO THE PARABOLA OR ELSE!!!</t>
  </si>
  <si>
    <t xml:space="preserve"> P****d </t>
  </si>
  <si>
    <t xml:space="preserve"> Sat Feb 03 2018 20:12:50</t>
  </si>
  <si>
    <t xml:space="preserve"> DID THIS OLD MAN INVEST IN BITCOIN ?</t>
  </si>
  <si>
    <t xml:space="preserve"> M****f </t>
  </si>
  <si>
    <t xml:space="preserve"> Sat Feb 03 2018 20:13:17</t>
  </si>
  <si>
    <t xml:space="preserve"> Bitcoin has 99.99% uptime, just saying</t>
  </si>
  <si>
    <t xml:space="preserve"> Undisclosed Location</t>
  </si>
  <si>
    <t xml:space="preserve"> Sat Feb 03 2018 20:13:42</t>
  </si>
  <si>
    <t xml:space="preserve"> Just need to Bitcoin to crash and then it will be something worth getting into again.</t>
  </si>
  <si>
    <t xml:space="preserve"> Utah, USA</t>
  </si>
  <si>
    <t xml:space="preserve"> Sat Feb 03 2018 20:14:31</t>
  </si>
  <si>
    <t xml:space="preserve"> Bitcoin doesnt have a fundamental reason to have skyrocketed 800% in a few months though</t>
  </si>
  <si>
    <t xml:space="preserve"> K****4 </t>
  </si>
  <si>
    <t xml:space="preserve"> Sat Feb 03 2018 20:14:33</t>
  </si>
  <si>
    <t xml:space="preserve"> If Black Panther REALLY wanna make some money....let people purchase tickets via bitcoin.</t>
  </si>
  <si>
    <t xml:space="preserve"> Little Rock, AR</t>
  </si>
  <si>
    <t xml:space="preserve"> Sat Feb 03 2018 20:14:38</t>
  </si>
  <si>
    <t xml:space="preserve"> When There Are BitCoin Baba.</t>
  </si>
  <si>
    <t xml:space="preserve"> Kyiv</t>
  </si>
  <si>
    <t xml:space="preserve"> Sat Feb 03 2018 20:14:50</t>
  </si>
  <si>
    <t xml:space="preserve"> There is a better way, just not bitcoin or Austrian school commodity money</t>
  </si>
  <si>
    <t xml:space="preserve"> Sat Feb 03 2018 20:14:54</t>
  </si>
  <si>
    <t xml:space="preserve"> Im e famous wheres my e money (bitcoin)?</t>
  </si>
  <si>
    <t xml:space="preserve"> Greater Israel</t>
  </si>
  <si>
    <t xml:space="preserve"> Sat Feb 03 2018 20:15:00</t>
  </si>
  <si>
    <t xml:space="preserve"> buy litecoin, not bitcoin</t>
  </si>
  <si>
    <t xml:space="preserve"> Washington State University</t>
  </si>
  <si>
    <t xml:space="preserve"> Sat Feb 03 2018 20:15:02</t>
  </si>
  <si>
    <t xml:space="preserve"> The current price of Bitcoin is $9329.53. The current price of BCash is $1295.95, or 0.138167 BTC</t>
  </si>
  <si>
    <t xml:space="preserve"> Sat Feb 03 2018 20:15:35</t>
  </si>
  <si>
    <t xml:space="preserve"> Keep going up bircoin yay !!!! </t>
  </si>
  <si>
    <t xml:space="preserve"> Sat Feb 03 2018 20:16:02</t>
  </si>
  <si>
    <t xml:space="preserve"> So you are all bitcoin these days</t>
  </si>
  <si>
    <t xml:space="preserve"> blacklivesmatter</t>
  </si>
  <si>
    <t xml:space="preserve"> Sat Feb 03 2018 20:16:04</t>
  </si>
  <si>
    <t xml:space="preserve"> afternoon naps &gt; bitcoin</t>
  </si>
  <si>
    <t xml:space="preserve"> East Coast, USA</t>
  </si>
  <si>
    <t xml:space="preserve"> Sat Feb 03 2018 20:16:58</t>
  </si>
  <si>
    <t xml:space="preserve"> Bitcoin:I feel so uncomfortable with my big moves... Dow Jones: Hodl my beer...</t>
  </si>
  <si>
    <t xml:space="preserve"> Bulgaria,Sofia</t>
  </si>
  <si>
    <t xml:space="preserve"> Sat Feb 03 2018 20:17:02</t>
  </si>
  <si>
    <t xml:space="preserve"> Im disappointed you dont have some hot takes about Bitcoin</t>
  </si>
  <si>
    <t xml:space="preserve"> e****3 </t>
  </si>
  <si>
    <t xml:space="preserve"> Sat Feb 03 2018 20:17:05</t>
  </si>
  <si>
    <t xml:space="preserve"> Bitcoin Cash BCH Current Price: $1295.95 1 Hour: 2.25 % | 24 Hours: 10.96 % | 7 Days: -21.0 % cash</t>
  </si>
  <si>
    <t xml:space="preserve"> Sat Feb 03 2018 20:17:11</t>
  </si>
  <si>
    <t xml:space="preserve"> ACCORDING TO THIS CURVE BITCOIN MAY BE BULISH NXT WEEK... LET'S SEE....</t>
  </si>
  <si>
    <t xml:space="preserve"> Sat Feb 03 2018 20:17:28</t>
  </si>
  <si>
    <t xml:space="preserve"> I want to buy some bitcoin but it's a scam when it's cheap </t>
  </si>
  <si>
    <t xml:space="preserve"> Sat Feb 03 2018 20:17:39</t>
  </si>
  <si>
    <t xml:space="preserve"> 1 Litecoin = 0.0175 Bitcoin</t>
  </si>
  <si>
    <t xml:space="preserve"> Sat Feb 03 2018 20:17:53</t>
  </si>
  <si>
    <t xml:space="preserve"> VIBE Product placement on Monster's ads at the 2018 Superbowl.</t>
  </si>
  <si>
    <t xml:space="preserve"> Sat Feb 03 2018 20:17:57</t>
  </si>
  <si>
    <t xml:space="preserve"> What do you prefer? enigma machine (like) OR bitcoin network (share)</t>
  </si>
  <si>
    <t xml:space="preserve"> Sat Feb 03 2018 20:18:08</t>
  </si>
  <si>
    <t xml:space="preserve"> I was all set to read some genius type stuff on Bitcoin mining. I've never heard of this blockchain type. Thanks.</t>
  </si>
  <si>
    <t xml:space="preserve"> Sat Feb 03 2018 20:18:19</t>
  </si>
  <si>
    <t xml:space="preserve"> What the heck is NULS? It's definitely not a bitcoin fork; does not appear to be a NXT fork as well (but it's Java). Hm...</t>
  </si>
  <si>
    <t xml:space="preserve"> Sat Feb 03 2018 20:18:22</t>
  </si>
  <si>
    <t xml:space="preserve"> Huh? go to Japan and Australia all of the banks work with Bitcoin this is well known</t>
  </si>
  <si>
    <t xml:space="preserve"> Sat Feb 03 2018 20:18:31</t>
  </si>
  <si>
    <t xml:space="preserve"> Thrive has planned to bring much-needed premium decentralization to the digital advertising landscape. .</t>
  </si>
  <si>
    <t xml:space="preserve"> p****3 </t>
  </si>
  <si>
    <t xml:space="preserve"> Sat Feb 03 2018 20:18:39</t>
  </si>
  <si>
    <t xml:space="preserve"> Did you notice O'leary slyly turning the Bitcoin conversation back into one about the product he was pitching?</t>
  </si>
  <si>
    <t xml:space="preserve"> Sat Feb 03 2018 20:19:08</t>
  </si>
  <si>
    <t xml:space="preserve"> 1 Bitcoin = 7628 Euro</t>
  </si>
  <si>
    <t xml:space="preserve"> Sat Feb 03 2018 20:19:16</t>
  </si>
  <si>
    <t xml:space="preserve"> My account dudejohn59.com has deposited bitcoin but there is still nothing</t>
  </si>
  <si>
    <t xml:space="preserve"> Sat Feb 03 2018 20:19:25</t>
  </si>
  <si>
    <t xml:space="preserve"> time is money blockchain bitcoin</t>
  </si>
  <si>
    <t xml:space="preserve"> o****s </t>
  </si>
  <si>
    <t xml:space="preserve"> from behind that tree</t>
  </si>
  <si>
    <t xml:space="preserve"> Sat Feb 03 2018 20:19:30</t>
  </si>
  <si>
    <t xml:space="preserve"> I still dont even understand what Bitcoin is???</t>
  </si>
  <si>
    <t xml:space="preserve"> A Cookie Tree (Toronto,Canada)</t>
  </si>
  <si>
    <t xml:space="preserve"> Sat Feb 03 2018 20:20:02</t>
  </si>
  <si>
    <t xml:space="preserve"> Yes, I would like to make between 1000 and 5000 dollars a day. Just joined the Bitcoin Casting Couch </t>
  </si>
  <si>
    <t xml:space="preserve"> Sat Feb 03 2018 20:20:14</t>
  </si>
  <si>
    <t xml:space="preserve"> And Bitcoin will be the defacto backing crypto of nation state cryptos.</t>
  </si>
  <si>
    <t xml:space="preserve"> Sat Feb 03 2018 20:20:28</t>
  </si>
  <si>
    <t xml:space="preserve"> Ok restest done lets break 9k6-10k for good news $btc</t>
  </si>
  <si>
    <t xml:space="preserve"> c****m </t>
  </si>
  <si>
    <t xml:space="preserve"> Cryptoland</t>
  </si>
  <si>
    <t xml:space="preserve"> Sat Feb 03 2018 20:20:42</t>
  </si>
  <si>
    <t xml:space="preserve"> Bitcoin will go down 5k?</t>
  </si>
  <si>
    <t xml:space="preserve"> Sat Feb 03 2018 20:20:54</t>
  </si>
  <si>
    <t xml:space="preserve"> hi, why is the price of other crypro is Depending on the price of bitcoin?</t>
  </si>
  <si>
    <t xml:space="preserve"> Georgia</t>
  </si>
  <si>
    <t xml:space="preserve"> Sat Feb 03 2018 20:20:59</t>
  </si>
  <si>
    <t xml:space="preserve"> hoping for a nice and STEADY climb </t>
  </si>
  <si>
    <t xml:space="preserve"> Sat Feb 03 2018 20:21:12</t>
  </si>
  <si>
    <t xml:space="preserve"> Thats how market tops work right? </t>
  </si>
  <si>
    <t xml:space="preserve"> Sat Feb 03 2018 20:22:08</t>
  </si>
  <si>
    <t xml:space="preserve"> BB Bands are tight on the 15min. C'mon </t>
  </si>
  <si>
    <t xml:space="preserve"> Sat Feb 03 2018 20:22:16</t>
  </si>
  <si>
    <t xml:space="preserve"> tell her that's like saying litecoin is almost bitcoin</t>
  </si>
  <si>
    <t xml:space="preserve"> Mos Eisley, Tatooine</t>
  </si>
  <si>
    <t xml:space="preserve"> Sat Feb 03 2018 20:22:23</t>
  </si>
  <si>
    <t xml:space="preserve"> Finally a decent team has appeared l will definiteiy participate in this project , </t>
  </si>
  <si>
    <t xml:space="preserve"> l****H </t>
  </si>
  <si>
    <t xml:space="preserve"> Sat Feb 03 2018 20:22:47</t>
  </si>
  <si>
    <t xml:space="preserve"> hi, why is the price of other crypro is Depending on the price of bitcoin? bests</t>
  </si>
  <si>
    <t xml:space="preserve"> Sat Feb 03 2018 20:22:56</t>
  </si>
  <si>
    <t xml:space="preserve"> You're a BitCON supporter.</t>
  </si>
  <si>
    <t xml:space="preserve"> w****1 </t>
  </si>
  <si>
    <t xml:space="preserve"> Sat Feb 03 2018 20:23:17</t>
  </si>
  <si>
    <t xml:space="preserve"> bitcoin went down 700</t>
  </si>
  <si>
    <t xml:space="preserve"> Sat Feb 03 2018 20:23:26</t>
  </si>
  <si>
    <t xml:space="preserve"> Cryptocurrency: Price USD: 9382.19 Price BTC: 1.0 24h Volume USD: 7512590000.0 Percent change 24h: 8.69</t>
  </si>
  <si>
    <t xml:space="preserve"> Sat Feb 03 2018 20:23:41</t>
  </si>
  <si>
    <t xml:space="preserve"> It hasn't so far. Bitcoin already has far too few nodes.</t>
  </si>
  <si>
    <t xml:space="preserve"> Sat Feb 03 2018 20:23:45</t>
  </si>
  <si>
    <t xml:space="preserve"> I cant wait for the day when people will say .. should have invested more in when it was $8k .. </t>
  </si>
  <si>
    <t xml:space="preserve"> Sat Feb 03 2018 20:23:55</t>
  </si>
  <si>
    <t xml:space="preserve"> Watching bitcoin this month like...</t>
  </si>
  <si>
    <t xml:space="preserve"> C****J </t>
  </si>
  <si>
    <t xml:space="preserve"> Sat Feb 03 2018 20:24:00</t>
  </si>
  <si>
    <t xml:space="preserve"> Cashapp now using bitcoin</t>
  </si>
  <si>
    <t xml:space="preserve"> 3****y </t>
  </si>
  <si>
    <t xml:space="preserve"> Sat Feb 03 2018 20:24:36</t>
  </si>
  <si>
    <t xml:space="preserve"> Sounds like it could be huge bitcoin on steroids</t>
  </si>
  <si>
    <t xml:space="preserve"> A****0 </t>
  </si>
  <si>
    <t xml:space="preserve"> Sat Feb 03 2018 20:24:43</t>
  </si>
  <si>
    <t xml:space="preserve"> BCH is the real Bitcoin. BTC has become BitCON.</t>
  </si>
  <si>
    <t xml:space="preserve"> Look up YouTube into bitcoin mining</t>
  </si>
  <si>
    <t xml:space="preserve"> Dublin, Ireland</t>
  </si>
  <si>
    <t xml:space="preserve"> Sat Feb 03 2018 20:25:04</t>
  </si>
  <si>
    <t xml:space="preserve"> 1 Bitcoin is currently worth $9453.74 USD! </t>
  </si>
  <si>
    <t xml:space="preserve"> Sat Feb 03 2018 20:25:09</t>
  </si>
  <si>
    <t xml:space="preserve"> The $9,500 bitcoin wall is almost down in a few minutes?. Ready to get in? Set your goals in 9,800</t>
  </si>
  <si>
    <t xml:space="preserve"> Sat Feb 03 2018 20:25:59</t>
  </si>
  <si>
    <t xml:space="preserve"> Bitcoin about to bounce back hard! 50k</t>
  </si>
  <si>
    <t xml:space="preserve"> Fresno, CA</t>
  </si>
  <si>
    <t xml:space="preserve"> Sat Feb 03 2018 20:26:15</t>
  </si>
  <si>
    <t xml:space="preserve"> Does bitcoin count as cash?</t>
  </si>
  <si>
    <t xml:space="preserve"> j****g </t>
  </si>
  <si>
    <t xml:space="preserve"> Sat Feb 03 2018 20:26:30</t>
  </si>
  <si>
    <t xml:space="preserve"> pats win, but eagles cover is the superbowl version of blockchain, not bitcoin</t>
  </si>
  <si>
    <t xml:space="preserve"> Sat Feb 03 2018 20:26:46</t>
  </si>
  <si>
    <t xml:space="preserve"> You got BitCoin?, my tax professional asks after looking at my membership receipts. </t>
  </si>
  <si>
    <t xml:space="preserve"> East TN</t>
  </si>
  <si>
    <t xml:space="preserve"> Sat Feb 03 2018 20:27:15</t>
  </si>
  <si>
    <t xml:space="preserve"> Maher did a bitcoin is beanie babies joke and it totally flopped</t>
  </si>
  <si>
    <t xml:space="preserve"> Sat Feb 03 2018 20:27:51</t>
  </si>
  <si>
    <t xml:space="preserve"> How does one use Bitcoin some say it's a scam some say it's not</t>
  </si>
  <si>
    <t xml:space="preserve"> g****m </t>
  </si>
  <si>
    <t xml:space="preserve"> Swadlincote, England</t>
  </si>
  <si>
    <t xml:space="preserve"> Bitcoin pegged to gold</t>
  </si>
  <si>
    <t xml:space="preserve"> Sat Feb 03 2018 20:28:02</t>
  </si>
  <si>
    <t xml:space="preserve"> We need much more Vitalik bashing. He is one of Bitcoins worst enemies.</t>
  </si>
  <si>
    <t xml:space="preserve"> B****I </t>
  </si>
  <si>
    <t xml:space="preserve"> Sat Feb 03 2018 20:28:32</t>
  </si>
  <si>
    <t xml:space="preserve"> Sing like no one is listening. Love like youve never been hurt. Dance like nobodys watching, and live like Bitcoin held its worth.</t>
  </si>
  <si>
    <t xml:space="preserve"> Sat Feb 03 2018 20:28:51</t>
  </si>
  <si>
    <t xml:space="preserve"> Will reach 1 $ by monday? is coming </t>
  </si>
  <si>
    <t xml:space="preserve"> Sat Feb 03 2018 20:29:04</t>
  </si>
  <si>
    <t xml:space="preserve"> And again - how can a cash settled future impact the price of bitcoin?</t>
  </si>
  <si>
    <t xml:space="preserve"> Sat Feb 03 2018 20:29:07</t>
  </si>
  <si>
    <t xml:space="preserve"> The irony of Bitcoin being portrayed as real coins, when its everything but.</t>
  </si>
  <si>
    <t xml:space="preserve"> Sat Feb 03 2018 20:29:11</t>
  </si>
  <si>
    <t xml:space="preserve"> Okay, so is this to liquidate short, meaning higher? To actually short Bitcoin, which is higher?</t>
  </si>
  <si>
    <t xml:space="preserve"> Sat Feb 03 2018 20:29:15</t>
  </si>
  <si>
    <t xml:space="preserve"> liquidity</t>
  </si>
  <si>
    <t xml:space="preserve"> Sat Feb 03 2018 20:29:19</t>
  </si>
  <si>
    <t xml:space="preserve"> Scammers Steal Over $1 Million Worth of Ethereum From Bee Token ICO Participants </t>
  </si>
  <si>
    <t xml:space="preserve"> Sat Feb 03 2018 20:29:22</t>
  </si>
  <si>
    <t xml:space="preserve"> People always ask whats the best way to get started in bitcoin, I say, to get started </t>
  </si>
  <si>
    <t xml:space="preserve"> E****0 </t>
  </si>
  <si>
    <t xml:space="preserve"> UFO _ Newz Bitcoin // Wrld human technology gets // better by the day // - revolios</t>
  </si>
  <si>
    <t xml:space="preserve"> h****u </t>
  </si>
  <si>
    <t xml:space="preserve"> Sat Feb 03 2018 20:29:26</t>
  </si>
  <si>
    <t xml:space="preserve"> I too am an expert at bitcoin</t>
  </si>
  <si>
    <t xml:space="preserve"> D****D </t>
  </si>
  <si>
    <t xml:space="preserve"> curiouscat.me/DrCullenPHD</t>
  </si>
  <si>
    <t xml:space="preserve"> Sat Feb 03 2018 20:29:46</t>
  </si>
  <si>
    <t xml:space="preserve"> Bitcoin. Can it break through that downtrend line?</t>
  </si>
  <si>
    <t xml:space="preserve"> M****C </t>
  </si>
  <si>
    <t xml:space="preserve"> Belmont, NE</t>
  </si>
  <si>
    <t xml:space="preserve"> Sat Feb 03 2018 20:29:56</t>
  </si>
  <si>
    <t xml:space="preserve"> Means people are betting against bitcoin.</t>
  </si>
  <si>
    <t xml:space="preserve"> Sat Feb 03 2018 20:30:02</t>
  </si>
  <si>
    <t xml:space="preserve"> BTC-OK AskRate: 0.00003569 $OK FOLLOW for PROFIT</t>
  </si>
  <si>
    <t xml:space="preserve"> Bitcoin:$9417.46 Ethereum:$982.05 Bitcoin Cash:$1314.43 Litecoin:$165.555 Ripple:$0.949836 IOTA:$2.01148</t>
  </si>
  <si>
    <t xml:space="preserve"> Sat Feb 03 2018 20:30:08</t>
  </si>
  <si>
    <t xml:space="preserve"> Bloomberg: Bitcoin Newbies Are Getting Crushed While Old Timers Bemoan Weak Hands</t>
  </si>
  <si>
    <t xml:space="preserve"> 1****s </t>
  </si>
  <si>
    <t xml:space="preserve"> So is to liquidate short, meaning higher prices? or Actual shorts, meaning bitcoin down? Anyone know?</t>
  </si>
  <si>
    <t xml:space="preserve"> Sat Feb 03 2018 20:30:09</t>
  </si>
  <si>
    <t xml:space="preserve"> Is everyone now a Bitcoin expert ? </t>
  </si>
  <si>
    <t xml:space="preserve"> k****z </t>
  </si>
  <si>
    <t xml:space="preserve"> Liverpool</t>
  </si>
  <si>
    <t xml:space="preserve"> Sat Feb 03 2018 20:30:32</t>
  </si>
  <si>
    <t xml:space="preserve"> Optimal tx fee: 60 satoshi per byte. BTC : $9383 / 7529 / 6644 Block 507479. Market Cap: 158.45B USD. </t>
  </si>
  <si>
    <t xml:space="preserve"> Sat Feb 03 2018 20:30:42</t>
  </si>
  <si>
    <t xml:space="preserve"> I am cheering the bitcoin crash</t>
  </si>
  <si>
    <t xml:space="preserve"> Sat Feb 03 2018 20:30:57</t>
  </si>
  <si>
    <t xml:space="preserve"> Saw somebody eating trash after calling themselves bitcoin millionaires, life comes at you fast</t>
  </si>
  <si>
    <t xml:space="preserve"> Brownsville,Texas</t>
  </si>
  <si>
    <t xml:space="preserve"> Sat Feb 03 2018 20:31:06</t>
  </si>
  <si>
    <t xml:space="preserve"> Said the dude who spent his bitcoin on a $4 million dollar pizza.</t>
  </si>
  <si>
    <t xml:space="preserve"> Southern Appalachia</t>
  </si>
  <si>
    <t xml:space="preserve"> Sat Feb 03 2018 20:31:14</t>
  </si>
  <si>
    <t xml:space="preserve"> Hello humans, is currently around $9417.46 as of Sat Feb 3 14:31:10 CST 2018</t>
  </si>
  <si>
    <t xml:space="preserve"> Sat Feb 03 2018 20:31:39</t>
  </si>
  <si>
    <t xml:space="preserve"> Tweet ! </t>
  </si>
  <si>
    <t xml:space="preserve"> D****w </t>
  </si>
  <si>
    <t xml:space="preserve"> Gold Coast, Queensland</t>
  </si>
  <si>
    <t xml:space="preserve"> Sat Feb 03 2018 20:31:47</t>
  </si>
  <si>
    <t xml:space="preserve"> The Game-Changing Blockchain Announcement You Probably Missed Last Week | Business Markets and Stocks News </t>
  </si>
  <si>
    <t xml:space="preserve"> Sat Feb 03 2018 20:31:48</t>
  </si>
  <si>
    <t xml:space="preserve"> Up to you, I am not arguing with religious extremists or Bitcoin/LTC extremists.</t>
  </si>
  <si>
    <t xml:space="preserve"> K****R </t>
  </si>
  <si>
    <t xml:space="preserve"> Sat Feb 03 2018 20:31:53</t>
  </si>
  <si>
    <t xml:space="preserve"> I am convinced you can become a fantastic bitcoin expert please join</t>
  </si>
  <si>
    <t xml:space="preserve"> Sat Feb 03 2018 20:31:56</t>
  </si>
  <si>
    <t xml:space="preserve"> Afaik nobody's ever died or been trapped in a mine. $BTC</t>
  </si>
  <si>
    <t xml:space="preserve"> Sat Feb 03 2018 20:32:02</t>
  </si>
  <si>
    <t xml:space="preserve"> Bitcoin doing hype man for the Dj.. </t>
  </si>
  <si>
    <t xml:space="preserve"> H****u </t>
  </si>
  <si>
    <t xml:space="preserve"> Calabasas, CA Westeros</t>
  </si>
  <si>
    <t xml:space="preserve"> Sat Feb 03 2018 20:32:19</t>
  </si>
  <si>
    <t xml:space="preserve"> Superbowl Bitcoin Ad?</t>
  </si>
  <si>
    <t xml:space="preserve"> Sat Feb 03 2018 20:33:37</t>
  </si>
  <si>
    <t xml:space="preserve"> Because they can't accept the competition to their beloved Bitcoin. Really sad</t>
  </si>
  <si>
    <t xml:space="preserve"> D****2 </t>
  </si>
  <si>
    <t xml:space="preserve"> Sat Feb 03 2018 20:33:55</t>
  </si>
  <si>
    <t xml:space="preserve"> $LTC up 28% in 24-hrs - Gotta love this vol $BTC </t>
  </si>
  <si>
    <t xml:space="preserve"> Invest YOUR ideas at YOUR risk</t>
  </si>
  <si>
    <t xml:space="preserve"> Sat Feb 03 2018 20:34:06</t>
  </si>
  <si>
    <t xml:space="preserve"> Ooooh myth busting coming up now </t>
  </si>
  <si>
    <t xml:space="preserve"> Sat Feb 03 2018 20:34:09</t>
  </si>
  <si>
    <t xml:space="preserve"> Anyone in the US have a recommended tax service for crypto? </t>
  </si>
  <si>
    <t xml:space="preserve"> Sat Feb 03 2018 20:34:30</t>
  </si>
  <si>
    <t xml:space="preserve"> Thats why Id never sell my bitcoin. Ill be bitter forever.</t>
  </si>
  <si>
    <t xml:space="preserve"> Sat Feb 03 2018 20:34:40</t>
  </si>
  <si>
    <t xml:space="preserve"> I put up a bitcoin</t>
  </si>
  <si>
    <t xml:space="preserve"> Sat Feb 03 2018 20:34:49</t>
  </si>
  <si>
    <t xml:space="preserve"> Bitcoin price fell $ 8,000</t>
  </si>
  <si>
    <t xml:space="preserve"> Medicine Hat Canada, USA</t>
  </si>
  <si>
    <t xml:space="preserve"> Sat Feb 03 2018 20:35:39</t>
  </si>
  <si>
    <t xml:space="preserve"> You buy bitcoin cash</t>
  </si>
  <si>
    <t xml:space="preserve"> Sat Feb 03 2018 20:35:55</t>
  </si>
  <si>
    <t xml:space="preserve"> Senderon (SDRN) Senderon is releasing an updated roadmap this week.</t>
  </si>
  <si>
    <t xml:space="preserve"> Sat Feb 03 2018 20:36:29</t>
  </si>
  <si>
    <t xml:space="preserve"> My reaction when I realize I don't have any more fiat to buy Bitcoin on the January discount</t>
  </si>
  <si>
    <t xml:space="preserve"> Sat Feb 03 2018 20:36:37</t>
  </si>
  <si>
    <t xml:space="preserve"> Navy reserves: Training Talk about bitcoin Training Eat Talk more about bitcoin Wait for computers to actually work Talk bitcoin Leave</t>
  </si>
  <si>
    <t xml:space="preserve"> Elizabethtown, KY</t>
  </si>
  <si>
    <t xml:space="preserve"> Sat Feb 03 2018 20:36:51</t>
  </si>
  <si>
    <t xml:space="preserve"> Cenk 150 bitcoin</t>
  </si>
  <si>
    <t xml:space="preserve"> Sat Feb 03 2018 20:37:35</t>
  </si>
  <si>
    <t xml:space="preserve"> does it still take about 12 hours for payments to be processed with bitcoin?</t>
  </si>
  <si>
    <t xml:space="preserve"> a****4 </t>
  </si>
  <si>
    <t xml:space="preserve"> Sat Feb 03 2018 20:37:44</t>
  </si>
  <si>
    <t xml:space="preserve"> TB fair most addresses hold 0 Bitcoin. </t>
  </si>
  <si>
    <t xml:space="preserve"> Sat Feb 03 2018 20:38:21</t>
  </si>
  <si>
    <t xml:space="preserve"> This is BS. Theyre not getting paid in rubles, its gotta be bitcoin.</t>
  </si>
  <si>
    <t xml:space="preserve"> Sat Feb 03 2018 20:38:34</t>
  </si>
  <si>
    <t xml:space="preserve"> Someone is trying to shake up our Bitcoin rally!!</t>
  </si>
  <si>
    <t xml:space="preserve"> Sat Feb 03 2018 20:38:55</t>
  </si>
  <si>
    <t xml:space="preserve"> The Current Bitcoin Price is 0.00010661 BTC for $1 USD </t>
  </si>
  <si>
    <t xml:space="preserve"> Sat Feb 03 2018 20:38:59</t>
  </si>
  <si>
    <t xml:space="preserve"> Smh i feel like a pro bitcoin person.</t>
  </si>
  <si>
    <t xml:space="preserve"> Sat Feb 03 2018 20:39:02</t>
  </si>
  <si>
    <t xml:space="preserve"> Lol, right on time. Do you see the future? Is it a good time to buy bitcoin?</t>
  </si>
  <si>
    <t xml:space="preserve"> Sat Feb 03 2018 20:39:16</t>
  </si>
  <si>
    <t xml:space="preserve"> Nice. Wishing you all the success in the world. </t>
  </si>
  <si>
    <t xml:space="preserve"> Johannesburg, Midrand</t>
  </si>
  <si>
    <t xml:space="preserve"> Sat Feb 03 2018 20:40:00</t>
  </si>
  <si>
    <t xml:space="preserve"> Bitcoin is taaaaaanking</t>
  </si>
  <si>
    <t xml:space="preserve"> Sat Feb 03 2018 20:40:16</t>
  </si>
  <si>
    <t xml:space="preserve"> (60954 follows) RT : Crypto and bitcoin has changed my life for the better so heres a random .1 btc giveaway,...</t>
  </si>
  <si>
    <t xml:space="preserve"> Sat Feb 03 2018 20:40:28</t>
  </si>
  <si>
    <t xml:space="preserve"> Bitcoin value reached bottom in Korea.</t>
  </si>
  <si>
    <t xml:space="preserve"> South Korea</t>
  </si>
  <si>
    <t xml:space="preserve"> Sat Feb 03 2018 20:40:37</t>
  </si>
  <si>
    <t xml:space="preserve"> I rather use , and </t>
  </si>
  <si>
    <t xml:space="preserve"> Irving, Texas</t>
  </si>
  <si>
    <t xml:space="preserve"> Sat Feb 03 2018 20:41:45</t>
  </si>
  <si>
    <t xml:space="preserve"> Looks like he bought Bitcoin.</t>
  </si>
  <si>
    <t xml:space="preserve"> O****N </t>
  </si>
  <si>
    <t xml:space="preserve"> Sat Feb 03 2018 20:41:56</t>
  </si>
  <si>
    <t xml:space="preserve"> Niggas get a sale job at Best Buy, Buy a Bitcoin and think they got the secrets to life </t>
  </si>
  <si>
    <t xml:space="preserve"> South Carolina, USA</t>
  </si>
  <si>
    <t xml:space="preserve"> Sat Feb 03 2018 20:42:14</t>
  </si>
  <si>
    <t xml:space="preserve"> Basscoin better than bitcoin!</t>
  </si>
  <si>
    <t xml:space="preserve"> Sat Feb 03 2018 20:42:28</t>
  </si>
  <si>
    <t xml:space="preserve"> Do you think fed reserve owns some bitcoin ? Nice fans </t>
  </si>
  <si>
    <t xml:space="preserve"> VWAP Ohio, USA</t>
  </si>
  <si>
    <t xml:space="preserve"> Sat Feb 03 2018 20:42:40</t>
  </si>
  <si>
    <t xml:space="preserve"> Bitcoin cash your face its a fork moron</t>
  </si>
  <si>
    <t xml:space="preserve"> y****8 </t>
  </si>
  <si>
    <t xml:space="preserve"> Sat Feb 03 2018 20:43:01</t>
  </si>
  <si>
    <t xml:space="preserve"> Any cool lottery ideas, let me know !! </t>
  </si>
  <si>
    <t xml:space="preserve"> Sat Feb 03 2018 20:43:25</t>
  </si>
  <si>
    <t xml:space="preserve"> more bitcoin</t>
  </si>
  <si>
    <t xml:space="preserve"> Sat Feb 03 2018 20:44:00</t>
  </si>
  <si>
    <t xml:space="preserve"> is just a video game!! :-D ~i knew it!!</t>
  </si>
  <si>
    <t xml:space="preserve"> O****S </t>
  </si>
  <si>
    <t xml:space="preserve"> International Space Station</t>
  </si>
  <si>
    <t xml:space="preserve"> Sat Feb 03 2018 20:44:23</t>
  </si>
  <si>
    <t xml:space="preserve"> So youre saying BCash shouldnt exist? I agree. </t>
  </si>
  <si>
    <t xml:space="preserve"> Sat Feb 03 2018 20:44:33</t>
  </si>
  <si>
    <t xml:space="preserve"> Absolutely true, he's not about consensus. Hence his malformed attacks on Bitcoin.</t>
  </si>
  <si>
    <t xml:space="preserve"> Sat Feb 03 2018 20:44:46</t>
  </si>
  <si>
    <t xml:space="preserve"> is bitcoin truly dying</t>
  </si>
  <si>
    <t xml:space="preserve"> Slums of shaolin 22nd chamber </t>
  </si>
  <si>
    <t xml:space="preserve"> Sat Feb 03 2018 20:44:58</t>
  </si>
  <si>
    <t xml:space="preserve"> AKA (Roger Ver) Dont You Ever Get Tired Of Misleading And Lying To New Buyers Of ? Your So Full Of Crap.</t>
  </si>
  <si>
    <t xml:space="preserve"> Coeur d'Alene, ID</t>
  </si>
  <si>
    <t xml:space="preserve"> Sat Feb 03 2018 20:45:02</t>
  </si>
  <si>
    <t xml:space="preserve"> There are currently 10,834 unconfirmed Bitcoin transactions. $BTC</t>
  </si>
  <si>
    <t xml:space="preserve"> Sat Feb 03 2018 20:45:19</t>
  </si>
  <si>
    <t xml:space="preserve"> If Ebay adopts bitcoin then BTC price might seriously pump</t>
  </si>
  <si>
    <t xml:space="preserve"> y****z </t>
  </si>
  <si>
    <t xml:space="preserve"> Montreal</t>
  </si>
  <si>
    <t xml:space="preserve"> Sat Feb 03 2018 20:45:33</t>
  </si>
  <si>
    <t xml:space="preserve"> pretty sure rich ross was talking about the 100ma in bitcoin which it is below now</t>
  </si>
  <si>
    <t xml:space="preserve"> 1****r </t>
  </si>
  <si>
    <t xml:space="preserve"> Sat Feb 03 2018 20:45:36</t>
  </si>
  <si>
    <t xml:space="preserve"> You are obviously sub-optimal in comprehension.</t>
  </si>
  <si>
    <t xml:space="preserve"> Sat Feb 03 2018 20:45:50</t>
  </si>
  <si>
    <t xml:space="preserve"> Why bitcoin diamond?</t>
  </si>
  <si>
    <t xml:space="preserve"> United States of America</t>
  </si>
  <si>
    <t xml:space="preserve"> Sat Feb 03 2018 20:45:51</t>
  </si>
  <si>
    <t xml:space="preserve"> Yep even more what bitcoin has. Lots of newbies has been lured into that next bitcoin thing.</t>
  </si>
  <si>
    <t xml:space="preserve"> Sat Feb 03 2018 20:45:57</t>
  </si>
  <si>
    <t xml:space="preserve"> I think that Bitcoin Cash is a better Bitcoin. The more that I look into it, the more I like Bitcoin Cash. </t>
  </si>
  <si>
    <t xml:space="preserve"> s****5 </t>
  </si>
  <si>
    <t xml:space="preserve"> Sat Feb 03 2018 20:46:19</t>
  </si>
  <si>
    <t xml:space="preserve"> Putting your money on Real Madrid conceding is more profitable than putting it in bitcoin</t>
  </si>
  <si>
    <t xml:space="preserve"> S****_ </t>
  </si>
  <si>
    <t xml:space="preserve"> Sat Feb 03 2018 20:47:16</t>
  </si>
  <si>
    <t xml:space="preserve"> If you see that chart for Bitcoin from the day it was released, prices have always been wild</t>
  </si>
  <si>
    <t xml:space="preserve"> Sat Feb 03 2018 20:47:23</t>
  </si>
  <si>
    <t xml:space="preserve"> What a crazy write up why not want to buy bitcoin?</t>
  </si>
  <si>
    <t xml:space="preserve"> Enugu, Nigeria</t>
  </si>
  <si>
    <t xml:space="preserve"> Sat Feb 03 2018 20:47:31</t>
  </si>
  <si>
    <t xml:space="preserve"> Novel honest question do you think bitcoin came out a couple of months ago?</t>
  </si>
  <si>
    <t xml:space="preserve"> Aaron Rodgers Stan </t>
  </si>
  <si>
    <t xml:space="preserve"> Sat Feb 03 2018 20:47:34</t>
  </si>
  <si>
    <t xml:space="preserve"> There is only one answer, Bitcoin.</t>
  </si>
  <si>
    <t xml:space="preserve"> Sat Feb 03 2018 20:47:38</t>
  </si>
  <si>
    <t xml:space="preserve"> Who is the bitcoin whale?</t>
  </si>
  <si>
    <t xml:space="preserve"> Sat Feb 03 2018 20:47:48</t>
  </si>
  <si>
    <t xml:space="preserve"> Can't imagine myself trusting anyone with my wallet.</t>
  </si>
  <si>
    <t xml:space="preserve"> Sat Feb 03 2018 20:47:49</t>
  </si>
  <si>
    <t xml:space="preserve"> Bitcoin Cash (BCH</t>
  </si>
  <si>
    <t xml:space="preserve"> Sat Feb 03 2018 20:49:00</t>
  </si>
  <si>
    <t xml:space="preserve"> Garlic coin &gt; Bitcoin </t>
  </si>
  <si>
    <t xml:space="preserve"> Sat Feb 03 2018 20:49:08</t>
  </si>
  <si>
    <t xml:space="preserve"> If you dont understand BITCOIN take time and get yourself educated you will be glad you did! Message me for details!</t>
  </si>
  <si>
    <t xml:space="preserve"> Chattanooga TN</t>
  </si>
  <si>
    <t xml:space="preserve"> Sat Feb 03 2018 20:49:09</t>
  </si>
  <si>
    <t xml:space="preserve"> Bitcoin cash = scam Litecoin cash = scam Just using the name to confuse people into buying there scam coins</t>
  </si>
  <si>
    <t xml:space="preserve"> S****D </t>
  </si>
  <si>
    <t xml:space="preserve"> On a world tour</t>
  </si>
  <si>
    <t xml:space="preserve"> Sat Feb 03 2018 20:50:00</t>
  </si>
  <si>
    <t xml:space="preserve"> CryptoCompare Bitcoin price changed -1.11% to $9312.42 </t>
  </si>
  <si>
    <t xml:space="preserve"> Sat Feb 03 2018 20:50:01</t>
  </si>
  <si>
    <t xml:space="preserve"> BTC-DOGE AskRate: 0.00000058 $DOGE FOLLOW for PROFIT</t>
  </si>
  <si>
    <t xml:space="preserve"> Sat Feb 03 2018 20:50:06</t>
  </si>
  <si>
    <t xml:space="preserve"> Who needs when people actually drop cash in the streets?</t>
  </si>
  <si>
    <t xml:space="preserve"> Sat Feb 03 2018 20:50:25</t>
  </si>
  <si>
    <t xml:space="preserve"> Danny treated that pick like Bitcoin. Sold it for 20k now it's worth 8</t>
  </si>
  <si>
    <t xml:space="preserve"> Long Beach, NY</t>
  </si>
  <si>
    <t xml:space="preserve"> Sat Feb 03 2018 20:50:26</t>
  </si>
  <si>
    <t xml:space="preserve"> Univ Penn lecturer David Crosbie argues in Bitcoin Magazine interview Blockchain technology holds major benefits for developing countries.</t>
  </si>
  <si>
    <t xml:space="preserve"> T: 13.079589,-59.561409</t>
  </si>
  <si>
    <t xml:space="preserve"> Sat Feb 03 2018 20:50:36</t>
  </si>
  <si>
    <t xml:space="preserve"> Gold investors dislike bitcoin. Turkeys dislike Christmas. Ground breaking revelations here</t>
  </si>
  <si>
    <t xml:space="preserve"> He is the bitcoin judas</t>
  </si>
  <si>
    <t xml:space="preserve"> Sat Feb 03 2018 20:50:46</t>
  </si>
  <si>
    <t xml:space="preserve"> Space Jam computer bitcoin Google Yeezy Boost at teens Cyber offered future a 2-line fix just learned about how people have also fears sha</t>
  </si>
  <si>
    <t xml:space="preserve"> G****p </t>
  </si>
  <si>
    <t xml:space="preserve"> Sat Feb 03 2018 20:50:47</t>
  </si>
  <si>
    <t xml:space="preserve"> I've enjoyed Let's Talk Bitcoin</t>
  </si>
  <si>
    <t xml:space="preserve"> h****r </t>
  </si>
  <si>
    <t xml:space="preserve"> Saint Petersburg, Russia</t>
  </si>
  <si>
    <t xml:space="preserve"> Sat Feb 03 2018 20:50:48</t>
  </si>
  <si>
    <t xml:space="preserve"> I predict an epic short squeeze on Monday if Sunday buying continues - shorts will get rekt! Margin calls on futures.</t>
  </si>
  <si>
    <t xml:space="preserve"> Sat Feb 03 2018 20:50:52</t>
  </si>
  <si>
    <t xml:space="preserve"> Bitcoin is a near complete system. When it is not a small world near complete system it is no longer bitcoin</t>
  </si>
  <si>
    <t xml:space="preserve"> Sat Feb 03 2018 20:51:28</t>
  </si>
  <si>
    <t xml:space="preserve"> Tweet from 2014! Dont tell novel bitcoin was around back then</t>
  </si>
  <si>
    <t xml:space="preserve"> Sat Feb 03 2018 20:51:55</t>
  </si>
  <si>
    <t xml:space="preserve"> I just invested in bitcoin</t>
  </si>
  <si>
    <t xml:space="preserve"> Tyler Houston</t>
  </si>
  <si>
    <t xml:space="preserve"> Sat Feb 03 2018 20:52:14</t>
  </si>
  <si>
    <t xml:space="preserve"> Rather buy on breakouts then try and buy the bottom.</t>
  </si>
  <si>
    <t xml:space="preserve"> Torrance, CA</t>
  </si>
  <si>
    <t xml:space="preserve"> Sat Feb 03 2018 20:52:18</t>
  </si>
  <si>
    <t xml:space="preserve"> Maybe you should have an eye on $BITG (bitcoin green). 2500 $BITG required for a MN.</t>
  </si>
  <si>
    <t xml:space="preserve"> s****m </t>
  </si>
  <si>
    <t xml:space="preserve"> Sat Feb 03 2018 20:53:13</t>
  </si>
  <si>
    <t xml:space="preserve"> It's a humongous waste of energy. Bitcoin's failure is a win for the planet.</t>
  </si>
  <si>
    <t xml:space="preserve"> Sat Feb 03 2018 20:53:44</t>
  </si>
  <si>
    <t xml:space="preserve"> You mean also twitter site, same issue</t>
  </si>
  <si>
    <t xml:space="preserve"> Sat Feb 03 2018 20:54:33</t>
  </si>
  <si>
    <t xml:space="preserve"> Under the pretext, of technical changes... They have stolen millions from all of you. </t>
  </si>
  <si>
    <t xml:space="preserve"> Sat Feb 03 2018 20:54:34</t>
  </si>
  <si>
    <t xml:space="preserve"> Want to get into crypto? DO IT NOW. </t>
  </si>
  <si>
    <t xml:space="preserve"> Belgie</t>
  </si>
  <si>
    <t xml:space="preserve"> Sat Feb 03 2018 20:54:49</t>
  </si>
  <si>
    <t xml:space="preserve"> Why do you accept Bitcoin from your SchiffGold store?</t>
  </si>
  <si>
    <t xml:space="preserve"> j****o </t>
  </si>
  <si>
    <t xml:space="preserve"> Sat Feb 03 2018 20:55:08</t>
  </si>
  <si>
    <t xml:space="preserve"> Which Bitcoin wallet are you using?</t>
  </si>
  <si>
    <t xml:space="preserve"> Sat Feb 03 2018 20:55:16</t>
  </si>
  <si>
    <t xml:space="preserve"> I can send you some Bitcoin Clashic $BCL if it helps you out</t>
  </si>
  <si>
    <t xml:space="preserve"> Edinburgh, Scotland</t>
  </si>
  <si>
    <t xml:space="preserve"> Sat Feb 03 2018 20:55:30</t>
  </si>
  <si>
    <t xml:space="preserve"> Bitcoins making its way back up by the looks of things... Where does it go from here? $btc </t>
  </si>
  <si>
    <t xml:space="preserve"> G****3 </t>
  </si>
  <si>
    <t xml:space="preserve"> South West, England</t>
  </si>
  <si>
    <t xml:space="preserve"> Sat Feb 03 2018 20:55:36</t>
  </si>
  <si>
    <t xml:space="preserve"> bitcoin recovers, good time to get on to the upwards train</t>
  </si>
  <si>
    <t xml:space="preserve"> Zrich &amp; Basel, Schweiz</t>
  </si>
  <si>
    <t xml:space="preserve"> Sat Feb 03 2018 20:55:43</t>
  </si>
  <si>
    <t xml:space="preserve"> Stable and bitcoin can never be accurately used in the same sentence without a not in there.</t>
  </si>
  <si>
    <t xml:space="preserve"> on a rock floating in space</t>
  </si>
  <si>
    <t xml:space="preserve"> Sat Feb 03 2018 20:55:56</t>
  </si>
  <si>
    <t xml:space="preserve"> It is ironic that I believe that one day Bitcoin will pop yet I'm still heavily invested in it? </t>
  </si>
  <si>
    <t xml:space="preserve"> n****x </t>
  </si>
  <si>
    <t xml:space="preserve"> Sat Feb 03 2018 20:56:03</t>
  </si>
  <si>
    <t xml:space="preserve"> BTC=BITCOIN</t>
  </si>
  <si>
    <t xml:space="preserve"> Sat Feb 03 2018 20:57:09</t>
  </si>
  <si>
    <t xml:space="preserve"> Sweet, I'm into injecting Bitcoin directly into my bloodstream these days.</t>
  </si>
  <si>
    <t xml:space="preserve"> now</t>
  </si>
  <si>
    <t xml:space="preserve"> Sat Feb 03 2018 20:57:23</t>
  </si>
  <si>
    <t xml:space="preserve"> refuel the Jets </t>
  </si>
  <si>
    <t xml:space="preserve"> Sat Feb 03 2018 20:57:31</t>
  </si>
  <si>
    <t xml:space="preserve"> Really? Bitcoin is decentralized? Then why is it run by a handful of developers if it's so decentralized?</t>
  </si>
  <si>
    <t xml:space="preserve"> Sat Feb 03 2018 20:57:39</t>
  </si>
  <si>
    <t xml:space="preserve"> Jordan, weve heard your stance on bitcoin. Any thoughts on Ethereum? $ETH</t>
  </si>
  <si>
    <t xml:space="preserve"> W****m </t>
  </si>
  <si>
    <t xml:space="preserve"> Wolves Den</t>
  </si>
  <si>
    <t xml:space="preserve"> Sat Feb 03 2018 20:58:52</t>
  </si>
  <si>
    <t xml:space="preserve"> Lol what? Bitcoin pizza fiat, what?</t>
  </si>
  <si>
    <t xml:space="preserve"> Macon, GA</t>
  </si>
  <si>
    <t xml:space="preserve"> Sat Feb 03 2018 20:59:01</t>
  </si>
  <si>
    <t xml:space="preserve"> . you guys are 1 big fraud, I used cheat engine on my bitcoin wallet, changed it to 500 SO WHY CANT I SENT 500??</t>
  </si>
  <si>
    <t xml:space="preserve"> Itali</t>
  </si>
  <si>
    <t xml:space="preserve"> Sat Feb 03 2018 20:59:08</t>
  </si>
  <si>
    <t xml:space="preserve"> so bitcoin is dead, right</t>
  </si>
  <si>
    <t xml:space="preserve"> 0****x </t>
  </si>
  <si>
    <t xml:space="preserve"> Sat Feb 03 2018 20:59:21</t>
  </si>
  <si>
    <t xml:space="preserve"> Bitcoin machines bring cryptocurrency to bars, other Fox Valley businesses </t>
  </si>
  <si>
    <t xml:space="preserve"> Sat Feb 03 2018 20:59:23</t>
  </si>
  <si>
    <t xml:space="preserve"> I sure do miss those gloating tweets by the BitCoin champions saying how dumb everyone is not buying Bitcoins</t>
  </si>
  <si>
    <t xml:space="preserve"> m****l </t>
  </si>
  <si>
    <t xml:space="preserve"> Sat Feb 03 2018 21:00:00</t>
  </si>
  <si>
    <t xml:space="preserve"> You can buy 2191 Big Macs with 1 Bitcoin </t>
  </si>
  <si>
    <t xml:space="preserve"> , Bitcoin with unit price of $9,291.12, market cap of $156,495,444,276 (34.59%), and 24 hr vol. of $7,439,890,000 (31.03%)</t>
  </si>
  <si>
    <t xml:space="preserve"> Sat Feb 03 2018 21:00:01</t>
  </si>
  <si>
    <t xml:space="preserve"> Average Bitcoin market price is: USD 9,252.89, EUR 7,467.22</t>
  </si>
  <si>
    <t xml:space="preserve"> The average price of Bitcoin across all exchanges is 9,312.62 USD</t>
  </si>
  <si>
    <t xml:space="preserve"> Sat Feb 03 2018 21:00:02</t>
  </si>
  <si>
    <t xml:space="preserve"> Current BTC Dominance: 34.59% </t>
  </si>
  <si>
    <t xml:space="preserve"> Bitcoin:$9312.62 Ethereum:$973.359 Bitcoin Cash:$1291.26 Litecoin:$159.261 Ripple:$0.930434 IOTA:$1.97203</t>
  </si>
  <si>
    <t xml:space="preserve"> Sat Feb 03 2018 21:00:06</t>
  </si>
  <si>
    <t xml:space="preserve"> Feb 03, 2018 01:00PM Price: USD 8896.26 | EUR 7178.27 | JPY 955642.69</t>
  </si>
  <si>
    <t xml:space="preserve"> Sat Feb 03 2018 21:00:14</t>
  </si>
  <si>
    <t xml:space="preserve"> Top 6 BTC/USD Exchange Orderbooks: Resistance til $9500:$15.3M; Support til $9000:$19.3M $BTC $BTCUSD </t>
  </si>
  <si>
    <t xml:space="preserve"> Sat Feb 03 2018 21:00:17</t>
  </si>
  <si>
    <t xml:space="preserve"> Those upset about the FIAT price of bitcoin going down CLEARLY dont get the point of Bitcoin....I havent lost anything</t>
  </si>
  <si>
    <t xml:space="preserve"> p****D </t>
  </si>
  <si>
    <t xml:space="preserve"> Far Far AwayVille</t>
  </si>
  <si>
    <t xml:space="preserve"> Sat Feb 03 2018 21:00:29</t>
  </si>
  <si>
    <t xml:space="preserve"> I'm not the only one making tether then and getting free bitcoin.</t>
  </si>
  <si>
    <t xml:space="preserve"> j****2 </t>
  </si>
  <si>
    <t xml:space="preserve"> All Over</t>
  </si>
  <si>
    <t xml:space="preserve"> Sat Feb 03 2018 21:00:30</t>
  </si>
  <si>
    <t xml:space="preserve"> BTC hourly update $9268.73 | -0.0064% $BTC </t>
  </si>
  <si>
    <t xml:space="preserve"> Sat Feb 03 2018 21:00:58</t>
  </si>
  <si>
    <t xml:space="preserve"> Bitcoin 9274.36 $</t>
  </si>
  <si>
    <t xml:space="preserve"> Sat Feb 03 2018 21:00:59</t>
  </si>
  <si>
    <t xml:space="preserve"> I sure do miss those gloating tweets by the BitCoin champions saying how dumb everyone is not buying Bitcoins /snark off</t>
  </si>
  <si>
    <t xml:space="preserve"> Sat Feb 03 2018 21:01:14</t>
  </si>
  <si>
    <t xml:space="preserve"> please god, let there be bitcoin in it</t>
  </si>
  <si>
    <t xml:space="preserve"> Sat Feb 03 2018 21:01:21</t>
  </si>
  <si>
    <t xml:space="preserve"> This whole bitcoin thing really isn't helpful when I genuinely need a new graphics card *sigh* how long am I supposed to wait? :(</t>
  </si>
  <si>
    <t xml:space="preserve"> Sat Feb 03 2018 21:01:25</t>
  </si>
  <si>
    <t xml:space="preserve"> Current price of Bitcoin is $9274.36 Like if thats good for you and retweet if thats not good for you </t>
  </si>
  <si>
    <t xml:space="preserve"> Sat Feb 03 2018 21:01:29</t>
  </si>
  <si>
    <t xml:space="preserve"> Current price of Bitcoin is $9274.36</t>
  </si>
  <si>
    <t xml:space="preserve"> Sat Feb 03 2018 21:01:30</t>
  </si>
  <si>
    <t xml:space="preserve"> Current price of is $9274.36</t>
  </si>
  <si>
    <t xml:space="preserve"> Sat Feb 03 2018 21:01:48</t>
  </si>
  <si>
    <t xml:space="preserve"> Anonymous bitcoin philanthropist donates $5 million to medicine foundation</t>
  </si>
  <si>
    <t xml:space="preserve"> Sat Feb 03 2018 21:02:25</t>
  </si>
  <si>
    <t xml:space="preserve"> People tend to be wrong assuming prices only go in one direction (e.g. housing, tech stocks, and probably Bitcoin)</t>
  </si>
  <si>
    <t xml:space="preserve"> Kentucky, USA</t>
  </si>
  <si>
    <t xml:space="preserve"> Sat Feb 03 2018 21:02:34</t>
  </si>
  <si>
    <t xml:space="preserve"> I wonder how many people are going to complain about not getting some sub10K bitcoin at the end of this year.</t>
  </si>
  <si>
    <t xml:space="preserve"> Sat Feb 03 2018 21:02:56</t>
  </si>
  <si>
    <t xml:space="preserve"> Sleeping Giant from Switzerland great report. </t>
  </si>
  <si>
    <t xml:space="preserve"> Y****3 </t>
  </si>
  <si>
    <t xml:space="preserve"> Frankfurt am Main, Deutschland</t>
  </si>
  <si>
    <t xml:space="preserve"> Sat Feb 03 2018 21:03:03</t>
  </si>
  <si>
    <t xml:space="preserve"> The would be worth US$94,174,600.00 right now (up 9.12% in the last 24 hours): </t>
  </si>
  <si>
    <t xml:space="preserve"> Sat Feb 03 2018 21:03:15</t>
  </si>
  <si>
    <t xml:space="preserve"> THE BATTLE BETWEEN THE BANKS AND CRYPTOCURRENCIES HAS BEGUN. BANKS HAVE PRESSURED PAYPAL NOT TO ACCEPT BITCOIN IN EXCHANGE FOR US DOLLARS.</t>
  </si>
  <si>
    <t xml:space="preserve"> Sat Feb 03 2018 21:03:20</t>
  </si>
  <si>
    <t xml:space="preserve"> Bitcoin with lighting is the future of money. The rest is history.</t>
  </si>
  <si>
    <t xml:space="preserve"> Sat Feb 03 2018 21:03:24</t>
  </si>
  <si>
    <t xml:space="preserve"> Bitcoin $9274.36</t>
  </si>
  <si>
    <t xml:space="preserve"> Santiago, Chile</t>
  </si>
  <si>
    <t xml:space="preserve"> Sat Feb 03 2018 21:03:31</t>
  </si>
  <si>
    <t xml:space="preserve"> Current price of Bitcoin is $9274.36.</t>
  </si>
  <si>
    <t xml:space="preserve"> Sat Feb 03 2018 21:03:40</t>
  </si>
  <si>
    <t xml:space="preserve"> (1) Bitcoin is a scam: Its not backed by anything. The gov has backdoor options to steal it. </t>
  </si>
  <si>
    <t xml:space="preserve"> L****7 </t>
  </si>
  <si>
    <t xml:space="preserve"> Your dumb for not buying bitcoin! Read this again Dec 2018. Don't worry I'll remind you!</t>
  </si>
  <si>
    <t xml:space="preserve"> Sat Feb 03 2018 21:03:42</t>
  </si>
  <si>
    <t xml:space="preserve"> $BTC $ETH It is absoluetely </t>
  </si>
  <si>
    <t xml:space="preserve"> Crypto Ocean</t>
  </si>
  <si>
    <t xml:space="preserve"> Sat Feb 03 2018 21:04:04</t>
  </si>
  <si>
    <t xml:space="preserve"> is now worth $9274.36, increase your by a further 10% when you buy from </t>
  </si>
  <si>
    <t xml:space="preserve"> g****c </t>
  </si>
  <si>
    <t xml:space="preserve"> Sat Feb 03 2018 21:04:22</t>
  </si>
  <si>
    <t xml:space="preserve"> Current price of is $9274.36 via Chain </t>
  </si>
  <si>
    <t xml:space="preserve"> Current price of Bitcoin is $9274.36 </t>
  </si>
  <si>
    <t xml:space="preserve"> Sat Feb 03 2018 21:04:29</t>
  </si>
  <si>
    <t xml:space="preserve"> Still winning with the crypto, but oooh bitcoin. Damn.</t>
  </si>
  <si>
    <t xml:space="preserve"> Sat Feb 03 2018 21:04:58</t>
  </si>
  <si>
    <t xml:space="preserve"> Constantly trying to get you to sign up with his Bitcoin opportunity. </t>
  </si>
  <si>
    <t xml:space="preserve"> Sat Feb 03 2018 21:05:04</t>
  </si>
  <si>
    <t xml:space="preserve"> This dude clearly has no idea that bitcoin and the stock market are different things</t>
  </si>
  <si>
    <t xml:space="preserve"> z****v </t>
  </si>
  <si>
    <t xml:space="preserve"> Alabama, USA</t>
  </si>
  <si>
    <t xml:space="preserve"> Sat Feb 03 2018 21:05:06</t>
  </si>
  <si>
    <t xml:space="preserve"> Weak hands out! </t>
  </si>
  <si>
    <t xml:space="preserve"> E****1 </t>
  </si>
  <si>
    <t xml:space="preserve"> Sat Feb 03 2018 21:05:20</t>
  </si>
  <si>
    <t xml:space="preserve"> $btc if you have more than 2 btc you are in the top 5% of bitcoin wallets.. Pretty crazy. We're the new 1%ers eventually</t>
  </si>
  <si>
    <t xml:space="preserve"> Sat Feb 03 2018 21:05:21</t>
  </si>
  <si>
    <t xml:space="preserve"> Also, yall will soon be annoyed by us again in months to come, when the prices go to ATH. $trx $xvg</t>
  </si>
  <si>
    <t xml:space="preserve"> C****H </t>
  </si>
  <si>
    <t xml:space="preserve"> Mo City, Texas HOE</t>
  </si>
  <si>
    <t xml:space="preserve"> Sat Feb 03 2018 21:05:22</t>
  </si>
  <si>
    <t xml:space="preserve"> Bitcoin PLZ!!</t>
  </si>
  <si>
    <t xml:space="preserve"> B****N </t>
  </si>
  <si>
    <t xml:space="preserve"> Sat Feb 03 2018 21:05:25</t>
  </si>
  <si>
    <t xml:space="preserve"> Bitcoin Price Surge Continues, Prices Look Towards $8K </t>
  </si>
  <si>
    <t xml:space="preserve"> Sat Feb 03 2018 21:05:31</t>
  </si>
  <si>
    <t xml:space="preserve"> The amount of debt fiat has racked up, people would rather invest in or </t>
  </si>
  <si>
    <t xml:space="preserve"> Sat Feb 03 2018 21:05:38</t>
  </si>
  <si>
    <t xml:space="preserve"> If the prices hit 17k by March will you sell and wait for it to crash or Hodl keeping in mind it lost 60% value in Jan crash</t>
  </si>
  <si>
    <t xml:space="preserve"> Sat Feb 03 2018 21:05:41</t>
  </si>
  <si>
    <t xml:space="preserve"> Thanks. I'll check it out. I read that it's going down and is hard to offload. I have many questions about Bitcoin.</t>
  </si>
  <si>
    <t xml:space="preserve"> British Columbia, Canada</t>
  </si>
  <si>
    <t xml:space="preserve"> Sat Feb 03 2018 21:05:42</t>
  </si>
  <si>
    <t xml:space="preserve"> I hope you know him and that Asian dude can bring the price of bitcoin down to almost nothing if they wanted to</t>
  </si>
  <si>
    <t xml:space="preserve"> Oxford, England</t>
  </si>
  <si>
    <t xml:space="preserve"> Sat Feb 03 2018 21:05:44</t>
  </si>
  <si>
    <t xml:space="preserve"> Fascist scam Bitcoin was created to prevent significant penetration of the anti fascist Wolfenstein brand.</t>
  </si>
  <si>
    <t xml:space="preserve"> New Haven</t>
  </si>
  <si>
    <t xml:space="preserve"> Sat Feb 03 2018 21:06:13</t>
  </si>
  <si>
    <t xml:space="preserve"> Instead of Ambien doctors should just prescribed husbands that continuously talked about bitcoin.</t>
  </si>
  <si>
    <t xml:space="preserve"> Sat Feb 03 2018 21:06:17</t>
  </si>
  <si>
    <t xml:space="preserve"> Bitcoin is only worth $2 you can read it when she stalks my Twitter .</t>
  </si>
  <si>
    <t xml:space="preserve"> Sat Feb 03 2018 21:06:19</t>
  </si>
  <si>
    <t xml:space="preserve"> The Bitcoin chart the last month looks just like my online poker results.</t>
  </si>
  <si>
    <t xml:space="preserve"> Lake Chuck, LA</t>
  </si>
  <si>
    <t xml:space="preserve"> What's up with bitcoin? Is it turning into one of those things where people saw a get rich quick scheme and over-saturated the market?</t>
  </si>
  <si>
    <t xml:space="preserve"> Kentucky</t>
  </si>
  <si>
    <t xml:space="preserve"> Sat Feb 03 2018 21:06:31</t>
  </si>
  <si>
    <t xml:space="preserve"> Current price of Bitcoin is $9274.36 via Chain</t>
  </si>
  <si>
    <t xml:space="preserve"> Sat Feb 03 2018 21:06:50</t>
  </si>
  <si>
    <t xml:space="preserve"> I meant to say Bitcoin, but it's the Buttcoin thread. Keeping it.</t>
  </si>
  <si>
    <t xml:space="preserve"> Sat Feb 03 2018 21:07:02</t>
  </si>
  <si>
    <t xml:space="preserve"> Everything is in the green today! </t>
  </si>
  <si>
    <t xml:space="preserve"> Sat Feb 03 2018 21:07:17</t>
  </si>
  <si>
    <t xml:space="preserve"> July 11, 2015 just saying perhaps it was bitcoin and flip phone powa!!??</t>
  </si>
  <si>
    <t xml:space="preserve"> Sat Feb 03 2018 21:07:21</t>
  </si>
  <si>
    <t xml:space="preserve"> with follow </t>
  </si>
  <si>
    <t xml:space="preserve"> Sat Feb 03 2018 21:07:36</t>
  </si>
  <si>
    <t xml:space="preserve"> That was indeed pretty dumb. Thanks! </t>
  </si>
  <si>
    <t xml:space="preserve"> Sat Feb 03 2018 21:07:41</t>
  </si>
  <si>
    <t xml:space="preserve"> somewhere out there in the world there is a baby named bitcoin.............</t>
  </si>
  <si>
    <t xml:space="preserve"> Munich, Bavaria</t>
  </si>
  <si>
    <t xml:space="preserve"> Sat Feb 03 2018 21:07:52</t>
  </si>
  <si>
    <t xml:space="preserve"> if it were real it would be bitcoin surly ?</t>
  </si>
  <si>
    <t xml:space="preserve"> Ek</t>
  </si>
  <si>
    <t xml:space="preserve"> Sat Feb 03 2018 21:08:13</t>
  </si>
  <si>
    <t xml:space="preserve"> Instead of Ambien doctors should just prescribe husbands that continuously talk about bitcoin.</t>
  </si>
  <si>
    <t xml:space="preserve"> Sat Feb 03 2018 21:08:54</t>
  </si>
  <si>
    <t xml:space="preserve"> How much is this in Bitcoin? How about now? Now?</t>
  </si>
  <si>
    <t xml:space="preserve"> Tall Cotton</t>
  </si>
  <si>
    <t xml:space="preserve"> Sat Feb 03 2018 21:09:00</t>
  </si>
  <si>
    <t xml:space="preserve"> CryptoCompare Bitcoin price changed -1.03% to $9216.06 </t>
  </si>
  <si>
    <t xml:space="preserve"> Sat Feb 03 2018 21:09:14</t>
  </si>
  <si>
    <t xml:space="preserve"> If I dont get 2000 followers soon is going to drop back to below $8000</t>
  </si>
  <si>
    <t xml:space="preserve"> M****d </t>
  </si>
  <si>
    <t xml:space="preserve"> Sat Feb 03 2018 21:10:04</t>
  </si>
  <si>
    <t xml:space="preserve"> $1 USD is currently worth 0.00010896 BTC! </t>
  </si>
  <si>
    <t xml:space="preserve"> Sat Feb 03 2018 21:10:05</t>
  </si>
  <si>
    <t xml:space="preserve"> Bitcoin BTC Current Price: $9291.12 1 Hour: -0.06 % | 24 Hours: 7.52 % | 7 Days: -19.15 % </t>
  </si>
  <si>
    <t xml:space="preserve"> Sat Feb 03 2018 21:10:20</t>
  </si>
  <si>
    <t xml:space="preserve"> Cryptocurrency: Price USD: 9266.06 Price BTC: 1.0 24h Volume USD: 7419490000.0 Percent change 24h: 7.17</t>
  </si>
  <si>
    <t xml:space="preserve"> Sat Feb 03 2018 21:10:21</t>
  </si>
  <si>
    <t xml:space="preserve"> If I dont get 2000 followers soon is going to drop back below $8000</t>
  </si>
  <si>
    <t xml:space="preserve"> Sat Feb 03 2018 21:10:25</t>
  </si>
  <si>
    <t xml:space="preserve"> Its sad to see using this account to promote brash!!!</t>
  </si>
  <si>
    <t xml:space="preserve"> Sat Feb 03 2018 21:10:32</t>
  </si>
  <si>
    <t xml:space="preserve"> I'm motivated by the positive ways in which Bitcoin use being widespread will make the world a better place. - Roger Ver </t>
  </si>
  <si>
    <t xml:space="preserve"> Sat Feb 03 2018 21:11:17</t>
  </si>
  <si>
    <t xml:space="preserve"> Hey Fly, i just bought some more bitcoin. You think that's a good idea or not?</t>
  </si>
  <si>
    <t xml:space="preserve"> Sat Feb 03 2018 21:11:21</t>
  </si>
  <si>
    <t xml:space="preserve"> ;[ ;[ ;[ ;[...&gt;.&lt; ....[Bitcoin performance assessment (-51.39%)] </t>
  </si>
  <si>
    <t xml:space="preserve"> Sat Feb 03 2018 21:12:01</t>
  </si>
  <si>
    <t xml:space="preserve"> Curious about demographics of my followers. What age group do you belong in? $BTC</t>
  </si>
  <si>
    <t xml:space="preserve"> 8****f </t>
  </si>
  <si>
    <t xml:space="preserve"> Sat Feb 03 2018 21:12:34</t>
  </si>
  <si>
    <t xml:space="preserve"> United Parcel Service (UPS) Patents Decentralized Locker Bank That Accepts Bitcoin - Bitcoinist</t>
  </si>
  <si>
    <t xml:space="preserve"> Sat Feb 03 2018 21:12:38</t>
  </si>
  <si>
    <t xml:space="preserve"> bitcoin emazing</t>
  </si>
  <si>
    <t xml:space="preserve"> G****1 </t>
  </si>
  <si>
    <t xml:space="preserve"> Sat Feb 03 2018 21:12:53</t>
  </si>
  <si>
    <t xml:space="preserve"> You can buy Bitcoin on the Cash app now?</t>
  </si>
  <si>
    <t xml:space="preserve"> J****C </t>
  </si>
  <si>
    <t xml:space="preserve"> Newark, DE/Brick City, ND</t>
  </si>
  <si>
    <t xml:space="preserve"> Sat Feb 03 2018 21:13:51</t>
  </si>
  <si>
    <t xml:space="preserve"> I am playing bitcoin trade, a loss of $ 300,000. My life is over. BCH 1BRmxV95HehWwYHLqjqBXfR4 </t>
  </si>
  <si>
    <t xml:space="preserve"> Sat Feb 03 2018 21:14:21</t>
  </si>
  <si>
    <t xml:space="preserve"> what about bitcoin lightning ?</t>
  </si>
  <si>
    <t xml:space="preserve"> w****b </t>
  </si>
  <si>
    <t xml:space="preserve"> Sat Feb 03 2018 21:14:29</t>
  </si>
  <si>
    <t xml:space="preserve"> Still can't believe they had Suge Knight investing in bitcoin in the Tupac movie</t>
  </si>
  <si>
    <t xml:space="preserve"> _****1 </t>
  </si>
  <si>
    <t xml:space="preserve"> Sat Feb 03 2018 21:14:50</t>
  </si>
  <si>
    <t xml:space="preserve"> I swear Bitcoin abi Bitto Neva near club b4...biko arrange bottles</t>
  </si>
  <si>
    <t xml:space="preserve"> Nigeria /Enugu</t>
  </si>
  <si>
    <t xml:space="preserve"> Sat Feb 03 2018 21:15:02</t>
  </si>
  <si>
    <t xml:space="preserve"> The current price of Bitcoin is $9240.15. The current price of BCash is $1284.27, or 0.137993 BTC</t>
  </si>
  <si>
    <t xml:space="preserve"> Sat Feb 03 2018 21:15:14</t>
  </si>
  <si>
    <t xml:space="preserve"> Will reach 1 $ by monday? is coming vote and retweet winner is YES so far !!!</t>
  </si>
  <si>
    <t xml:space="preserve"> Sat Feb 03 2018 21:15:25</t>
  </si>
  <si>
    <t xml:space="preserve"> Bitcoin and meat doesnt mix. Stop it .</t>
  </si>
  <si>
    <t xml:space="preserve"> 10 years from now</t>
  </si>
  <si>
    <t xml:space="preserve"> Sat Feb 03 2018 21:15:38</t>
  </si>
  <si>
    <t xml:space="preserve"> Our Economy will one day represent living and breathing entities working harmony. </t>
  </si>
  <si>
    <t xml:space="preserve"> k****r </t>
  </si>
  <si>
    <t xml:space="preserve"> Sat Feb 03 2018 21:16:14</t>
  </si>
  <si>
    <t xml:space="preserve"> ethereum will soon hold its own on the market. Same with xrp. Bitcoin wont die but it wont be big dog forever.</t>
  </si>
  <si>
    <t xml:space="preserve"> San Diego,California,Earth,Sol</t>
  </si>
  <si>
    <t xml:space="preserve"> Sat Feb 03 2018 21:16:23</t>
  </si>
  <si>
    <t xml:space="preserve"> List bitcoin token Pls </t>
  </si>
  <si>
    <t xml:space="preserve"> Sat Feb 03 2018 21:16:33</t>
  </si>
  <si>
    <t xml:space="preserve"> Changes in price are just a mechanism to move bitcoin from one persons hands to another persons hands.</t>
  </si>
  <si>
    <t xml:space="preserve"> Sat Feb 03 2018 21:16:38</t>
  </si>
  <si>
    <t xml:space="preserve"> Because we support the Protocol. It is open-source and is a project built on it.</t>
  </si>
  <si>
    <t xml:space="preserve"> Sat Feb 03 2018 21:16:55</t>
  </si>
  <si>
    <t xml:space="preserve"> You got it. The waiter is a Finance major, he asked me about...Bitcoin :)</t>
  </si>
  <si>
    <t xml:space="preserve"> Novi, Michigan</t>
  </si>
  <si>
    <t xml:space="preserve"> Sat Feb 03 2018 21:17:05</t>
  </si>
  <si>
    <t xml:space="preserve"> Bitcoin Cash BCH Current Price: $1284.27 1 Hour: -0.87 % | 24 Hours: 10.09 % | 7 Days: -21.92 % cash</t>
  </si>
  <si>
    <t xml:space="preserve"> Sat Feb 03 2018 21:17:22</t>
  </si>
  <si>
    <t xml:space="preserve"> Which will go live first? $btc $eth $rdn </t>
  </si>
  <si>
    <t xml:space="preserve"> Sat Feb 03 2018 21:17:46</t>
  </si>
  <si>
    <t xml:space="preserve"> Bitcoin in 2019 = $0</t>
  </si>
  <si>
    <t xml:space="preserve"> Ottawa</t>
  </si>
  <si>
    <t xml:space="preserve"> Sat Feb 03 2018 21:17:49</t>
  </si>
  <si>
    <t xml:space="preserve"> So are changes in the ledger, in fact that is all bitcoin is about.</t>
  </si>
  <si>
    <t xml:space="preserve"> Sat Feb 03 2018 21:17:57</t>
  </si>
  <si>
    <t xml:space="preserve"> Which one is better: bitcoin or infographic?</t>
  </si>
  <si>
    <t>Posted</t>
  </si>
  <si>
    <t>Text</t>
  </si>
  <si>
    <t>Screen Name</t>
  </si>
  <si>
    <t>Location</t>
  </si>
  <si>
    <t xml:space="preserve">Verified </t>
  </si>
  <si>
    <t>Followers Count</t>
  </si>
  <si>
    <t>Friends Count</t>
  </si>
  <si>
    <t>Lang</t>
  </si>
  <si>
    <t>isDup</t>
  </si>
  <si>
    <t>Sentiment Value</t>
  </si>
  <si>
    <t>Positive</t>
  </si>
  <si>
    <t>Negative</t>
  </si>
  <si>
    <t>beauty</t>
  </si>
  <si>
    <t>bad</t>
  </si>
  <si>
    <t>believe</t>
  </si>
  <si>
    <t>ban</t>
  </si>
  <si>
    <t>bought</t>
  </si>
  <si>
    <t>crash</t>
  </si>
  <si>
    <t>buy</t>
  </si>
  <si>
    <t>crashing</t>
  </si>
  <si>
    <t>buying</t>
  </si>
  <si>
    <t>disappear</t>
  </si>
  <si>
    <t>buys</t>
  </si>
  <si>
    <t>dive</t>
  </si>
  <si>
    <t>comeback</t>
  </si>
  <si>
    <t>down</t>
  </si>
  <si>
    <t>correction</t>
  </si>
  <si>
    <t>fall</t>
  </si>
  <si>
    <t>defeat</t>
  </si>
  <si>
    <t>fraud</t>
  </si>
  <si>
    <t>excellent</t>
  </si>
  <si>
    <t>freefall</t>
  </si>
  <si>
    <t>faith</t>
  </si>
  <si>
    <t>hate</t>
  </si>
  <si>
    <t>fortune</t>
  </si>
  <si>
    <t>hates</t>
  </si>
  <si>
    <t>gain</t>
  </si>
  <si>
    <t>hell</t>
  </si>
  <si>
    <t>gains</t>
  </si>
  <si>
    <t>hoax</t>
  </si>
  <si>
    <t>good</t>
  </si>
  <si>
    <t>kill</t>
  </si>
  <si>
    <t>great</t>
  </si>
  <si>
    <t>killing</t>
  </si>
  <si>
    <t>growing</t>
  </si>
  <si>
    <t>lose</t>
  </si>
  <si>
    <t>growth</t>
  </si>
  <si>
    <t>losing</t>
  </si>
  <si>
    <t>happy</t>
  </si>
  <si>
    <t>lost</t>
  </si>
  <si>
    <t>haven</t>
  </si>
  <si>
    <t>low</t>
  </si>
  <si>
    <t>help</t>
  </si>
  <si>
    <t>meltdown</t>
  </si>
  <si>
    <t>high</t>
  </si>
  <si>
    <t>negative</t>
  </si>
  <si>
    <t>hope</t>
  </si>
  <si>
    <t>never</t>
  </si>
  <si>
    <t>invest</t>
  </si>
  <si>
    <t>nightmare</t>
  </si>
  <si>
    <t>millionaire</t>
  </si>
  <si>
    <t>outrage</t>
  </si>
  <si>
    <t>oversold</t>
  </si>
  <si>
    <t>overbought</t>
  </si>
  <si>
    <t>plugs</t>
  </si>
  <si>
    <t xml:space="preserve">overvalued </t>
  </si>
  <si>
    <t>positive</t>
  </si>
  <si>
    <t>panic</t>
  </si>
  <si>
    <t>progress</t>
  </si>
  <si>
    <t>plunges</t>
  </si>
  <si>
    <t>protect</t>
  </si>
  <si>
    <t>ponzi</t>
  </si>
  <si>
    <t>push</t>
  </si>
  <si>
    <t>poor</t>
  </si>
  <si>
    <t>rally</t>
  </si>
  <si>
    <t>risk</t>
  </si>
  <si>
    <t>rebound</t>
  </si>
  <si>
    <t>rout</t>
  </si>
  <si>
    <t>recover</t>
  </si>
  <si>
    <t>sad</t>
  </si>
  <si>
    <t>recovery</t>
  </si>
  <si>
    <t>scam</t>
  </si>
  <si>
    <t>remedies</t>
  </si>
  <si>
    <t>scheme</t>
  </si>
  <si>
    <t>repair</t>
  </si>
  <si>
    <t>scrutiny</t>
  </si>
  <si>
    <t>reward</t>
  </si>
  <si>
    <t>sell</t>
  </si>
  <si>
    <t>rich</t>
  </si>
  <si>
    <t>selloff</t>
  </si>
  <si>
    <t>rise</t>
  </si>
  <si>
    <t>sell-off</t>
  </si>
  <si>
    <t>rises</t>
  </si>
  <si>
    <t>sells</t>
  </si>
  <si>
    <t>safe</t>
  </si>
  <si>
    <t>sinks</t>
  </si>
  <si>
    <t>save</t>
  </si>
  <si>
    <t>slides</t>
  </si>
  <si>
    <t>stabilize</t>
  </si>
  <si>
    <t>slump</t>
  </si>
  <si>
    <t>success</t>
  </si>
  <si>
    <t>sold</t>
  </si>
  <si>
    <t>successful</t>
  </si>
  <si>
    <t>steal</t>
  </si>
  <si>
    <t>surge</t>
  </si>
  <si>
    <t>stealing</t>
  </si>
  <si>
    <t>transparent</t>
  </si>
  <si>
    <t>struggles</t>
  </si>
  <si>
    <t>undervalued</t>
  </si>
  <si>
    <t>tanks</t>
  </si>
  <si>
    <t>up</t>
  </si>
  <si>
    <t>tumbles</t>
  </si>
  <si>
    <t>welcomes</t>
  </si>
  <si>
    <t>violent</t>
  </si>
  <si>
    <t>win</t>
  </si>
  <si>
    <t>worse</t>
  </si>
  <si>
    <t>winning</t>
  </si>
  <si>
    <t>worst</t>
  </si>
  <si>
    <t>Sentiment Category</t>
  </si>
  <si>
    <t>Overall Sentiment</t>
  </si>
  <si>
    <t>Average</t>
  </si>
  <si>
    <t>Total Positive</t>
  </si>
  <si>
    <t>Total Negative</t>
  </si>
  <si>
    <t>Total Neutral</t>
  </si>
  <si>
    <t>Verified Sentiment</t>
  </si>
  <si>
    <t>Average Sentiment By Location</t>
  </si>
  <si>
    <t>Australia</t>
  </si>
  <si>
    <t>Canada</t>
  </si>
  <si>
    <t>England</t>
  </si>
  <si>
    <t>France</t>
  </si>
  <si>
    <t>Germany</t>
  </si>
  <si>
    <t>India</t>
  </si>
  <si>
    <t>Ireland</t>
  </si>
  <si>
    <t>Japan</t>
  </si>
  <si>
    <t>Netherlands</t>
  </si>
  <si>
    <t>Nigeria</t>
  </si>
  <si>
    <t>South Africa</t>
  </si>
  <si>
    <t>Spain</t>
  </si>
  <si>
    <t>USA</t>
  </si>
  <si>
    <t>Average Sentiment By User Language</t>
  </si>
  <si>
    <t>English</t>
  </si>
  <si>
    <t>Russian</t>
  </si>
  <si>
    <t>Spanish</t>
  </si>
  <si>
    <t>German</t>
  </si>
  <si>
    <t>Portuguese</t>
  </si>
  <si>
    <t>French</t>
  </si>
  <si>
    <t>Dutch</t>
  </si>
  <si>
    <t>Italian</t>
  </si>
  <si>
    <t>Japanese</t>
  </si>
  <si>
    <t>Turkish</t>
  </si>
  <si>
    <t>tr</t>
  </si>
  <si>
    <t>ja</t>
  </si>
  <si>
    <t>it</t>
  </si>
  <si>
    <t>en</t>
  </si>
  <si>
    <t>ru</t>
  </si>
  <si>
    <t>fr</t>
  </si>
  <si>
    <t>es</t>
  </si>
  <si>
    <t>de</t>
  </si>
  <si>
    <t>pt</t>
  </si>
  <si>
    <t>nl</t>
  </si>
  <si>
    <t>Over 3,000 Follower Sentiment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</si>
</sst>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8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4">
    <xf numFmtId="0" fontId="0" fillId="0" borderId="0" xfId="0"/>
    <xf numFmtId="0" fontId="16" fillId="0" borderId="0" xfId="0" applyFont="1"/>
    <xf numFmtId="0" fontId="16" fillId="0" borderId="0" xfId="0" applyFont="1" applyAlignment="1">
      <alignment horizontal="center" vertical="center"/>
    </xf>
    <xf numFmtId="0" fontId="18" fillId="0" borderId="0" xfId="0" applyFont="1"/>
    <xf numFmtId="0" fontId="1" fillId="30" borderId="10" xfId="39" applyBorder="1"/>
    <xf numFmtId="0" fontId="16" fillId="30" borderId="10" xfId="39" applyFont="1" applyBorder="1"/>
    <xf numFmtId="0" fontId="1" fillId="22" borderId="10" xfId="31" applyBorder="1"/>
    <xf numFmtId="0" fontId="16" fillId="22" borderId="10" xfId="31" applyFont="1" applyBorder="1"/>
    <xf numFmtId="0" fontId="1" fillId="26" borderId="10" xfId="35" applyBorder="1"/>
    <xf numFmtId="0" fontId="16" fillId="26" borderId="10" xfId="35" applyFont="1" applyBorder="1"/>
    <xf numFmtId="0" fontId="1" fillId="19" borderId="10" xfId="28" applyBorder="1"/>
    <xf numFmtId="0" fontId="16" fillId="19" borderId="10" xfId="28" applyFont="1" applyBorder="1"/>
    <xf numFmtId="0" fontId="1" fillId="14" borderId="10" xfId="23" applyBorder="1"/>
    <xf numFmtId="0" fontId="16" fillId="14" borderId="10" xfId="23" applyFont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2692"/>
  <sheetViews>
    <sheetView tabSelected="1" workbookViewId="0">
      <selection activeCell="I3" sqref="I3"/>
    </sheetView>
  </sheetViews>
  <sheetFormatPr baseColWidth="10" defaultColWidth="8.83203125" defaultRowHeight="15" x14ac:dyDescent="0.2"/>
  <cols>
    <col min="1" max="1" width="21.83203125" customWidth="1"/>
    <col min="2" max="2" width="137.33203125" customWidth="1"/>
    <col min="3" max="3" width="11.5" customWidth="1"/>
    <col min="4" max="4" width="43.33203125" customWidth="1"/>
    <col min="6" max="6" width="14.1640625" customWidth="1"/>
    <col min="7" max="7" width="12.1640625" customWidth="1"/>
    <col min="8" max="8" width="9.6640625" customWidth="1"/>
  </cols>
  <sheetData>
    <row r="1" spans="1:9" x14ac:dyDescent="0.2">
      <c r="A1" s="1" t="s">
        <v>7264</v>
      </c>
      <c r="B1" s="1" t="s">
        <v>7265</v>
      </c>
      <c r="C1" s="1" t="s">
        <v>7266</v>
      </c>
      <c r="D1" s="1" t="s">
        <v>7267</v>
      </c>
      <c r="E1" s="1" t="s">
        <v>7268</v>
      </c>
      <c r="F1" s="1" t="s">
        <v>7269</v>
      </c>
      <c r="G1" s="1" t="s">
        <v>7270</v>
      </c>
      <c r="H1" s="1" t="s">
        <v>7271</v>
      </c>
      <c r="I1" s="1" t="s">
        <v>7272</v>
      </c>
    </row>
    <row r="2" spans="1:9" x14ac:dyDescent="0.2">
      <c r="A2" t="s">
        <v>2653</v>
      </c>
      <c r="B2" t="s">
        <v>2654</v>
      </c>
      <c r="C2" t="s">
        <v>2655</v>
      </c>
      <c r="D2" t="s">
        <v>2656</v>
      </c>
      <c r="E2" t="s">
        <v>4</v>
      </c>
      <c r="F2">
        <v>2580</v>
      </c>
      <c r="G2">
        <v>4107</v>
      </c>
      <c r="H2" t="s">
        <v>13</v>
      </c>
      <c r="I2" t="b">
        <f>isDup(B2, B3, 0.7)</f>
        <v>0</v>
      </c>
    </row>
    <row r="3" spans="1:9" x14ac:dyDescent="0.2">
      <c r="A3" t="s">
        <v>5598</v>
      </c>
      <c r="B3" t="s">
        <v>5599</v>
      </c>
      <c r="C3" t="s">
        <v>1230</v>
      </c>
      <c r="D3" t="s">
        <v>3</v>
      </c>
      <c r="E3" t="s">
        <v>4</v>
      </c>
      <c r="F3">
        <v>40</v>
      </c>
      <c r="G3">
        <v>201</v>
      </c>
      <c r="H3" t="s">
        <v>13</v>
      </c>
      <c r="I3" t="b">
        <f t="shared" ref="I3:I66" si="0">isDup(B3, B4, 0.7)</f>
        <v>0</v>
      </c>
    </row>
    <row r="4" spans="1:9" x14ac:dyDescent="0.2">
      <c r="A4" t="s">
        <v>1637</v>
      </c>
      <c r="B4" t="s">
        <v>1638</v>
      </c>
      <c r="C4" t="s">
        <v>1639</v>
      </c>
      <c r="D4" t="s">
        <v>1640</v>
      </c>
      <c r="E4" t="s">
        <v>4</v>
      </c>
      <c r="F4">
        <v>85</v>
      </c>
      <c r="G4">
        <v>113</v>
      </c>
      <c r="H4" t="s">
        <v>13</v>
      </c>
      <c r="I4" t="b">
        <f t="shared" si="0"/>
        <v>0</v>
      </c>
    </row>
    <row r="5" spans="1:9" x14ac:dyDescent="0.2">
      <c r="A5" t="s">
        <v>3555</v>
      </c>
      <c r="B5" t="s">
        <v>3556</v>
      </c>
      <c r="C5" t="s">
        <v>3557</v>
      </c>
      <c r="D5" t="s">
        <v>3</v>
      </c>
      <c r="E5" t="s">
        <v>4</v>
      </c>
      <c r="F5">
        <v>58</v>
      </c>
      <c r="G5">
        <v>32</v>
      </c>
      <c r="H5" t="s">
        <v>13</v>
      </c>
      <c r="I5" t="b">
        <f t="shared" si="0"/>
        <v>0</v>
      </c>
    </row>
    <row r="6" spans="1:9" x14ac:dyDescent="0.2">
      <c r="A6" t="s">
        <v>1683</v>
      </c>
      <c r="B6" t="s">
        <v>1684</v>
      </c>
      <c r="C6" t="s">
        <v>1685</v>
      </c>
      <c r="D6" t="s">
        <v>3</v>
      </c>
      <c r="E6" t="s">
        <v>4</v>
      </c>
      <c r="F6">
        <v>10</v>
      </c>
      <c r="G6">
        <v>70</v>
      </c>
      <c r="H6" t="s">
        <v>13</v>
      </c>
      <c r="I6" t="b">
        <f t="shared" si="0"/>
        <v>0</v>
      </c>
    </row>
    <row r="7" spans="1:9" x14ac:dyDescent="0.2">
      <c r="A7" t="s">
        <v>660</v>
      </c>
      <c r="B7" t="s">
        <v>661</v>
      </c>
      <c r="C7" t="s">
        <v>662</v>
      </c>
      <c r="D7" t="s">
        <v>663</v>
      </c>
      <c r="E7" t="s">
        <v>4</v>
      </c>
      <c r="F7">
        <v>7064</v>
      </c>
      <c r="G7">
        <v>262</v>
      </c>
      <c r="H7" t="s">
        <v>13</v>
      </c>
      <c r="I7" t="b">
        <f t="shared" si="0"/>
        <v>0</v>
      </c>
    </row>
    <row r="8" spans="1:9" x14ac:dyDescent="0.2">
      <c r="A8" t="s">
        <v>3411</v>
      </c>
      <c r="B8" t="s">
        <v>3412</v>
      </c>
      <c r="C8" t="s">
        <v>662</v>
      </c>
      <c r="D8" t="s">
        <v>663</v>
      </c>
      <c r="E8" t="s">
        <v>4</v>
      </c>
      <c r="F8">
        <v>7063</v>
      </c>
      <c r="G8">
        <v>262</v>
      </c>
      <c r="H8" t="s">
        <v>13</v>
      </c>
      <c r="I8" t="b">
        <f t="shared" si="0"/>
        <v>0</v>
      </c>
    </row>
    <row r="9" spans="1:9" x14ac:dyDescent="0.2">
      <c r="A9" t="s">
        <v>1791</v>
      </c>
      <c r="B9" t="s">
        <v>1792</v>
      </c>
      <c r="C9" t="s">
        <v>662</v>
      </c>
      <c r="D9" t="s">
        <v>663</v>
      </c>
      <c r="E9" t="s">
        <v>4</v>
      </c>
      <c r="F9">
        <v>7063</v>
      </c>
      <c r="G9">
        <v>262</v>
      </c>
      <c r="H9" t="s">
        <v>13</v>
      </c>
      <c r="I9" t="b">
        <f t="shared" si="0"/>
        <v>0</v>
      </c>
    </row>
    <row r="10" spans="1:9" x14ac:dyDescent="0.2">
      <c r="A10" t="s">
        <v>4241</v>
      </c>
      <c r="B10" t="s">
        <v>4242</v>
      </c>
      <c r="C10" t="s">
        <v>662</v>
      </c>
      <c r="D10" t="s">
        <v>663</v>
      </c>
      <c r="E10" t="s">
        <v>4</v>
      </c>
      <c r="F10">
        <v>7063</v>
      </c>
      <c r="G10">
        <v>262</v>
      </c>
      <c r="H10" t="s">
        <v>13</v>
      </c>
      <c r="I10" t="b">
        <f t="shared" si="0"/>
        <v>0</v>
      </c>
    </row>
    <row r="11" spans="1:9" x14ac:dyDescent="0.2">
      <c r="A11" t="s">
        <v>5788</v>
      </c>
      <c r="B11" t="s">
        <v>5789</v>
      </c>
      <c r="C11" t="s">
        <v>662</v>
      </c>
      <c r="D11" t="s">
        <v>663</v>
      </c>
      <c r="E11" t="s">
        <v>4</v>
      </c>
      <c r="F11">
        <v>7063</v>
      </c>
      <c r="G11">
        <v>262</v>
      </c>
      <c r="H11" t="s">
        <v>13</v>
      </c>
      <c r="I11" t="b">
        <f t="shared" si="0"/>
        <v>0</v>
      </c>
    </row>
    <row r="12" spans="1:9" x14ac:dyDescent="0.2">
      <c r="A12" t="s">
        <v>1836</v>
      </c>
      <c r="B12" t="s">
        <v>1837</v>
      </c>
      <c r="C12" t="s">
        <v>1838</v>
      </c>
      <c r="D12" t="s">
        <v>1839</v>
      </c>
      <c r="E12" t="s">
        <v>4</v>
      </c>
      <c r="F12">
        <v>1174</v>
      </c>
      <c r="G12">
        <v>917</v>
      </c>
      <c r="H12" t="s">
        <v>13</v>
      </c>
      <c r="I12" t="b">
        <f t="shared" si="0"/>
        <v>0</v>
      </c>
    </row>
    <row r="13" spans="1:9" x14ac:dyDescent="0.2">
      <c r="A13" t="s">
        <v>2841</v>
      </c>
      <c r="B13" t="s">
        <v>2842</v>
      </c>
      <c r="C13" t="s">
        <v>487</v>
      </c>
      <c r="D13" t="s">
        <v>488</v>
      </c>
      <c r="E13" t="s">
        <v>4</v>
      </c>
      <c r="F13">
        <v>1899</v>
      </c>
      <c r="G13">
        <v>540</v>
      </c>
      <c r="H13" t="s">
        <v>13</v>
      </c>
      <c r="I13" t="b">
        <f t="shared" si="0"/>
        <v>1</v>
      </c>
    </row>
    <row r="14" spans="1:9" x14ac:dyDescent="0.2">
      <c r="A14" t="s">
        <v>6518</v>
      </c>
      <c r="B14" t="s">
        <v>6519</v>
      </c>
      <c r="C14" t="s">
        <v>487</v>
      </c>
      <c r="D14" t="s">
        <v>488</v>
      </c>
      <c r="E14" t="s">
        <v>4</v>
      </c>
      <c r="F14">
        <v>1898</v>
      </c>
      <c r="G14">
        <v>540</v>
      </c>
      <c r="H14" t="s">
        <v>13</v>
      </c>
      <c r="I14" t="b">
        <f t="shared" si="0"/>
        <v>1</v>
      </c>
    </row>
    <row r="15" spans="1:9" x14ac:dyDescent="0.2">
      <c r="A15" t="s">
        <v>2410</v>
      </c>
      <c r="B15" t="s">
        <v>2411</v>
      </c>
      <c r="C15" t="s">
        <v>487</v>
      </c>
      <c r="D15" t="s">
        <v>488</v>
      </c>
      <c r="E15" t="s">
        <v>4</v>
      </c>
      <c r="F15">
        <v>1899</v>
      </c>
      <c r="G15">
        <v>540</v>
      </c>
      <c r="H15" t="s">
        <v>13</v>
      </c>
      <c r="I15" t="b">
        <f t="shared" si="0"/>
        <v>1</v>
      </c>
    </row>
    <row r="16" spans="1:9" x14ac:dyDescent="0.2">
      <c r="A16" t="s">
        <v>1967</v>
      </c>
      <c r="B16" t="s">
        <v>1968</v>
      </c>
      <c r="C16" t="s">
        <v>487</v>
      </c>
      <c r="D16" t="s">
        <v>488</v>
      </c>
      <c r="E16" t="s">
        <v>4</v>
      </c>
      <c r="F16">
        <v>1899</v>
      </c>
      <c r="G16">
        <v>540</v>
      </c>
      <c r="H16" t="s">
        <v>13</v>
      </c>
      <c r="I16" t="b">
        <f t="shared" si="0"/>
        <v>1</v>
      </c>
    </row>
    <row r="17" spans="1:9" x14ac:dyDescent="0.2">
      <c r="A17" t="s">
        <v>7192</v>
      </c>
      <c r="B17" t="s">
        <v>7193</v>
      </c>
      <c r="C17" t="s">
        <v>487</v>
      </c>
      <c r="D17" t="s">
        <v>488</v>
      </c>
      <c r="E17" t="s">
        <v>4</v>
      </c>
      <c r="F17">
        <v>1896</v>
      </c>
      <c r="G17">
        <v>540</v>
      </c>
      <c r="H17" t="s">
        <v>13</v>
      </c>
      <c r="I17" t="b">
        <f t="shared" si="0"/>
        <v>1</v>
      </c>
    </row>
    <row r="18" spans="1:9" x14ac:dyDescent="0.2">
      <c r="A18" t="s">
        <v>4904</v>
      </c>
      <c r="B18" t="s">
        <v>4908</v>
      </c>
      <c r="C18" t="s">
        <v>487</v>
      </c>
      <c r="D18" t="s">
        <v>488</v>
      </c>
      <c r="E18" t="s">
        <v>4</v>
      </c>
      <c r="F18">
        <v>1898</v>
      </c>
      <c r="G18">
        <v>540</v>
      </c>
      <c r="H18" t="s">
        <v>13</v>
      </c>
      <c r="I18" t="b">
        <f t="shared" si="0"/>
        <v>1</v>
      </c>
    </row>
    <row r="19" spans="1:9" x14ac:dyDescent="0.2">
      <c r="A19" t="s">
        <v>849</v>
      </c>
      <c r="B19" t="s">
        <v>853</v>
      </c>
      <c r="C19" t="s">
        <v>487</v>
      </c>
      <c r="D19" t="s">
        <v>488</v>
      </c>
      <c r="E19" t="s">
        <v>4</v>
      </c>
      <c r="F19">
        <v>1899</v>
      </c>
      <c r="G19">
        <v>540</v>
      </c>
      <c r="H19" t="s">
        <v>13</v>
      </c>
      <c r="I19" t="b">
        <f t="shared" si="0"/>
        <v>0</v>
      </c>
    </row>
    <row r="20" spans="1:9" x14ac:dyDescent="0.2">
      <c r="A20" t="s">
        <v>2205</v>
      </c>
      <c r="B20" t="s">
        <v>2207</v>
      </c>
      <c r="C20" t="s">
        <v>588</v>
      </c>
      <c r="D20" t="s">
        <v>3</v>
      </c>
      <c r="E20" t="s">
        <v>4</v>
      </c>
      <c r="F20">
        <v>338</v>
      </c>
      <c r="G20">
        <v>139</v>
      </c>
      <c r="H20" t="s">
        <v>13</v>
      </c>
      <c r="I20" t="b">
        <f t="shared" si="0"/>
        <v>0</v>
      </c>
    </row>
    <row r="21" spans="1:9" x14ac:dyDescent="0.2">
      <c r="A21" t="s">
        <v>2756</v>
      </c>
      <c r="B21" t="s">
        <v>2757</v>
      </c>
      <c r="C21" t="s">
        <v>2758</v>
      </c>
      <c r="D21" t="s">
        <v>3</v>
      </c>
      <c r="E21" t="s">
        <v>4</v>
      </c>
      <c r="F21">
        <v>4</v>
      </c>
      <c r="G21">
        <v>41</v>
      </c>
      <c r="H21" t="s">
        <v>13</v>
      </c>
      <c r="I21" t="b">
        <f t="shared" si="0"/>
        <v>0</v>
      </c>
    </row>
    <row r="22" spans="1:9" x14ac:dyDescent="0.2">
      <c r="A22" t="s">
        <v>3767</v>
      </c>
      <c r="B22" t="s">
        <v>3768</v>
      </c>
      <c r="C22" t="s">
        <v>3769</v>
      </c>
      <c r="D22" t="s">
        <v>1000</v>
      </c>
      <c r="E22" t="s">
        <v>4</v>
      </c>
      <c r="F22">
        <v>2446</v>
      </c>
      <c r="G22">
        <v>208</v>
      </c>
      <c r="H22" t="s">
        <v>13</v>
      </c>
      <c r="I22" t="b">
        <f t="shared" si="0"/>
        <v>0</v>
      </c>
    </row>
    <row r="23" spans="1:9" x14ac:dyDescent="0.2">
      <c r="A23" t="s">
        <v>4615</v>
      </c>
      <c r="B23" t="s">
        <v>4616</v>
      </c>
      <c r="C23" t="s">
        <v>4617</v>
      </c>
      <c r="D23" t="s">
        <v>1027</v>
      </c>
      <c r="E23" t="s">
        <v>4</v>
      </c>
      <c r="F23">
        <v>22</v>
      </c>
      <c r="G23">
        <v>59</v>
      </c>
      <c r="H23" t="s">
        <v>13</v>
      </c>
      <c r="I23" t="b">
        <f t="shared" si="0"/>
        <v>0</v>
      </c>
    </row>
    <row r="24" spans="1:9" x14ac:dyDescent="0.2">
      <c r="A24" t="s">
        <v>3061</v>
      </c>
      <c r="B24" t="s">
        <v>3062</v>
      </c>
      <c r="C24" t="s">
        <v>3063</v>
      </c>
      <c r="D24" t="s">
        <v>3064</v>
      </c>
      <c r="E24" t="s">
        <v>4</v>
      </c>
      <c r="F24">
        <v>729</v>
      </c>
      <c r="G24">
        <v>284</v>
      </c>
      <c r="H24" t="s">
        <v>645</v>
      </c>
      <c r="I24" t="b">
        <f t="shared" si="0"/>
        <v>1</v>
      </c>
    </row>
    <row r="25" spans="1:9" x14ac:dyDescent="0.2">
      <c r="A25" t="s">
        <v>7111</v>
      </c>
      <c r="B25" t="s">
        <v>7112</v>
      </c>
      <c r="C25" t="s">
        <v>137</v>
      </c>
      <c r="D25" t="s">
        <v>7113</v>
      </c>
      <c r="E25" t="s">
        <v>4</v>
      </c>
      <c r="F25">
        <v>15</v>
      </c>
      <c r="G25">
        <v>200</v>
      </c>
      <c r="H25" t="s">
        <v>363</v>
      </c>
      <c r="I25" t="b">
        <f t="shared" si="0"/>
        <v>0</v>
      </c>
    </row>
    <row r="26" spans="1:9" x14ac:dyDescent="0.2">
      <c r="A26" t="s">
        <v>1671</v>
      </c>
      <c r="B26" t="s">
        <v>1672</v>
      </c>
      <c r="C26" t="s">
        <v>1328</v>
      </c>
      <c r="D26" t="s">
        <v>1673</v>
      </c>
      <c r="E26" t="s">
        <v>4</v>
      </c>
      <c r="F26">
        <v>157</v>
      </c>
      <c r="G26">
        <v>114</v>
      </c>
      <c r="H26" t="s">
        <v>13</v>
      </c>
      <c r="I26" t="b">
        <f t="shared" si="0"/>
        <v>0</v>
      </c>
    </row>
    <row r="27" spans="1:9" x14ac:dyDescent="0.2">
      <c r="A27" t="s">
        <v>2648</v>
      </c>
      <c r="B27" t="s">
        <v>2649</v>
      </c>
      <c r="C27" t="s">
        <v>212</v>
      </c>
      <c r="D27" t="s">
        <v>3</v>
      </c>
      <c r="E27" t="s">
        <v>4</v>
      </c>
      <c r="F27">
        <v>12338</v>
      </c>
      <c r="G27">
        <v>138</v>
      </c>
      <c r="H27" t="s">
        <v>13</v>
      </c>
      <c r="I27" t="b">
        <f t="shared" si="0"/>
        <v>0</v>
      </c>
    </row>
    <row r="28" spans="1:9" x14ac:dyDescent="0.2">
      <c r="A28" t="s">
        <v>7131</v>
      </c>
      <c r="B28" t="s">
        <v>7132</v>
      </c>
      <c r="C28" t="s">
        <v>5512</v>
      </c>
      <c r="D28" t="s">
        <v>3</v>
      </c>
      <c r="E28" t="s">
        <v>4</v>
      </c>
      <c r="F28">
        <v>81</v>
      </c>
      <c r="G28">
        <v>8</v>
      </c>
      <c r="H28" t="s">
        <v>13</v>
      </c>
      <c r="I28" t="b">
        <f t="shared" si="0"/>
        <v>0</v>
      </c>
    </row>
    <row r="29" spans="1:9" x14ac:dyDescent="0.2">
      <c r="A29" t="s">
        <v>4206</v>
      </c>
      <c r="B29" t="s">
        <v>4207</v>
      </c>
      <c r="C29" t="s">
        <v>4158</v>
      </c>
      <c r="D29" t="s">
        <v>3</v>
      </c>
      <c r="E29" t="s">
        <v>4</v>
      </c>
      <c r="F29">
        <v>26</v>
      </c>
      <c r="G29">
        <v>50</v>
      </c>
      <c r="H29" t="s">
        <v>114</v>
      </c>
      <c r="I29" t="b">
        <f t="shared" si="0"/>
        <v>0</v>
      </c>
    </row>
    <row r="30" spans="1:9" x14ac:dyDescent="0.2">
      <c r="A30" t="s">
        <v>3419</v>
      </c>
      <c r="B30" t="s">
        <v>3420</v>
      </c>
      <c r="C30" t="s">
        <v>3421</v>
      </c>
      <c r="D30" t="s">
        <v>109</v>
      </c>
      <c r="E30" t="s">
        <v>4</v>
      </c>
      <c r="F30">
        <v>308</v>
      </c>
      <c r="G30">
        <v>341</v>
      </c>
      <c r="H30" t="s">
        <v>13</v>
      </c>
      <c r="I30" t="b">
        <f t="shared" si="0"/>
        <v>0</v>
      </c>
    </row>
    <row r="31" spans="1:9" x14ac:dyDescent="0.2">
      <c r="A31" t="s">
        <v>5895</v>
      </c>
      <c r="B31" t="s">
        <v>5896</v>
      </c>
      <c r="C31" t="s">
        <v>5897</v>
      </c>
      <c r="D31" t="s">
        <v>337</v>
      </c>
      <c r="E31" t="s">
        <v>4</v>
      </c>
      <c r="F31">
        <v>17232</v>
      </c>
      <c r="G31">
        <v>176</v>
      </c>
      <c r="H31" t="s">
        <v>50</v>
      </c>
      <c r="I31" t="b">
        <f t="shared" si="0"/>
        <v>0</v>
      </c>
    </row>
    <row r="32" spans="1:9" x14ac:dyDescent="0.2">
      <c r="A32" t="s">
        <v>3850</v>
      </c>
      <c r="B32" t="s">
        <v>3851</v>
      </c>
      <c r="C32" t="s">
        <v>3852</v>
      </c>
      <c r="D32" t="s">
        <v>3</v>
      </c>
      <c r="E32" t="s">
        <v>4</v>
      </c>
      <c r="F32">
        <v>55</v>
      </c>
      <c r="G32">
        <v>238</v>
      </c>
      <c r="H32" t="s">
        <v>13</v>
      </c>
      <c r="I32" t="b">
        <f t="shared" si="0"/>
        <v>0</v>
      </c>
    </row>
    <row r="33" spans="1:9" x14ac:dyDescent="0.2">
      <c r="A33" t="s">
        <v>80</v>
      </c>
      <c r="B33" t="s">
        <v>81</v>
      </c>
      <c r="C33" t="s">
        <v>82</v>
      </c>
      <c r="D33" t="s">
        <v>3</v>
      </c>
      <c r="E33" t="s">
        <v>4</v>
      </c>
      <c r="F33">
        <v>44</v>
      </c>
      <c r="G33">
        <v>321</v>
      </c>
      <c r="H33" t="s">
        <v>13</v>
      </c>
      <c r="I33" t="b">
        <f t="shared" si="0"/>
        <v>0</v>
      </c>
    </row>
    <row r="34" spans="1:9" x14ac:dyDescent="0.2">
      <c r="A34" t="s">
        <v>2326</v>
      </c>
      <c r="B34" t="s">
        <v>2327</v>
      </c>
      <c r="C34" t="s">
        <v>2328</v>
      </c>
      <c r="D34" t="s">
        <v>2329</v>
      </c>
      <c r="E34" t="s">
        <v>4</v>
      </c>
      <c r="F34">
        <v>5933</v>
      </c>
      <c r="G34">
        <v>6027</v>
      </c>
      <c r="H34" t="s">
        <v>13</v>
      </c>
      <c r="I34" t="b">
        <f t="shared" si="0"/>
        <v>0</v>
      </c>
    </row>
    <row r="35" spans="1:9" x14ac:dyDescent="0.2">
      <c r="A35" t="s">
        <v>6419</v>
      </c>
      <c r="B35" t="s">
        <v>6421</v>
      </c>
      <c r="C35" t="s">
        <v>1438</v>
      </c>
      <c r="D35" t="s">
        <v>6422</v>
      </c>
      <c r="E35" t="s">
        <v>4</v>
      </c>
      <c r="F35">
        <v>1233</v>
      </c>
      <c r="G35">
        <v>982</v>
      </c>
      <c r="H35" t="s">
        <v>1092</v>
      </c>
      <c r="I35" t="b">
        <f t="shared" si="0"/>
        <v>0</v>
      </c>
    </row>
    <row r="36" spans="1:9" x14ac:dyDescent="0.2">
      <c r="A36" t="s">
        <v>5959</v>
      </c>
      <c r="B36" t="s">
        <v>5960</v>
      </c>
      <c r="C36" t="s">
        <v>4165</v>
      </c>
      <c r="D36" t="s">
        <v>5961</v>
      </c>
      <c r="E36" t="s">
        <v>4</v>
      </c>
      <c r="F36">
        <v>212</v>
      </c>
      <c r="G36">
        <v>798</v>
      </c>
      <c r="H36" t="s">
        <v>13</v>
      </c>
      <c r="I36" t="b">
        <f t="shared" si="0"/>
        <v>0</v>
      </c>
    </row>
    <row r="37" spans="1:9" x14ac:dyDescent="0.2">
      <c r="A37" t="s">
        <v>6579</v>
      </c>
      <c r="B37" t="s">
        <v>6580</v>
      </c>
      <c r="C37" t="s">
        <v>85</v>
      </c>
      <c r="D37" t="s">
        <v>6581</v>
      </c>
      <c r="E37" t="s">
        <v>4</v>
      </c>
      <c r="F37">
        <v>4286</v>
      </c>
      <c r="G37">
        <v>3819</v>
      </c>
      <c r="H37" t="s">
        <v>374</v>
      </c>
      <c r="I37" t="b">
        <f t="shared" si="0"/>
        <v>0</v>
      </c>
    </row>
    <row r="38" spans="1:9" x14ac:dyDescent="0.2">
      <c r="A38" t="s">
        <v>6822</v>
      </c>
      <c r="B38" t="s">
        <v>6823</v>
      </c>
      <c r="C38" t="s">
        <v>5032</v>
      </c>
      <c r="D38" t="s">
        <v>6824</v>
      </c>
      <c r="E38" t="s">
        <v>4</v>
      </c>
      <c r="F38">
        <v>380</v>
      </c>
      <c r="G38">
        <v>140</v>
      </c>
      <c r="H38" t="s">
        <v>13</v>
      </c>
      <c r="I38" t="b">
        <f t="shared" si="0"/>
        <v>0</v>
      </c>
    </row>
    <row r="39" spans="1:9" x14ac:dyDescent="0.2">
      <c r="A39" t="s">
        <v>5736</v>
      </c>
      <c r="B39" t="s">
        <v>5737</v>
      </c>
      <c r="C39" t="s">
        <v>1249</v>
      </c>
      <c r="D39" t="s">
        <v>3</v>
      </c>
      <c r="E39" t="s">
        <v>4</v>
      </c>
      <c r="F39">
        <v>251</v>
      </c>
      <c r="G39">
        <v>9</v>
      </c>
      <c r="H39" t="s">
        <v>13</v>
      </c>
      <c r="I39" t="b">
        <f t="shared" si="0"/>
        <v>0</v>
      </c>
    </row>
    <row r="40" spans="1:9" x14ac:dyDescent="0.2">
      <c r="A40" t="s">
        <v>3057</v>
      </c>
      <c r="B40" t="s">
        <v>3058</v>
      </c>
      <c r="C40" t="s">
        <v>1572</v>
      </c>
      <c r="D40" t="s">
        <v>2717</v>
      </c>
      <c r="E40" t="s">
        <v>4</v>
      </c>
      <c r="F40">
        <v>272</v>
      </c>
      <c r="G40">
        <v>39</v>
      </c>
      <c r="H40" t="s">
        <v>13</v>
      </c>
      <c r="I40" t="b">
        <f t="shared" si="0"/>
        <v>0</v>
      </c>
    </row>
    <row r="41" spans="1:9" x14ac:dyDescent="0.2">
      <c r="A41" t="s">
        <v>431</v>
      </c>
      <c r="B41" t="s">
        <v>432</v>
      </c>
      <c r="C41" t="s">
        <v>433</v>
      </c>
      <c r="D41" t="s">
        <v>3</v>
      </c>
      <c r="E41" t="s">
        <v>4</v>
      </c>
      <c r="F41">
        <v>8</v>
      </c>
      <c r="G41">
        <v>3</v>
      </c>
      <c r="H41" t="s">
        <v>13</v>
      </c>
      <c r="I41" t="b">
        <f t="shared" si="0"/>
        <v>0</v>
      </c>
    </row>
    <row r="42" spans="1:9" x14ac:dyDescent="0.2">
      <c r="A42" t="s">
        <v>1464</v>
      </c>
      <c r="B42" t="s">
        <v>1465</v>
      </c>
      <c r="C42" t="s">
        <v>1413</v>
      </c>
      <c r="D42" t="s">
        <v>3</v>
      </c>
      <c r="E42" t="s">
        <v>4</v>
      </c>
      <c r="F42">
        <v>58</v>
      </c>
      <c r="G42">
        <v>778</v>
      </c>
      <c r="H42" t="s">
        <v>1466</v>
      </c>
      <c r="I42" t="b">
        <f t="shared" si="0"/>
        <v>0</v>
      </c>
    </row>
    <row r="43" spans="1:9" x14ac:dyDescent="0.2">
      <c r="A43" t="s">
        <v>5591</v>
      </c>
      <c r="B43" t="s">
        <v>5592</v>
      </c>
      <c r="C43" t="s">
        <v>4482</v>
      </c>
      <c r="D43" t="s">
        <v>5593</v>
      </c>
      <c r="E43" t="s">
        <v>4</v>
      </c>
      <c r="F43">
        <v>1650</v>
      </c>
      <c r="G43">
        <v>1570</v>
      </c>
      <c r="H43" t="s">
        <v>13</v>
      </c>
      <c r="I43" t="b">
        <f t="shared" si="0"/>
        <v>0</v>
      </c>
    </row>
    <row r="44" spans="1:9" x14ac:dyDescent="0.2">
      <c r="A44" t="s">
        <v>4928</v>
      </c>
      <c r="B44" t="s">
        <v>4929</v>
      </c>
      <c r="C44" t="s">
        <v>4930</v>
      </c>
      <c r="D44" t="s">
        <v>3</v>
      </c>
      <c r="E44" t="s">
        <v>4</v>
      </c>
      <c r="F44">
        <v>1565</v>
      </c>
      <c r="G44">
        <v>130</v>
      </c>
      <c r="H44" t="s">
        <v>13</v>
      </c>
      <c r="I44" t="b">
        <f t="shared" si="0"/>
        <v>0</v>
      </c>
    </row>
    <row r="45" spans="1:9" x14ac:dyDescent="0.2">
      <c r="A45" t="s">
        <v>7107</v>
      </c>
      <c r="B45" t="s">
        <v>7108</v>
      </c>
      <c r="C45" t="s">
        <v>7109</v>
      </c>
      <c r="D45" t="s">
        <v>3</v>
      </c>
      <c r="E45" t="s">
        <v>4</v>
      </c>
      <c r="F45">
        <v>614</v>
      </c>
      <c r="G45">
        <v>190</v>
      </c>
      <c r="H45" t="s">
        <v>13</v>
      </c>
      <c r="I45" t="b">
        <f t="shared" si="0"/>
        <v>0</v>
      </c>
    </row>
    <row r="46" spans="1:9" x14ac:dyDescent="0.2">
      <c r="A46" t="s">
        <v>3657</v>
      </c>
      <c r="B46" t="s">
        <v>3658</v>
      </c>
      <c r="C46" t="s">
        <v>117</v>
      </c>
      <c r="D46" t="s">
        <v>118</v>
      </c>
      <c r="E46" t="s">
        <v>4</v>
      </c>
      <c r="F46">
        <v>92</v>
      </c>
      <c r="G46">
        <v>202</v>
      </c>
      <c r="H46" t="s">
        <v>13</v>
      </c>
      <c r="I46" t="b">
        <f t="shared" si="0"/>
        <v>0</v>
      </c>
    </row>
    <row r="47" spans="1:9" x14ac:dyDescent="0.2">
      <c r="A47" t="s">
        <v>2059</v>
      </c>
      <c r="B47" t="s">
        <v>2060</v>
      </c>
      <c r="C47" t="s">
        <v>117</v>
      </c>
      <c r="D47" t="s">
        <v>118</v>
      </c>
      <c r="E47" t="s">
        <v>4</v>
      </c>
      <c r="F47">
        <v>93</v>
      </c>
      <c r="G47">
        <v>202</v>
      </c>
      <c r="H47" t="s">
        <v>13</v>
      </c>
      <c r="I47" t="b">
        <f t="shared" si="0"/>
        <v>0</v>
      </c>
    </row>
    <row r="48" spans="1:9" x14ac:dyDescent="0.2">
      <c r="A48" t="s">
        <v>4769</v>
      </c>
      <c r="B48" t="s">
        <v>4770</v>
      </c>
      <c r="C48" t="s">
        <v>117</v>
      </c>
      <c r="D48" t="s">
        <v>118</v>
      </c>
      <c r="E48" t="s">
        <v>4</v>
      </c>
      <c r="F48">
        <v>93</v>
      </c>
      <c r="G48">
        <v>202</v>
      </c>
      <c r="H48" t="s">
        <v>13</v>
      </c>
      <c r="I48" t="b">
        <f t="shared" si="0"/>
        <v>0</v>
      </c>
    </row>
    <row r="49" spans="1:9" x14ac:dyDescent="0.2">
      <c r="A49" t="s">
        <v>115</v>
      </c>
      <c r="B49" t="s">
        <v>116</v>
      </c>
      <c r="C49" t="s">
        <v>117</v>
      </c>
      <c r="D49" t="s">
        <v>118</v>
      </c>
      <c r="E49" t="s">
        <v>4</v>
      </c>
      <c r="F49">
        <v>94</v>
      </c>
      <c r="G49">
        <v>202</v>
      </c>
      <c r="H49" t="s">
        <v>13</v>
      </c>
      <c r="I49" t="b">
        <f t="shared" si="0"/>
        <v>0</v>
      </c>
    </row>
    <row r="50" spans="1:9" x14ac:dyDescent="0.2">
      <c r="A50" t="s">
        <v>6867</v>
      </c>
      <c r="B50" t="s">
        <v>6868</v>
      </c>
      <c r="C50" t="s">
        <v>117</v>
      </c>
      <c r="D50" t="s">
        <v>118</v>
      </c>
      <c r="E50" t="s">
        <v>4</v>
      </c>
      <c r="F50">
        <v>95</v>
      </c>
      <c r="G50">
        <v>202</v>
      </c>
      <c r="H50" t="s">
        <v>13</v>
      </c>
      <c r="I50" t="b">
        <f t="shared" si="0"/>
        <v>1</v>
      </c>
    </row>
    <row r="51" spans="1:9" x14ac:dyDescent="0.2">
      <c r="A51" t="s">
        <v>4005</v>
      </c>
      <c r="B51" t="s">
        <v>4006</v>
      </c>
      <c r="C51" t="s">
        <v>117</v>
      </c>
      <c r="D51" t="s">
        <v>118</v>
      </c>
      <c r="E51" t="s">
        <v>4</v>
      </c>
      <c r="F51">
        <v>92</v>
      </c>
      <c r="G51">
        <v>202</v>
      </c>
      <c r="H51" t="s">
        <v>13</v>
      </c>
      <c r="I51" t="b">
        <f t="shared" si="0"/>
        <v>1</v>
      </c>
    </row>
    <row r="52" spans="1:9" x14ac:dyDescent="0.2">
      <c r="A52" t="s">
        <v>2448</v>
      </c>
      <c r="B52" t="s">
        <v>2449</v>
      </c>
      <c r="C52" t="s">
        <v>117</v>
      </c>
      <c r="D52" t="s">
        <v>118</v>
      </c>
      <c r="E52" t="s">
        <v>4</v>
      </c>
      <c r="F52">
        <v>93</v>
      </c>
      <c r="G52">
        <v>202</v>
      </c>
      <c r="H52" t="s">
        <v>13</v>
      </c>
      <c r="I52" t="b">
        <f t="shared" si="0"/>
        <v>1</v>
      </c>
    </row>
    <row r="53" spans="1:9" x14ac:dyDescent="0.2">
      <c r="A53" t="s">
        <v>985</v>
      </c>
      <c r="B53" t="s">
        <v>986</v>
      </c>
      <c r="C53" t="s">
        <v>117</v>
      </c>
      <c r="D53" t="s">
        <v>118</v>
      </c>
      <c r="E53" t="s">
        <v>4</v>
      </c>
      <c r="F53">
        <v>93</v>
      </c>
      <c r="G53">
        <v>202</v>
      </c>
      <c r="H53" t="s">
        <v>13</v>
      </c>
      <c r="I53" t="b">
        <f t="shared" si="0"/>
        <v>1</v>
      </c>
    </row>
    <row r="54" spans="1:9" x14ac:dyDescent="0.2">
      <c r="A54" t="s">
        <v>5444</v>
      </c>
      <c r="B54" t="s">
        <v>5445</v>
      </c>
      <c r="C54" t="s">
        <v>117</v>
      </c>
      <c r="D54" t="s">
        <v>118</v>
      </c>
      <c r="E54" t="s">
        <v>4</v>
      </c>
      <c r="F54">
        <v>95</v>
      </c>
      <c r="G54">
        <v>202</v>
      </c>
      <c r="H54" t="s">
        <v>13</v>
      </c>
      <c r="I54" t="b">
        <f t="shared" si="0"/>
        <v>0</v>
      </c>
    </row>
    <row r="55" spans="1:9" x14ac:dyDescent="0.2">
      <c r="A55" t="s">
        <v>368</v>
      </c>
      <c r="B55" t="s">
        <v>369</v>
      </c>
      <c r="C55" t="s">
        <v>117</v>
      </c>
      <c r="D55" t="s">
        <v>118</v>
      </c>
      <c r="E55" t="s">
        <v>4</v>
      </c>
      <c r="F55">
        <v>93</v>
      </c>
      <c r="G55">
        <v>202</v>
      </c>
      <c r="H55" t="s">
        <v>13</v>
      </c>
      <c r="I55" t="b">
        <f t="shared" si="0"/>
        <v>0</v>
      </c>
    </row>
    <row r="56" spans="1:9" x14ac:dyDescent="0.2">
      <c r="A56" t="s">
        <v>5125</v>
      </c>
      <c r="B56" t="s">
        <v>5126</v>
      </c>
      <c r="C56" t="s">
        <v>117</v>
      </c>
      <c r="D56" t="s">
        <v>118</v>
      </c>
      <c r="E56" t="s">
        <v>4</v>
      </c>
      <c r="F56">
        <v>94</v>
      </c>
      <c r="G56">
        <v>202</v>
      </c>
      <c r="H56" t="s">
        <v>13</v>
      </c>
      <c r="I56" t="b">
        <f t="shared" si="0"/>
        <v>0</v>
      </c>
    </row>
    <row r="57" spans="1:9" x14ac:dyDescent="0.2">
      <c r="A57" t="s">
        <v>5774</v>
      </c>
      <c r="B57" t="s">
        <v>5775</v>
      </c>
      <c r="C57" t="s">
        <v>117</v>
      </c>
      <c r="D57" t="s">
        <v>118</v>
      </c>
      <c r="E57" t="s">
        <v>4</v>
      </c>
      <c r="F57">
        <v>95</v>
      </c>
      <c r="G57">
        <v>202</v>
      </c>
      <c r="H57" t="s">
        <v>13</v>
      </c>
      <c r="I57" t="b">
        <f t="shared" si="0"/>
        <v>0</v>
      </c>
    </row>
    <row r="58" spans="1:9" x14ac:dyDescent="0.2">
      <c r="A58" t="s">
        <v>1337</v>
      </c>
      <c r="B58" t="s">
        <v>1339</v>
      </c>
      <c r="C58" t="s">
        <v>472</v>
      </c>
      <c r="D58" t="s">
        <v>1340</v>
      </c>
      <c r="E58" t="s">
        <v>4</v>
      </c>
      <c r="F58">
        <v>3209</v>
      </c>
      <c r="G58">
        <v>461</v>
      </c>
      <c r="H58" t="s">
        <v>13</v>
      </c>
      <c r="I58" t="b">
        <f t="shared" si="0"/>
        <v>0</v>
      </c>
    </row>
    <row r="59" spans="1:9" x14ac:dyDescent="0.2">
      <c r="A59" t="s">
        <v>4310</v>
      </c>
      <c r="B59" t="s">
        <v>4311</v>
      </c>
      <c r="C59" t="s">
        <v>4312</v>
      </c>
      <c r="D59" t="s">
        <v>3</v>
      </c>
      <c r="E59" t="s">
        <v>4</v>
      </c>
      <c r="F59">
        <v>337</v>
      </c>
      <c r="G59">
        <v>669</v>
      </c>
      <c r="H59" t="s">
        <v>13</v>
      </c>
      <c r="I59" t="b">
        <f t="shared" si="0"/>
        <v>0</v>
      </c>
    </row>
    <row r="60" spans="1:9" x14ac:dyDescent="0.2">
      <c r="A60" t="s">
        <v>5302</v>
      </c>
      <c r="B60" t="s">
        <v>5303</v>
      </c>
      <c r="C60" t="s">
        <v>4123</v>
      </c>
      <c r="D60" t="s">
        <v>5304</v>
      </c>
      <c r="E60" t="s">
        <v>4</v>
      </c>
      <c r="F60">
        <v>198</v>
      </c>
      <c r="G60">
        <v>191</v>
      </c>
      <c r="H60" t="s">
        <v>13</v>
      </c>
      <c r="I60" t="b">
        <f t="shared" si="0"/>
        <v>0</v>
      </c>
    </row>
    <row r="61" spans="1:9" x14ac:dyDescent="0.2">
      <c r="A61" t="s">
        <v>4377</v>
      </c>
      <c r="B61" t="s">
        <v>4378</v>
      </c>
      <c r="C61" t="s">
        <v>4379</v>
      </c>
      <c r="D61" t="s">
        <v>1772</v>
      </c>
      <c r="E61" t="s">
        <v>4</v>
      </c>
      <c r="F61">
        <v>1325</v>
      </c>
      <c r="G61">
        <v>971</v>
      </c>
      <c r="H61" t="s">
        <v>13</v>
      </c>
      <c r="I61" t="b">
        <f t="shared" si="0"/>
        <v>0</v>
      </c>
    </row>
    <row r="62" spans="1:9" x14ac:dyDescent="0.2">
      <c r="A62" t="s">
        <v>2943</v>
      </c>
      <c r="B62" t="s">
        <v>2944</v>
      </c>
      <c r="C62" t="s">
        <v>2945</v>
      </c>
      <c r="D62" t="s">
        <v>3</v>
      </c>
      <c r="E62" t="s">
        <v>4</v>
      </c>
      <c r="F62">
        <v>7781</v>
      </c>
      <c r="G62">
        <v>1365</v>
      </c>
      <c r="H62" t="s">
        <v>13</v>
      </c>
      <c r="I62" t="b">
        <f t="shared" si="0"/>
        <v>1</v>
      </c>
    </row>
    <row r="63" spans="1:9" x14ac:dyDescent="0.2">
      <c r="A63" t="s">
        <v>2963</v>
      </c>
      <c r="B63" t="s">
        <v>2964</v>
      </c>
      <c r="C63" t="s">
        <v>2945</v>
      </c>
      <c r="D63" t="s">
        <v>3</v>
      </c>
      <c r="E63" t="s">
        <v>4</v>
      </c>
      <c r="F63">
        <v>7781</v>
      </c>
      <c r="G63">
        <v>1365</v>
      </c>
      <c r="H63" t="s">
        <v>13</v>
      </c>
      <c r="I63" t="b">
        <f t="shared" si="0"/>
        <v>0</v>
      </c>
    </row>
    <row r="64" spans="1:9" x14ac:dyDescent="0.2">
      <c r="A64" t="s">
        <v>4936</v>
      </c>
      <c r="B64" t="s">
        <v>4937</v>
      </c>
      <c r="C64" t="s">
        <v>627</v>
      </c>
      <c r="D64" t="s">
        <v>4938</v>
      </c>
      <c r="E64" t="s">
        <v>4</v>
      </c>
      <c r="F64">
        <v>2280</v>
      </c>
      <c r="G64">
        <v>1389</v>
      </c>
      <c r="H64" t="s">
        <v>13</v>
      </c>
      <c r="I64" t="b">
        <f t="shared" si="0"/>
        <v>0</v>
      </c>
    </row>
    <row r="65" spans="1:9" x14ac:dyDescent="0.2">
      <c r="A65" t="s">
        <v>6056</v>
      </c>
      <c r="B65" t="s">
        <v>6057</v>
      </c>
      <c r="C65" t="s">
        <v>740</v>
      </c>
      <c r="D65" t="s">
        <v>64</v>
      </c>
      <c r="E65" t="s">
        <v>4</v>
      </c>
      <c r="F65">
        <v>169</v>
      </c>
      <c r="G65">
        <v>52</v>
      </c>
      <c r="H65" t="s">
        <v>13</v>
      </c>
      <c r="I65" t="b">
        <f t="shared" si="0"/>
        <v>0</v>
      </c>
    </row>
    <row r="66" spans="1:9" x14ac:dyDescent="0.2">
      <c r="A66" t="s">
        <v>556</v>
      </c>
      <c r="B66" t="s">
        <v>557</v>
      </c>
      <c r="C66" t="s">
        <v>558</v>
      </c>
      <c r="D66" t="s">
        <v>3</v>
      </c>
      <c r="E66" t="s">
        <v>4</v>
      </c>
      <c r="F66">
        <v>236</v>
      </c>
      <c r="G66">
        <v>2</v>
      </c>
      <c r="H66" t="s">
        <v>13</v>
      </c>
      <c r="I66" t="b">
        <f t="shared" si="0"/>
        <v>1</v>
      </c>
    </row>
    <row r="67" spans="1:9" x14ac:dyDescent="0.2">
      <c r="A67" t="s">
        <v>1175</v>
      </c>
      <c r="B67" t="s">
        <v>1176</v>
      </c>
      <c r="C67" t="s">
        <v>558</v>
      </c>
      <c r="D67" t="s">
        <v>3</v>
      </c>
      <c r="E67" t="s">
        <v>4</v>
      </c>
      <c r="F67">
        <v>236</v>
      </c>
      <c r="G67">
        <v>2</v>
      </c>
      <c r="H67" t="s">
        <v>13</v>
      </c>
      <c r="I67" t="b">
        <f t="shared" ref="I67:I130" si="1">isDup(B67, B68, 0.7)</f>
        <v>1</v>
      </c>
    </row>
    <row r="68" spans="1:9" x14ac:dyDescent="0.2">
      <c r="A68" t="s">
        <v>4970</v>
      </c>
      <c r="B68" t="s">
        <v>4971</v>
      </c>
      <c r="C68" t="s">
        <v>558</v>
      </c>
      <c r="D68" t="s">
        <v>3</v>
      </c>
      <c r="E68" t="s">
        <v>4</v>
      </c>
      <c r="F68">
        <v>236</v>
      </c>
      <c r="G68">
        <v>2</v>
      </c>
      <c r="H68" t="s">
        <v>13</v>
      </c>
      <c r="I68" t="b">
        <f t="shared" si="1"/>
        <v>1</v>
      </c>
    </row>
    <row r="69" spans="1:9" x14ac:dyDescent="0.2">
      <c r="A69" t="s">
        <v>1915</v>
      </c>
      <c r="B69" t="s">
        <v>1916</v>
      </c>
      <c r="C69" t="s">
        <v>558</v>
      </c>
      <c r="D69" t="s">
        <v>3</v>
      </c>
      <c r="E69" t="s">
        <v>4</v>
      </c>
      <c r="F69">
        <v>236</v>
      </c>
      <c r="G69">
        <v>2</v>
      </c>
      <c r="H69" t="s">
        <v>13</v>
      </c>
      <c r="I69" t="b">
        <f t="shared" si="1"/>
        <v>1</v>
      </c>
    </row>
    <row r="70" spans="1:9" x14ac:dyDescent="0.2">
      <c r="A70" t="s">
        <v>3495</v>
      </c>
      <c r="B70" t="s">
        <v>3496</v>
      </c>
      <c r="C70" t="s">
        <v>558</v>
      </c>
      <c r="D70" t="s">
        <v>3</v>
      </c>
      <c r="E70" t="s">
        <v>4</v>
      </c>
      <c r="F70">
        <v>236</v>
      </c>
      <c r="G70">
        <v>2</v>
      </c>
      <c r="H70" t="s">
        <v>13</v>
      </c>
      <c r="I70" t="b">
        <f t="shared" si="1"/>
        <v>1</v>
      </c>
    </row>
    <row r="71" spans="1:9" x14ac:dyDescent="0.2">
      <c r="A71" t="s">
        <v>4251</v>
      </c>
      <c r="B71" t="s">
        <v>4252</v>
      </c>
      <c r="C71" t="s">
        <v>558</v>
      </c>
      <c r="D71" t="s">
        <v>3</v>
      </c>
      <c r="E71" t="s">
        <v>4</v>
      </c>
      <c r="F71">
        <v>236</v>
      </c>
      <c r="G71">
        <v>2</v>
      </c>
      <c r="H71" t="s">
        <v>13</v>
      </c>
      <c r="I71" t="b">
        <f t="shared" si="1"/>
        <v>1</v>
      </c>
    </row>
    <row r="72" spans="1:9" x14ac:dyDescent="0.2">
      <c r="A72" t="s">
        <v>5609</v>
      </c>
      <c r="B72" t="s">
        <v>5610</v>
      </c>
      <c r="C72" t="s">
        <v>558</v>
      </c>
      <c r="D72" t="s">
        <v>3</v>
      </c>
      <c r="E72" t="s">
        <v>4</v>
      </c>
      <c r="F72">
        <v>236</v>
      </c>
      <c r="G72">
        <v>2</v>
      </c>
      <c r="H72" t="s">
        <v>13</v>
      </c>
      <c r="I72" t="b">
        <f t="shared" si="1"/>
        <v>1</v>
      </c>
    </row>
    <row r="73" spans="1:9" x14ac:dyDescent="0.2">
      <c r="A73" t="s">
        <v>7048</v>
      </c>
      <c r="B73" t="s">
        <v>7050</v>
      </c>
      <c r="C73" t="s">
        <v>558</v>
      </c>
      <c r="D73" t="s">
        <v>3</v>
      </c>
      <c r="E73" t="s">
        <v>4</v>
      </c>
      <c r="F73">
        <v>235</v>
      </c>
      <c r="G73">
        <v>2</v>
      </c>
      <c r="H73" t="s">
        <v>13</v>
      </c>
      <c r="I73" t="b">
        <f t="shared" si="1"/>
        <v>1</v>
      </c>
    </row>
    <row r="74" spans="1:9" x14ac:dyDescent="0.2">
      <c r="A74" t="s">
        <v>2667</v>
      </c>
      <c r="B74" t="s">
        <v>2669</v>
      </c>
      <c r="C74" t="s">
        <v>558</v>
      </c>
      <c r="D74" t="s">
        <v>3</v>
      </c>
      <c r="E74" t="s">
        <v>4</v>
      </c>
      <c r="F74">
        <v>236</v>
      </c>
      <c r="G74">
        <v>2</v>
      </c>
      <c r="H74" t="s">
        <v>13</v>
      </c>
      <c r="I74" t="b">
        <f t="shared" si="1"/>
        <v>0</v>
      </c>
    </row>
    <row r="75" spans="1:9" x14ac:dyDescent="0.2">
      <c r="A75" t="s">
        <v>1433</v>
      </c>
      <c r="B75" t="s">
        <v>1434</v>
      </c>
      <c r="C75" t="s">
        <v>1435</v>
      </c>
      <c r="D75" t="s">
        <v>101</v>
      </c>
      <c r="E75" t="s">
        <v>4</v>
      </c>
      <c r="F75">
        <v>2470</v>
      </c>
      <c r="G75">
        <v>2387</v>
      </c>
      <c r="H75" t="s">
        <v>5</v>
      </c>
      <c r="I75" t="b">
        <f t="shared" si="1"/>
        <v>0</v>
      </c>
    </row>
    <row r="76" spans="1:9" x14ac:dyDescent="0.2">
      <c r="A76" t="s">
        <v>2281</v>
      </c>
      <c r="B76" t="s">
        <v>2282</v>
      </c>
      <c r="C76" t="s">
        <v>740</v>
      </c>
      <c r="D76" t="s">
        <v>64</v>
      </c>
      <c r="E76" t="s">
        <v>4</v>
      </c>
      <c r="F76">
        <v>168</v>
      </c>
      <c r="G76">
        <v>52</v>
      </c>
      <c r="H76" t="s">
        <v>13</v>
      </c>
      <c r="I76" t="b">
        <f t="shared" si="1"/>
        <v>0</v>
      </c>
    </row>
    <row r="77" spans="1:9" x14ac:dyDescent="0.2">
      <c r="A77" t="s">
        <v>3939</v>
      </c>
      <c r="B77" t="s">
        <v>3940</v>
      </c>
      <c r="C77" t="s">
        <v>740</v>
      </c>
      <c r="D77" t="s">
        <v>64</v>
      </c>
      <c r="E77" t="s">
        <v>4</v>
      </c>
      <c r="F77">
        <v>168</v>
      </c>
      <c r="G77">
        <v>52</v>
      </c>
      <c r="H77" t="s">
        <v>13</v>
      </c>
      <c r="I77" t="b">
        <f t="shared" si="1"/>
        <v>0</v>
      </c>
    </row>
    <row r="78" spans="1:9" x14ac:dyDescent="0.2">
      <c r="A78" t="s">
        <v>4007</v>
      </c>
      <c r="B78" t="s">
        <v>4008</v>
      </c>
      <c r="C78" t="s">
        <v>740</v>
      </c>
      <c r="D78" t="s">
        <v>64</v>
      </c>
      <c r="E78" t="s">
        <v>4</v>
      </c>
      <c r="F78">
        <v>168</v>
      </c>
      <c r="G78">
        <v>52</v>
      </c>
      <c r="H78" t="s">
        <v>13</v>
      </c>
      <c r="I78" t="b">
        <f t="shared" si="1"/>
        <v>0</v>
      </c>
    </row>
    <row r="79" spans="1:9" x14ac:dyDescent="0.2">
      <c r="A79" t="s">
        <v>2357</v>
      </c>
      <c r="B79" t="s">
        <v>2358</v>
      </c>
      <c r="C79" t="s">
        <v>740</v>
      </c>
      <c r="D79" t="s">
        <v>64</v>
      </c>
      <c r="E79" t="s">
        <v>4</v>
      </c>
      <c r="F79">
        <v>168</v>
      </c>
      <c r="G79">
        <v>52</v>
      </c>
      <c r="H79" t="s">
        <v>13</v>
      </c>
      <c r="I79" t="b">
        <f t="shared" si="1"/>
        <v>0</v>
      </c>
    </row>
    <row r="80" spans="1:9" x14ac:dyDescent="0.2">
      <c r="A80" t="s">
        <v>4034</v>
      </c>
      <c r="B80" t="s">
        <v>4035</v>
      </c>
      <c r="C80" t="s">
        <v>740</v>
      </c>
      <c r="D80" t="s">
        <v>64</v>
      </c>
      <c r="E80" t="s">
        <v>4</v>
      </c>
      <c r="F80">
        <v>168</v>
      </c>
      <c r="G80">
        <v>52</v>
      </c>
      <c r="H80" t="s">
        <v>13</v>
      </c>
      <c r="I80" t="b">
        <f t="shared" si="1"/>
        <v>0</v>
      </c>
    </row>
    <row r="81" spans="1:9" x14ac:dyDescent="0.2">
      <c r="A81" t="s">
        <v>623</v>
      </c>
      <c r="B81" t="s">
        <v>624</v>
      </c>
      <c r="C81" t="s">
        <v>395</v>
      </c>
      <c r="D81" t="s">
        <v>396</v>
      </c>
      <c r="E81" t="s">
        <v>4</v>
      </c>
      <c r="F81">
        <v>48</v>
      </c>
      <c r="G81">
        <v>230</v>
      </c>
      <c r="H81" t="s">
        <v>13</v>
      </c>
      <c r="I81" t="b">
        <f t="shared" si="1"/>
        <v>0</v>
      </c>
    </row>
    <row r="82" spans="1:9" x14ac:dyDescent="0.2">
      <c r="A82" t="s">
        <v>6086</v>
      </c>
      <c r="B82" t="s">
        <v>6087</v>
      </c>
      <c r="C82" t="s">
        <v>5636</v>
      </c>
      <c r="D82" t="s">
        <v>3</v>
      </c>
      <c r="E82" t="s">
        <v>4</v>
      </c>
      <c r="F82">
        <v>87054</v>
      </c>
      <c r="G82">
        <v>83388</v>
      </c>
      <c r="H82" t="s">
        <v>13</v>
      </c>
      <c r="I82" t="b">
        <f t="shared" si="1"/>
        <v>0</v>
      </c>
    </row>
    <row r="83" spans="1:9" x14ac:dyDescent="0.2">
      <c r="A83" t="s">
        <v>7037</v>
      </c>
      <c r="B83" t="s">
        <v>7038</v>
      </c>
      <c r="C83" t="s">
        <v>1862</v>
      </c>
      <c r="D83" t="s">
        <v>7039</v>
      </c>
      <c r="E83" t="s">
        <v>4</v>
      </c>
      <c r="F83">
        <v>21202</v>
      </c>
      <c r="G83">
        <v>399</v>
      </c>
      <c r="H83" t="s">
        <v>13</v>
      </c>
      <c r="I83" t="b">
        <f t="shared" si="1"/>
        <v>0</v>
      </c>
    </row>
    <row r="84" spans="1:9" x14ac:dyDescent="0.2">
      <c r="A84" t="s">
        <v>2015</v>
      </c>
      <c r="B84" t="s">
        <v>2016</v>
      </c>
      <c r="C84" t="s">
        <v>1116</v>
      </c>
      <c r="D84" t="s">
        <v>2017</v>
      </c>
      <c r="E84" t="s">
        <v>4</v>
      </c>
      <c r="F84">
        <v>1605</v>
      </c>
      <c r="G84">
        <v>288</v>
      </c>
      <c r="H84" t="s">
        <v>13</v>
      </c>
      <c r="I84" t="b">
        <f t="shared" si="1"/>
        <v>0</v>
      </c>
    </row>
    <row r="85" spans="1:9" x14ac:dyDescent="0.2">
      <c r="A85" t="s">
        <v>1789</v>
      </c>
      <c r="B85" t="s">
        <v>1790</v>
      </c>
      <c r="C85" t="s">
        <v>275</v>
      </c>
      <c r="D85" t="s">
        <v>3</v>
      </c>
      <c r="E85" t="s">
        <v>4</v>
      </c>
      <c r="F85">
        <v>30114</v>
      </c>
      <c r="G85">
        <v>981</v>
      </c>
      <c r="H85" t="s">
        <v>50</v>
      </c>
      <c r="I85" t="b">
        <f t="shared" si="1"/>
        <v>0</v>
      </c>
    </row>
    <row r="86" spans="1:9" x14ac:dyDescent="0.2">
      <c r="A86" t="s">
        <v>1357</v>
      </c>
      <c r="B86" t="s">
        <v>1358</v>
      </c>
      <c r="C86" t="s">
        <v>1359</v>
      </c>
      <c r="D86" t="s">
        <v>1360</v>
      </c>
      <c r="E86" t="s">
        <v>4</v>
      </c>
      <c r="F86">
        <v>1394</v>
      </c>
      <c r="G86">
        <v>2271</v>
      </c>
      <c r="H86" t="s">
        <v>13</v>
      </c>
      <c r="I86" t="b">
        <f t="shared" si="1"/>
        <v>0</v>
      </c>
    </row>
    <row r="87" spans="1:9" x14ac:dyDescent="0.2">
      <c r="A87" t="s">
        <v>3257</v>
      </c>
      <c r="B87" t="s">
        <v>3258</v>
      </c>
      <c r="C87" t="s">
        <v>2646</v>
      </c>
      <c r="D87" t="s">
        <v>2647</v>
      </c>
      <c r="E87" t="s">
        <v>4</v>
      </c>
      <c r="F87">
        <v>313</v>
      </c>
      <c r="G87">
        <v>182</v>
      </c>
      <c r="H87" t="s">
        <v>13</v>
      </c>
      <c r="I87" t="b">
        <f t="shared" si="1"/>
        <v>0</v>
      </c>
    </row>
    <row r="88" spans="1:9" x14ac:dyDescent="0.2">
      <c r="A88" t="s">
        <v>5889</v>
      </c>
      <c r="B88" t="s">
        <v>5890</v>
      </c>
      <c r="C88" t="s">
        <v>5891</v>
      </c>
      <c r="D88" t="s">
        <v>5892</v>
      </c>
      <c r="E88" t="s">
        <v>4</v>
      </c>
      <c r="F88">
        <v>169</v>
      </c>
      <c r="G88">
        <v>80</v>
      </c>
      <c r="H88" t="s">
        <v>13</v>
      </c>
      <c r="I88" t="b">
        <f t="shared" si="1"/>
        <v>0</v>
      </c>
    </row>
    <row r="89" spans="1:9" x14ac:dyDescent="0.2">
      <c r="A89" t="s">
        <v>518</v>
      </c>
      <c r="B89" t="s">
        <v>519</v>
      </c>
      <c r="C89" t="s">
        <v>520</v>
      </c>
      <c r="D89" t="s">
        <v>3</v>
      </c>
      <c r="E89" t="s">
        <v>4</v>
      </c>
      <c r="F89">
        <v>833</v>
      </c>
      <c r="G89">
        <v>1</v>
      </c>
      <c r="H89" t="s">
        <v>13</v>
      </c>
      <c r="I89" t="b">
        <f t="shared" si="1"/>
        <v>0</v>
      </c>
    </row>
    <row r="90" spans="1:9" x14ac:dyDescent="0.2">
      <c r="A90" t="s">
        <v>3975</v>
      </c>
      <c r="B90" t="s">
        <v>3976</v>
      </c>
      <c r="C90" t="s">
        <v>2537</v>
      </c>
      <c r="D90" t="s">
        <v>21</v>
      </c>
      <c r="E90" t="s">
        <v>4</v>
      </c>
      <c r="F90">
        <v>227</v>
      </c>
      <c r="G90">
        <v>454</v>
      </c>
      <c r="H90" t="s">
        <v>86</v>
      </c>
      <c r="I90" t="b">
        <f t="shared" si="1"/>
        <v>0</v>
      </c>
    </row>
    <row r="91" spans="1:9" x14ac:dyDescent="0.2">
      <c r="A91" t="s">
        <v>6173</v>
      </c>
      <c r="B91" t="s">
        <v>6174</v>
      </c>
      <c r="C91" t="s">
        <v>752</v>
      </c>
      <c r="D91" t="s">
        <v>753</v>
      </c>
      <c r="E91" t="s">
        <v>4</v>
      </c>
      <c r="F91">
        <v>3059</v>
      </c>
      <c r="G91">
        <v>983</v>
      </c>
      <c r="H91" t="s">
        <v>13</v>
      </c>
      <c r="I91" t="b">
        <f t="shared" si="1"/>
        <v>1</v>
      </c>
    </row>
    <row r="92" spans="1:9" x14ac:dyDescent="0.2">
      <c r="A92" t="s">
        <v>7206</v>
      </c>
      <c r="B92" t="s">
        <v>7207</v>
      </c>
      <c r="C92" t="s">
        <v>752</v>
      </c>
      <c r="D92" t="s">
        <v>753</v>
      </c>
      <c r="E92" t="s">
        <v>4</v>
      </c>
      <c r="F92">
        <v>3058</v>
      </c>
      <c r="G92">
        <v>983</v>
      </c>
      <c r="H92" t="s">
        <v>13</v>
      </c>
      <c r="I92" t="b">
        <f t="shared" si="1"/>
        <v>1</v>
      </c>
    </row>
    <row r="93" spans="1:9" x14ac:dyDescent="0.2">
      <c r="A93" t="s">
        <v>750</v>
      </c>
      <c r="B93" t="s">
        <v>751</v>
      </c>
      <c r="C93" t="s">
        <v>752</v>
      </c>
      <c r="D93" t="s">
        <v>753</v>
      </c>
      <c r="E93" t="s">
        <v>4</v>
      </c>
      <c r="F93">
        <v>3058</v>
      </c>
      <c r="G93">
        <v>983</v>
      </c>
      <c r="H93" t="s">
        <v>13</v>
      </c>
      <c r="I93" t="b">
        <f t="shared" si="1"/>
        <v>0</v>
      </c>
    </row>
    <row r="94" spans="1:9" x14ac:dyDescent="0.2">
      <c r="A94" t="s">
        <v>5780</v>
      </c>
      <c r="B94" t="s">
        <v>5781</v>
      </c>
      <c r="C94" t="s">
        <v>5782</v>
      </c>
      <c r="D94" t="s">
        <v>1740</v>
      </c>
      <c r="E94" t="s">
        <v>4</v>
      </c>
      <c r="F94">
        <v>60</v>
      </c>
      <c r="G94">
        <v>153</v>
      </c>
      <c r="H94" t="s">
        <v>13</v>
      </c>
      <c r="I94" t="b">
        <f t="shared" si="1"/>
        <v>0</v>
      </c>
    </row>
    <row r="95" spans="1:9" x14ac:dyDescent="0.2">
      <c r="A95" t="s">
        <v>4493</v>
      </c>
      <c r="B95" t="s">
        <v>4494</v>
      </c>
      <c r="C95" t="s">
        <v>4495</v>
      </c>
      <c r="D95" t="s">
        <v>3</v>
      </c>
      <c r="E95" t="s">
        <v>4</v>
      </c>
      <c r="F95">
        <v>89</v>
      </c>
      <c r="G95">
        <v>60</v>
      </c>
      <c r="H95" t="s">
        <v>13</v>
      </c>
      <c r="I95" t="b">
        <f t="shared" si="1"/>
        <v>0</v>
      </c>
    </row>
    <row r="96" spans="1:9" x14ac:dyDescent="0.2">
      <c r="A96" t="s">
        <v>4532</v>
      </c>
      <c r="B96" t="s">
        <v>4535</v>
      </c>
      <c r="C96" t="s">
        <v>764</v>
      </c>
      <c r="D96" t="s">
        <v>4536</v>
      </c>
      <c r="E96" t="s">
        <v>4</v>
      </c>
      <c r="F96">
        <v>123</v>
      </c>
      <c r="G96">
        <v>0</v>
      </c>
      <c r="H96" t="s">
        <v>13</v>
      </c>
      <c r="I96" t="b">
        <f t="shared" si="1"/>
        <v>0</v>
      </c>
    </row>
    <row r="97" spans="1:9" x14ac:dyDescent="0.2">
      <c r="A97" t="s">
        <v>3086</v>
      </c>
      <c r="B97" t="s">
        <v>3087</v>
      </c>
      <c r="C97" t="s">
        <v>3088</v>
      </c>
      <c r="D97" t="s">
        <v>3</v>
      </c>
      <c r="E97" t="s">
        <v>4</v>
      </c>
      <c r="F97">
        <v>22</v>
      </c>
      <c r="G97">
        <v>116</v>
      </c>
      <c r="H97" t="s">
        <v>13</v>
      </c>
      <c r="I97" t="b">
        <f t="shared" si="1"/>
        <v>0</v>
      </c>
    </row>
    <row r="98" spans="1:9" x14ac:dyDescent="0.2">
      <c r="A98" t="s">
        <v>4557</v>
      </c>
      <c r="B98" t="s">
        <v>4558</v>
      </c>
      <c r="C98" t="s">
        <v>4559</v>
      </c>
      <c r="D98" t="s">
        <v>4560</v>
      </c>
      <c r="E98" t="s">
        <v>4</v>
      </c>
      <c r="F98">
        <v>2058</v>
      </c>
      <c r="G98">
        <v>503</v>
      </c>
      <c r="H98" t="s">
        <v>13</v>
      </c>
      <c r="I98" t="b">
        <f t="shared" si="1"/>
        <v>0</v>
      </c>
    </row>
    <row r="99" spans="1:9" x14ac:dyDescent="0.2">
      <c r="A99" t="s">
        <v>4532</v>
      </c>
      <c r="B99" t="s">
        <v>4533</v>
      </c>
      <c r="C99" t="s">
        <v>4534</v>
      </c>
      <c r="D99" t="s">
        <v>3</v>
      </c>
      <c r="E99" t="s">
        <v>4</v>
      </c>
      <c r="F99">
        <v>104</v>
      </c>
      <c r="G99">
        <v>78</v>
      </c>
      <c r="H99" t="s">
        <v>374</v>
      </c>
      <c r="I99" t="b">
        <f t="shared" si="1"/>
        <v>0</v>
      </c>
    </row>
    <row r="100" spans="1:9" x14ac:dyDescent="0.2">
      <c r="A100" t="s">
        <v>4972</v>
      </c>
      <c r="B100" t="s">
        <v>4973</v>
      </c>
      <c r="C100" t="s">
        <v>4974</v>
      </c>
      <c r="D100" t="s">
        <v>4975</v>
      </c>
      <c r="E100" t="s">
        <v>4</v>
      </c>
      <c r="F100">
        <v>1721</v>
      </c>
      <c r="G100">
        <v>1117</v>
      </c>
      <c r="H100" t="s">
        <v>13</v>
      </c>
      <c r="I100" t="b">
        <f t="shared" si="1"/>
        <v>0</v>
      </c>
    </row>
    <row r="101" spans="1:9" x14ac:dyDescent="0.2">
      <c r="A101" t="s">
        <v>684</v>
      </c>
      <c r="B101" t="s">
        <v>685</v>
      </c>
      <c r="C101" t="s">
        <v>686</v>
      </c>
      <c r="D101" t="s">
        <v>3</v>
      </c>
      <c r="E101" t="s">
        <v>4</v>
      </c>
      <c r="F101">
        <v>4</v>
      </c>
      <c r="G101">
        <v>19</v>
      </c>
      <c r="H101" t="s">
        <v>5</v>
      </c>
      <c r="I101" t="b">
        <f t="shared" si="1"/>
        <v>0</v>
      </c>
    </row>
    <row r="102" spans="1:9" x14ac:dyDescent="0.2">
      <c r="A102" t="s">
        <v>987</v>
      </c>
      <c r="B102" t="s">
        <v>988</v>
      </c>
      <c r="C102" t="s">
        <v>989</v>
      </c>
      <c r="D102" t="s">
        <v>990</v>
      </c>
      <c r="E102" t="s">
        <v>4</v>
      </c>
      <c r="F102">
        <v>4942</v>
      </c>
      <c r="G102">
        <v>4840</v>
      </c>
      <c r="H102" t="s">
        <v>114</v>
      </c>
      <c r="I102" t="b">
        <f t="shared" si="1"/>
        <v>1</v>
      </c>
    </row>
    <row r="103" spans="1:9" x14ac:dyDescent="0.2">
      <c r="A103" t="s">
        <v>1120</v>
      </c>
      <c r="B103" t="s">
        <v>1121</v>
      </c>
      <c r="C103" t="s">
        <v>989</v>
      </c>
      <c r="D103" t="s">
        <v>990</v>
      </c>
      <c r="E103" t="s">
        <v>4</v>
      </c>
      <c r="F103">
        <v>4943</v>
      </c>
      <c r="G103">
        <v>4840</v>
      </c>
      <c r="H103" t="s">
        <v>114</v>
      </c>
      <c r="I103" t="b">
        <f t="shared" si="1"/>
        <v>1</v>
      </c>
    </row>
    <row r="104" spans="1:9" x14ac:dyDescent="0.2">
      <c r="A104" t="s">
        <v>1773</v>
      </c>
      <c r="B104" t="s">
        <v>1774</v>
      </c>
      <c r="C104" t="s">
        <v>989</v>
      </c>
      <c r="D104" t="s">
        <v>990</v>
      </c>
      <c r="E104" t="s">
        <v>4</v>
      </c>
      <c r="F104">
        <v>4945</v>
      </c>
      <c r="G104">
        <v>4841</v>
      </c>
      <c r="H104" t="s">
        <v>114</v>
      </c>
      <c r="I104" t="b">
        <f t="shared" si="1"/>
        <v>1</v>
      </c>
    </row>
    <row r="105" spans="1:9" x14ac:dyDescent="0.2">
      <c r="A105" t="s">
        <v>3186</v>
      </c>
      <c r="B105" t="s">
        <v>3187</v>
      </c>
      <c r="C105" t="s">
        <v>989</v>
      </c>
      <c r="D105" t="s">
        <v>990</v>
      </c>
      <c r="E105" t="s">
        <v>4</v>
      </c>
      <c r="F105">
        <v>4945</v>
      </c>
      <c r="G105">
        <v>4842</v>
      </c>
      <c r="H105" t="s">
        <v>114</v>
      </c>
      <c r="I105" t="b">
        <f t="shared" si="1"/>
        <v>1</v>
      </c>
    </row>
    <row r="106" spans="1:9" x14ac:dyDescent="0.2">
      <c r="A106" t="s">
        <v>3822</v>
      </c>
      <c r="B106" t="s">
        <v>3823</v>
      </c>
      <c r="C106" t="s">
        <v>3588</v>
      </c>
      <c r="D106" t="s">
        <v>3824</v>
      </c>
      <c r="E106" t="s">
        <v>4</v>
      </c>
      <c r="F106">
        <v>1029</v>
      </c>
      <c r="G106">
        <v>851</v>
      </c>
      <c r="H106" t="s">
        <v>50</v>
      </c>
      <c r="I106" t="b">
        <f t="shared" si="1"/>
        <v>1</v>
      </c>
    </row>
    <row r="107" spans="1:9" x14ac:dyDescent="0.2">
      <c r="A107" t="s">
        <v>577</v>
      </c>
      <c r="B107" t="s">
        <v>580</v>
      </c>
      <c r="C107" t="s">
        <v>581</v>
      </c>
      <c r="D107" t="s">
        <v>582</v>
      </c>
      <c r="E107" t="s">
        <v>4</v>
      </c>
      <c r="F107">
        <v>11598</v>
      </c>
      <c r="G107">
        <v>1531</v>
      </c>
      <c r="H107" t="s">
        <v>50</v>
      </c>
      <c r="I107" t="b">
        <f t="shared" si="1"/>
        <v>1</v>
      </c>
    </row>
    <row r="108" spans="1:9" x14ac:dyDescent="0.2">
      <c r="A108" t="s">
        <v>1702</v>
      </c>
      <c r="B108" t="s">
        <v>1703</v>
      </c>
      <c r="C108" t="s">
        <v>581</v>
      </c>
      <c r="D108" t="s">
        <v>582</v>
      </c>
      <c r="E108" t="s">
        <v>4</v>
      </c>
      <c r="F108">
        <v>11598</v>
      </c>
      <c r="G108">
        <v>1531</v>
      </c>
      <c r="H108" t="s">
        <v>50</v>
      </c>
      <c r="I108" t="b">
        <f t="shared" si="1"/>
        <v>1</v>
      </c>
    </row>
    <row r="109" spans="1:9" x14ac:dyDescent="0.2">
      <c r="A109" t="s">
        <v>2226</v>
      </c>
      <c r="B109" t="s">
        <v>2227</v>
      </c>
      <c r="C109" t="s">
        <v>581</v>
      </c>
      <c r="D109" t="s">
        <v>582</v>
      </c>
      <c r="E109" t="s">
        <v>4</v>
      </c>
      <c r="F109">
        <v>11598</v>
      </c>
      <c r="G109">
        <v>1532</v>
      </c>
      <c r="H109" t="s">
        <v>50</v>
      </c>
      <c r="I109" t="b">
        <f t="shared" si="1"/>
        <v>1</v>
      </c>
    </row>
    <row r="110" spans="1:9" x14ac:dyDescent="0.2">
      <c r="A110" t="s">
        <v>2711</v>
      </c>
      <c r="B110" t="s">
        <v>2712</v>
      </c>
      <c r="C110" t="s">
        <v>581</v>
      </c>
      <c r="D110" t="s">
        <v>582</v>
      </c>
      <c r="E110" t="s">
        <v>4</v>
      </c>
      <c r="F110">
        <v>11596</v>
      </c>
      <c r="G110">
        <v>1532</v>
      </c>
      <c r="H110" t="s">
        <v>50</v>
      </c>
      <c r="I110" t="b">
        <f t="shared" si="1"/>
        <v>1</v>
      </c>
    </row>
    <row r="111" spans="1:9" x14ac:dyDescent="0.2">
      <c r="A111" t="s">
        <v>6661</v>
      </c>
      <c r="B111" t="s">
        <v>6662</v>
      </c>
      <c r="C111" t="s">
        <v>581</v>
      </c>
      <c r="D111" t="s">
        <v>582</v>
      </c>
      <c r="E111" t="s">
        <v>4</v>
      </c>
      <c r="F111">
        <v>11598</v>
      </c>
      <c r="G111">
        <v>1533</v>
      </c>
      <c r="H111" t="s">
        <v>50</v>
      </c>
      <c r="I111" t="b">
        <f t="shared" si="1"/>
        <v>0</v>
      </c>
    </row>
    <row r="112" spans="1:9" x14ac:dyDescent="0.2">
      <c r="A112" t="s">
        <v>2718</v>
      </c>
      <c r="B112" t="s">
        <v>2719</v>
      </c>
      <c r="C112" t="s">
        <v>962</v>
      </c>
      <c r="D112" t="s">
        <v>2720</v>
      </c>
      <c r="E112" t="s">
        <v>4</v>
      </c>
      <c r="F112">
        <v>87083</v>
      </c>
      <c r="G112">
        <v>386</v>
      </c>
      <c r="H112" t="s">
        <v>363</v>
      </c>
      <c r="I112" t="b">
        <f t="shared" si="1"/>
        <v>0</v>
      </c>
    </row>
    <row r="113" spans="1:9" x14ac:dyDescent="0.2">
      <c r="A113" t="s">
        <v>1284</v>
      </c>
      <c r="B113" t="s">
        <v>1285</v>
      </c>
      <c r="C113" t="s">
        <v>487</v>
      </c>
      <c r="D113" t="s">
        <v>488</v>
      </c>
      <c r="E113" t="s">
        <v>4</v>
      </c>
      <c r="F113">
        <v>1899</v>
      </c>
      <c r="G113">
        <v>540</v>
      </c>
      <c r="H113" t="s">
        <v>13</v>
      </c>
      <c r="I113" t="b">
        <f t="shared" si="1"/>
        <v>1</v>
      </c>
    </row>
    <row r="114" spans="1:9" x14ac:dyDescent="0.2">
      <c r="A114" t="s">
        <v>2029</v>
      </c>
      <c r="B114" t="s">
        <v>2030</v>
      </c>
      <c r="C114" t="s">
        <v>487</v>
      </c>
      <c r="D114" t="s">
        <v>488</v>
      </c>
      <c r="E114" t="s">
        <v>4</v>
      </c>
      <c r="F114">
        <v>1899</v>
      </c>
      <c r="G114">
        <v>540</v>
      </c>
      <c r="H114" t="s">
        <v>13</v>
      </c>
      <c r="I114" t="b">
        <f t="shared" si="1"/>
        <v>1</v>
      </c>
    </row>
    <row r="115" spans="1:9" x14ac:dyDescent="0.2">
      <c r="A115" t="s">
        <v>6723</v>
      </c>
      <c r="B115" t="s">
        <v>6724</v>
      </c>
      <c r="C115" t="s">
        <v>487</v>
      </c>
      <c r="D115" t="s">
        <v>488</v>
      </c>
      <c r="E115" t="s">
        <v>4</v>
      </c>
      <c r="F115">
        <v>1896</v>
      </c>
      <c r="G115">
        <v>540</v>
      </c>
      <c r="H115" t="s">
        <v>13</v>
      </c>
      <c r="I115" t="b">
        <f t="shared" si="1"/>
        <v>0</v>
      </c>
    </row>
    <row r="116" spans="1:9" x14ac:dyDescent="0.2">
      <c r="A116" t="s">
        <v>1250</v>
      </c>
      <c r="B116" t="s">
        <v>1251</v>
      </c>
      <c r="C116" t="s">
        <v>2</v>
      </c>
      <c r="D116" t="s">
        <v>320</v>
      </c>
      <c r="E116" t="s">
        <v>4</v>
      </c>
      <c r="F116">
        <v>75</v>
      </c>
      <c r="G116">
        <v>163</v>
      </c>
      <c r="H116" t="s">
        <v>13</v>
      </c>
      <c r="I116" t="b">
        <f t="shared" si="1"/>
        <v>0</v>
      </c>
    </row>
    <row r="117" spans="1:9" x14ac:dyDescent="0.2">
      <c r="A117" t="s">
        <v>5808</v>
      </c>
      <c r="B117" t="s">
        <v>5809</v>
      </c>
      <c r="C117" t="s">
        <v>581</v>
      </c>
      <c r="D117" t="s">
        <v>582</v>
      </c>
      <c r="E117" t="s">
        <v>4</v>
      </c>
      <c r="F117">
        <v>11599</v>
      </c>
      <c r="G117">
        <v>1533</v>
      </c>
      <c r="H117" t="s">
        <v>50</v>
      </c>
      <c r="I117" t="b">
        <f t="shared" si="1"/>
        <v>1</v>
      </c>
    </row>
    <row r="118" spans="1:9" x14ac:dyDescent="0.2">
      <c r="A118" t="s">
        <v>6644</v>
      </c>
      <c r="B118" t="s">
        <v>6645</v>
      </c>
      <c r="C118" t="s">
        <v>581</v>
      </c>
      <c r="D118" t="s">
        <v>582</v>
      </c>
      <c r="E118" t="s">
        <v>4</v>
      </c>
      <c r="F118">
        <v>11598</v>
      </c>
      <c r="G118">
        <v>1533</v>
      </c>
      <c r="H118" t="s">
        <v>50</v>
      </c>
      <c r="I118" t="b">
        <f t="shared" si="1"/>
        <v>1</v>
      </c>
    </row>
    <row r="119" spans="1:9" x14ac:dyDescent="0.2">
      <c r="A119" t="s">
        <v>5446</v>
      </c>
      <c r="B119" t="s">
        <v>5447</v>
      </c>
      <c r="C119" t="s">
        <v>581</v>
      </c>
      <c r="D119" t="s">
        <v>582</v>
      </c>
      <c r="E119" t="s">
        <v>4</v>
      </c>
      <c r="F119">
        <v>11599</v>
      </c>
      <c r="G119">
        <v>1534</v>
      </c>
      <c r="H119" t="s">
        <v>50</v>
      </c>
      <c r="I119" t="b">
        <f t="shared" si="1"/>
        <v>0</v>
      </c>
    </row>
    <row r="120" spans="1:9" x14ac:dyDescent="0.2">
      <c r="A120" t="s">
        <v>6262</v>
      </c>
      <c r="B120" t="s">
        <v>6263</v>
      </c>
      <c r="C120" t="s">
        <v>2854</v>
      </c>
      <c r="D120" t="s">
        <v>6264</v>
      </c>
      <c r="E120" t="s">
        <v>4</v>
      </c>
      <c r="F120">
        <v>81</v>
      </c>
      <c r="G120">
        <v>256</v>
      </c>
      <c r="H120" t="s">
        <v>13</v>
      </c>
      <c r="I120" t="b">
        <f t="shared" si="1"/>
        <v>0</v>
      </c>
    </row>
    <row r="121" spans="1:9" x14ac:dyDescent="0.2">
      <c r="A121" t="s">
        <v>2049</v>
      </c>
      <c r="B121" t="s">
        <v>2050</v>
      </c>
      <c r="C121" t="s">
        <v>1991</v>
      </c>
      <c r="D121" t="s">
        <v>2051</v>
      </c>
      <c r="E121" t="s">
        <v>4</v>
      </c>
      <c r="F121">
        <v>387</v>
      </c>
      <c r="G121">
        <v>187</v>
      </c>
      <c r="H121" t="s">
        <v>13</v>
      </c>
      <c r="I121" t="b">
        <f t="shared" si="1"/>
        <v>0</v>
      </c>
    </row>
    <row r="122" spans="1:9" x14ac:dyDescent="0.2">
      <c r="A122" t="s">
        <v>2198</v>
      </c>
      <c r="B122" t="s">
        <v>2199</v>
      </c>
      <c r="C122" t="s">
        <v>2200</v>
      </c>
      <c r="D122" t="s">
        <v>2201</v>
      </c>
      <c r="E122" t="s">
        <v>4</v>
      </c>
      <c r="F122">
        <v>5</v>
      </c>
      <c r="G122">
        <v>46</v>
      </c>
      <c r="H122" t="s">
        <v>13</v>
      </c>
      <c r="I122" t="b">
        <f t="shared" si="1"/>
        <v>0</v>
      </c>
    </row>
    <row r="123" spans="1:9" x14ac:dyDescent="0.2">
      <c r="A123" t="s">
        <v>1039</v>
      </c>
      <c r="B123" t="s">
        <v>1040</v>
      </c>
      <c r="C123" t="s">
        <v>1041</v>
      </c>
      <c r="D123" t="s">
        <v>1042</v>
      </c>
      <c r="E123" t="s">
        <v>4</v>
      </c>
      <c r="F123">
        <v>235</v>
      </c>
      <c r="G123">
        <v>259</v>
      </c>
      <c r="H123" t="s">
        <v>13</v>
      </c>
      <c r="I123" t="b">
        <f t="shared" si="1"/>
        <v>0</v>
      </c>
    </row>
    <row r="124" spans="1:9" x14ac:dyDescent="0.2">
      <c r="A124" t="s">
        <v>5241</v>
      </c>
      <c r="B124" t="s">
        <v>5242</v>
      </c>
      <c r="C124" t="s">
        <v>3890</v>
      </c>
      <c r="D124" t="s">
        <v>3</v>
      </c>
      <c r="E124" t="s">
        <v>4</v>
      </c>
      <c r="F124">
        <v>102</v>
      </c>
      <c r="G124">
        <v>136</v>
      </c>
      <c r="H124" t="s">
        <v>13</v>
      </c>
      <c r="I124" t="b">
        <f t="shared" si="1"/>
        <v>0</v>
      </c>
    </row>
    <row r="125" spans="1:9" x14ac:dyDescent="0.2">
      <c r="A125" t="s">
        <v>4842</v>
      </c>
      <c r="B125" t="s">
        <v>4843</v>
      </c>
      <c r="C125" t="s">
        <v>4844</v>
      </c>
      <c r="D125" t="s">
        <v>320</v>
      </c>
      <c r="E125" t="s">
        <v>4</v>
      </c>
      <c r="F125">
        <v>15958</v>
      </c>
      <c r="G125">
        <v>14067</v>
      </c>
      <c r="H125" t="s">
        <v>13</v>
      </c>
      <c r="I125" t="b">
        <f t="shared" si="1"/>
        <v>0</v>
      </c>
    </row>
    <row r="126" spans="1:9" x14ac:dyDescent="0.2">
      <c r="A126" t="s">
        <v>5228</v>
      </c>
      <c r="B126" t="s">
        <v>5229</v>
      </c>
      <c r="C126" t="s">
        <v>230</v>
      </c>
      <c r="D126" t="s">
        <v>5230</v>
      </c>
      <c r="E126" t="s">
        <v>4</v>
      </c>
      <c r="F126">
        <v>163</v>
      </c>
      <c r="G126">
        <v>382</v>
      </c>
      <c r="H126" t="s">
        <v>13</v>
      </c>
      <c r="I126" t="b">
        <f t="shared" si="1"/>
        <v>0</v>
      </c>
    </row>
    <row r="127" spans="1:9" x14ac:dyDescent="0.2">
      <c r="A127" t="s">
        <v>5305</v>
      </c>
      <c r="B127" t="s">
        <v>5306</v>
      </c>
      <c r="C127" t="s">
        <v>2263</v>
      </c>
      <c r="D127" t="s">
        <v>3</v>
      </c>
      <c r="E127" t="s">
        <v>4</v>
      </c>
      <c r="F127">
        <v>12</v>
      </c>
      <c r="G127">
        <v>161</v>
      </c>
      <c r="H127" t="s">
        <v>50</v>
      </c>
      <c r="I127" t="b">
        <f t="shared" si="1"/>
        <v>1</v>
      </c>
    </row>
    <row r="128" spans="1:9" x14ac:dyDescent="0.2">
      <c r="A128" t="s">
        <v>2185</v>
      </c>
      <c r="B128" t="s">
        <v>2186</v>
      </c>
      <c r="C128" t="s">
        <v>2187</v>
      </c>
      <c r="D128" t="s">
        <v>2188</v>
      </c>
      <c r="E128" t="s">
        <v>4</v>
      </c>
      <c r="F128">
        <v>1792</v>
      </c>
      <c r="G128">
        <v>1251</v>
      </c>
      <c r="H128" t="s">
        <v>13</v>
      </c>
      <c r="I128" t="b">
        <f t="shared" si="1"/>
        <v>0</v>
      </c>
    </row>
    <row r="129" spans="1:9" x14ac:dyDescent="0.2">
      <c r="A129" t="s">
        <v>2820</v>
      </c>
      <c r="B129" t="s">
        <v>2821</v>
      </c>
      <c r="C129" t="s">
        <v>611</v>
      </c>
      <c r="D129" t="s">
        <v>1077</v>
      </c>
      <c r="E129" t="s">
        <v>4</v>
      </c>
      <c r="F129">
        <v>4</v>
      </c>
      <c r="G129">
        <v>107</v>
      </c>
      <c r="H129" t="s">
        <v>645</v>
      </c>
      <c r="I129" t="b">
        <f t="shared" si="1"/>
        <v>0</v>
      </c>
    </row>
    <row r="130" spans="1:9" x14ac:dyDescent="0.2">
      <c r="A130" t="s">
        <v>664</v>
      </c>
      <c r="B130" t="s">
        <v>665</v>
      </c>
      <c r="C130" t="s">
        <v>579</v>
      </c>
      <c r="D130" t="s">
        <v>3</v>
      </c>
      <c r="E130" t="s">
        <v>4</v>
      </c>
      <c r="F130">
        <v>5570</v>
      </c>
      <c r="G130">
        <v>906</v>
      </c>
      <c r="H130" t="s">
        <v>13</v>
      </c>
      <c r="I130" t="b">
        <f t="shared" si="1"/>
        <v>0</v>
      </c>
    </row>
    <row r="131" spans="1:9" x14ac:dyDescent="0.2">
      <c r="A131" t="s">
        <v>5176</v>
      </c>
      <c r="B131" t="s">
        <v>5177</v>
      </c>
      <c r="C131" t="s">
        <v>5178</v>
      </c>
      <c r="D131" t="s">
        <v>98</v>
      </c>
      <c r="E131" t="s">
        <v>4</v>
      </c>
      <c r="F131">
        <v>88</v>
      </c>
      <c r="G131">
        <v>9</v>
      </c>
      <c r="H131" t="s">
        <v>13</v>
      </c>
      <c r="I131" t="b">
        <f t="shared" ref="I131:I194" si="2">isDup(B131, B132, 0.7)</f>
        <v>0</v>
      </c>
    </row>
    <row r="132" spans="1:9" x14ac:dyDescent="0.2">
      <c r="A132" t="s">
        <v>1517</v>
      </c>
      <c r="B132" t="s">
        <v>1518</v>
      </c>
      <c r="C132" t="s">
        <v>1519</v>
      </c>
      <c r="D132" t="s">
        <v>3</v>
      </c>
      <c r="E132" t="s">
        <v>4</v>
      </c>
      <c r="F132">
        <v>114</v>
      </c>
      <c r="G132">
        <v>433</v>
      </c>
      <c r="H132" t="s">
        <v>13</v>
      </c>
      <c r="I132" t="b">
        <f t="shared" si="2"/>
        <v>0</v>
      </c>
    </row>
    <row r="133" spans="1:9" x14ac:dyDescent="0.2">
      <c r="A133" t="s">
        <v>5778</v>
      </c>
      <c r="B133" t="s">
        <v>5779</v>
      </c>
      <c r="C133" t="s">
        <v>4782</v>
      </c>
      <c r="D133" t="s">
        <v>3</v>
      </c>
      <c r="E133" t="s">
        <v>4</v>
      </c>
      <c r="F133">
        <v>113</v>
      </c>
      <c r="G133">
        <v>317</v>
      </c>
      <c r="H133" t="s">
        <v>13</v>
      </c>
      <c r="I133" t="b">
        <f t="shared" si="2"/>
        <v>0</v>
      </c>
    </row>
    <row r="134" spans="1:9" x14ac:dyDescent="0.2">
      <c r="A134" t="s">
        <v>2827</v>
      </c>
      <c r="B134" t="s">
        <v>2828</v>
      </c>
      <c r="C134" t="s">
        <v>2829</v>
      </c>
      <c r="D134" t="s">
        <v>101</v>
      </c>
      <c r="E134" t="s">
        <v>4</v>
      </c>
      <c r="F134">
        <v>38</v>
      </c>
      <c r="G134">
        <v>262</v>
      </c>
      <c r="H134" t="s">
        <v>13</v>
      </c>
      <c r="I134" t="b">
        <f t="shared" si="2"/>
        <v>0</v>
      </c>
    </row>
    <row r="135" spans="1:9" x14ac:dyDescent="0.2">
      <c r="A135" t="s">
        <v>4278</v>
      </c>
      <c r="B135" t="s">
        <v>4279</v>
      </c>
      <c r="C135" t="s">
        <v>1991</v>
      </c>
      <c r="D135" t="s">
        <v>3</v>
      </c>
      <c r="E135" t="s">
        <v>4</v>
      </c>
      <c r="F135">
        <v>30</v>
      </c>
      <c r="G135">
        <v>11</v>
      </c>
      <c r="H135" t="s">
        <v>13</v>
      </c>
      <c r="I135" t="b">
        <f t="shared" si="2"/>
        <v>0</v>
      </c>
    </row>
    <row r="136" spans="1:9" x14ac:dyDescent="0.2">
      <c r="A136" t="s">
        <v>4390</v>
      </c>
      <c r="B136" t="s">
        <v>4391</v>
      </c>
      <c r="C136" t="s">
        <v>171</v>
      </c>
      <c r="D136" t="s">
        <v>4392</v>
      </c>
      <c r="E136" t="s">
        <v>4</v>
      </c>
      <c r="F136">
        <v>980</v>
      </c>
      <c r="G136">
        <v>640</v>
      </c>
      <c r="H136" t="s">
        <v>13</v>
      </c>
      <c r="I136" t="b">
        <f t="shared" si="2"/>
        <v>0</v>
      </c>
    </row>
    <row r="137" spans="1:9" x14ac:dyDescent="0.2">
      <c r="A137" t="s">
        <v>2237</v>
      </c>
      <c r="B137" t="s">
        <v>2238</v>
      </c>
      <c r="C137" t="s">
        <v>2239</v>
      </c>
      <c r="D137" t="s">
        <v>2240</v>
      </c>
      <c r="E137" t="s">
        <v>4</v>
      </c>
      <c r="F137">
        <v>511</v>
      </c>
      <c r="G137">
        <v>342</v>
      </c>
      <c r="H137" t="s">
        <v>13</v>
      </c>
      <c r="I137" t="b">
        <f t="shared" si="2"/>
        <v>0</v>
      </c>
    </row>
    <row r="138" spans="1:9" x14ac:dyDescent="0.2">
      <c r="A138" t="s">
        <v>2257</v>
      </c>
      <c r="B138" t="s">
        <v>2258</v>
      </c>
      <c r="C138" t="s">
        <v>2259</v>
      </c>
      <c r="D138" t="s">
        <v>2260</v>
      </c>
      <c r="E138" t="s">
        <v>4</v>
      </c>
      <c r="F138">
        <v>397</v>
      </c>
      <c r="G138">
        <v>369</v>
      </c>
      <c r="H138" t="s">
        <v>13</v>
      </c>
      <c r="I138" t="b">
        <f t="shared" si="2"/>
        <v>0</v>
      </c>
    </row>
    <row r="139" spans="1:9" x14ac:dyDescent="0.2">
      <c r="A139" t="s">
        <v>1195</v>
      </c>
      <c r="B139" t="s">
        <v>1196</v>
      </c>
      <c r="C139" t="s">
        <v>1197</v>
      </c>
      <c r="D139" t="s">
        <v>1198</v>
      </c>
      <c r="E139" t="s">
        <v>4</v>
      </c>
      <c r="F139">
        <v>41</v>
      </c>
      <c r="G139">
        <v>122</v>
      </c>
      <c r="H139" t="s">
        <v>13</v>
      </c>
      <c r="I139" t="b">
        <f t="shared" si="2"/>
        <v>0</v>
      </c>
    </row>
    <row r="140" spans="1:9" x14ac:dyDescent="0.2">
      <c r="A140" t="s">
        <v>4982</v>
      </c>
      <c r="B140" t="s">
        <v>4983</v>
      </c>
      <c r="C140" t="s">
        <v>4984</v>
      </c>
      <c r="D140" t="s">
        <v>3</v>
      </c>
      <c r="E140" t="s">
        <v>4</v>
      </c>
      <c r="F140">
        <v>14</v>
      </c>
      <c r="G140">
        <v>15</v>
      </c>
      <c r="H140" t="s">
        <v>13</v>
      </c>
      <c r="I140" t="b">
        <f t="shared" si="2"/>
        <v>1</v>
      </c>
    </row>
    <row r="141" spans="1:9" x14ac:dyDescent="0.2">
      <c r="A141" t="s">
        <v>5623</v>
      </c>
      <c r="B141" t="s">
        <v>5624</v>
      </c>
      <c r="C141" t="s">
        <v>4984</v>
      </c>
      <c r="D141" t="s">
        <v>3</v>
      </c>
      <c r="E141" t="s">
        <v>4</v>
      </c>
      <c r="F141">
        <v>14</v>
      </c>
      <c r="G141">
        <v>15</v>
      </c>
      <c r="H141" t="s">
        <v>13</v>
      </c>
      <c r="I141" t="b">
        <f t="shared" si="2"/>
        <v>0</v>
      </c>
    </row>
    <row r="142" spans="1:9" x14ac:dyDescent="0.2">
      <c r="A142" t="s">
        <v>3631</v>
      </c>
      <c r="B142" t="s">
        <v>3632</v>
      </c>
      <c r="C142" t="s">
        <v>1258</v>
      </c>
      <c r="D142" t="s">
        <v>64</v>
      </c>
      <c r="E142" t="s">
        <v>4</v>
      </c>
      <c r="F142">
        <v>36</v>
      </c>
      <c r="G142">
        <v>0</v>
      </c>
      <c r="H142" t="s">
        <v>13</v>
      </c>
      <c r="I142" t="b">
        <f t="shared" si="2"/>
        <v>0</v>
      </c>
    </row>
    <row r="143" spans="1:9" x14ac:dyDescent="0.2">
      <c r="A143" t="s">
        <v>6434</v>
      </c>
      <c r="B143" t="s">
        <v>6435</v>
      </c>
      <c r="C143" t="s">
        <v>3675</v>
      </c>
      <c r="D143" t="s">
        <v>3</v>
      </c>
      <c r="E143" t="s">
        <v>4</v>
      </c>
      <c r="F143">
        <v>306</v>
      </c>
      <c r="G143">
        <v>580</v>
      </c>
      <c r="H143" t="s">
        <v>13</v>
      </c>
      <c r="I143" t="b">
        <f t="shared" si="2"/>
        <v>0</v>
      </c>
    </row>
    <row r="144" spans="1:9" x14ac:dyDescent="0.2">
      <c r="A144" t="s">
        <v>5431</v>
      </c>
      <c r="B144" t="s">
        <v>5432</v>
      </c>
      <c r="C144" t="s">
        <v>185</v>
      </c>
      <c r="D144" t="s">
        <v>5433</v>
      </c>
      <c r="E144" t="s">
        <v>4</v>
      </c>
      <c r="F144">
        <v>37</v>
      </c>
      <c r="G144">
        <v>347</v>
      </c>
      <c r="H144" t="s">
        <v>645</v>
      </c>
      <c r="I144" t="b">
        <f t="shared" si="2"/>
        <v>0</v>
      </c>
    </row>
    <row r="145" spans="1:9" x14ac:dyDescent="0.2">
      <c r="A145" t="s">
        <v>1929</v>
      </c>
      <c r="B145" t="s">
        <v>1930</v>
      </c>
      <c r="C145" t="s">
        <v>28</v>
      </c>
      <c r="D145" t="s">
        <v>3</v>
      </c>
      <c r="E145" t="s">
        <v>4</v>
      </c>
      <c r="F145">
        <v>1</v>
      </c>
      <c r="G145">
        <v>92</v>
      </c>
      <c r="H145" t="s">
        <v>13</v>
      </c>
      <c r="I145" t="b">
        <f t="shared" si="2"/>
        <v>0</v>
      </c>
    </row>
    <row r="146" spans="1:9" x14ac:dyDescent="0.2">
      <c r="A146" t="s">
        <v>4088</v>
      </c>
      <c r="B146" t="s">
        <v>4089</v>
      </c>
      <c r="C146" t="s">
        <v>733</v>
      </c>
      <c r="D146" t="s">
        <v>3</v>
      </c>
      <c r="E146" t="s">
        <v>4</v>
      </c>
      <c r="F146">
        <v>14</v>
      </c>
      <c r="G146">
        <v>47</v>
      </c>
      <c r="H146" t="s">
        <v>13</v>
      </c>
      <c r="I146" t="b">
        <f t="shared" si="2"/>
        <v>0</v>
      </c>
    </row>
    <row r="147" spans="1:9" x14ac:dyDescent="0.2">
      <c r="A147" t="s">
        <v>3875</v>
      </c>
      <c r="B147" t="s">
        <v>3876</v>
      </c>
      <c r="C147" t="s">
        <v>549</v>
      </c>
      <c r="D147" t="s">
        <v>3877</v>
      </c>
      <c r="E147" t="s">
        <v>4</v>
      </c>
      <c r="F147">
        <v>226</v>
      </c>
      <c r="G147">
        <v>3</v>
      </c>
      <c r="H147" t="s">
        <v>13</v>
      </c>
      <c r="I147" t="b">
        <f t="shared" si="2"/>
        <v>0</v>
      </c>
    </row>
    <row r="148" spans="1:9" x14ac:dyDescent="0.2">
      <c r="A148" t="s">
        <v>5659</v>
      </c>
      <c r="B148" t="s">
        <v>5661</v>
      </c>
      <c r="C148" t="s">
        <v>1230</v>
      </c>
      <c r="D148" t="s">
        <v>1231</v>
      </c>
      <c r="E148" t="s">
        <v>4</v>
      </c>
      <c r="F148">
        <v>427</v>
      </c>
      <c r="G148">
        <v>768</v>
      </c>
      <c r="H148" t="s">
        <v>13</v>
      </c>
      <c r="I148" t="b">
        <f t="shared" si="2"/>
        <v>0</v>
      </c>
    </row>
    <row r="149" spans="1:9" x14ac:dyDescent="0.2">
      <c r="A149" t="s">
        <v>1436</v>
      </c>
      <c r="B149" t="s">
        <v>1437</v>
      </c>
      <c r="C149" t="s">
        <v>1438</v>
      </c>
      <c r="D149" t="s">
        <v>1439</v>
      </c>
      <c r="E149" t="s">
        <v>4</v>
      </c>
      <c r="F149">
        <v>11</v>
      </c>
      <c r="G149">
        <v>182</v>
      </c>
      <c r="H149" t="s">
        <v>13</v>
      </c>
      <c r="I149" t="b">
        <f t="shared" si="2"/>
        <v>0</v>
      </c>
    </row>
    <row r="150" spans="1:9" x14ac:dyDescent="0.2">
      <c r="A150" t="s">
        <v>6</v>
      </c>
      <c r="B150" t="s">
        <v>7</v>
      </c>
      <c r="C150" t="s">
        <v>8</v>
      </c>
      <c r="D150" t="s">
        <v>9</v>
      </c>
      <c r="E150" t="s">
        <v>4</v>
      </c>
      <c r="F150">
        <v>113</v>
      </c>
      <c r="G150">
        <v>110</v>
      </c>
      <c r="H150" t="s">
        <v>5</v>
      </c>
      <c r="I150" t="b">
        <f t="shared" si="2"/>
        <v>0</v>
      </c>
    </row>
    <row r="151" spans="1:9" x14ac:dyDescent="0.2">
      <c r="A151" t="s">
        <v>1084</v>
      </c>
      <c r="B151" t="s">
        <v>1085</v>
      </c>
      <c r="C151" t="s">
        <v>1086</v>
      </c>
      <c r="D151" t="s">
        <v>1087</v>
      </c>
      <c r="E151" t="s">
        <v>4</v>
      </c>
      <c r="F151">
        <v>0</v>
      </c>
      <c r="G151">
        <v>31</v>
      </c>
      <c r="H151" t="s">
        <v>13</v>
      </c>
      <c r="I151" t="b">
        <f t="shared" si="2"/>
        <v>0</v>
      </c>
    </row>
    <row r="152" spans="1:9" x14ac:dyDescent="0.2">
      <c r="A152" t="s">
        <v>2009</v>
      </c>
      <c r="B152" t="s">
        <v>2010</v>
      </c>
      <c r="C152" t="s">
        <v>2011</v>
      </c>
      <c r="D152" t="s">
        <v>2012</v>
      </c>
      <c r="E152" t="s">
        <v>4</v>
      </c>
      <c r="F152">
        <v>188</v>
      </c>
      <c r="G152">
        <v>541</v>
      </c>
      <c r="H152" t="s">
        <v>13</v>
      </c>
      <c r="I152" t="b">
        <f t="shared" si="2"/>
        <v>0</v>
      </c>
    </row>
    <row r="153" spans="1:9" x14ac:dyDescent="0.2">
      <c r="A153" t="s">
        <v>1989</v>
      </c>
      <c r="B153" t="s">
        <v>1990</v>
      </c>
      <c r="C153" t="s">
        <v>1991</v>
      </c>
      <c r="D153" t="s">
        <v>3</v>
      </c>
      <c r="E153" t="s">
        <v>4</v>
      </c>
      <c r="F153">
        <v>30</v>
      </c>
      <c r="G153">
        <v>11</v>
      </c>
      <c r="H153" t="s">
        <v>13</v>
      </c>
      <c r="I153" t="b">
        <f t="shared" si="2"/>
        <v>0</v>
      </c>
    </row>
    <row r="154" spans="1:9" x14ac:dyDescent="0.2">
      <c r="A154" t="s">
        <v>5799</v>
      </c>
      <c r="B154" t="s">
        <v>5800</v>
      </c>
      <c r="C154" t="s">
        <v>1816</v>
      </c>
      <c r="D154" t="s">
        <v>3</v>
      </c>
      <c r="E154" t="s">
        <v>4</v>
      </c>
      <c r="F154">
        <v>722</v>
      </c>
      <c r="G154">
        <v>758</v>
      </c>
      <c r="H154" t="s">
        <v>13</v>
      </c>
      <c r="I154" t="b">
        <f t="shared" si="2"/>
        <v>0</v>
      </c>
    </row>
    <row r="155" spans="1:9" x14ac:dyDescent="0.2">
      <c r="A155" t="s">
        <v>3367</v>
      </c>
      <c r="B155" t="s">
        <v>3368</v>
      </c>
      <c r="C155" t="s">
        <v>3369</v>
      </c>
      <c r="D155" t="s">
        <v>3370</v>
      </c>
      <c r="E155" t="s">
        <v>4</v>
      </c>
      <c r="F155">
        <v>43</v>
      </c>
      <c r="G155">
        <v>38</v>
      </c>
      <c r="H155" t="s">
        <v>13</v>
      </c>
      <c r="I155" t="b">
        <f t="shared" si="2"/>
        <v>0</v>
      </c>
    </row>
    <row r="156" spans="1:9" x14ac:dyDescent="0.2">
      <c r="A156" t="s">
        <v>2621</v>
      </c>
      <c r="B156" t="s">
        <v>2622</v>
      </c>
      <c r="C156" t="s">
        <v>2623</v>
      </c>
      <c r="D156" t="s">
        <v>2624</v>
      </c>
      <c r="E156" t="s">
        <v>4</v>
      </c>
      <c r="F156">
        <v>3032</v>
      </c>
      <c r="G156">
        <v>939</v>
      </c>
      <c r="H156" t="s">
        <v>13</v>
      </c>
      <c r="I156" t="b">
        <f t="shared" si="2"/>
        <v>0</v>
      </c>
    </row>
    <row r="157" spans="1:9" x14ac:dyDescent="0.2">
      <c r="A157" t="s">
        <v>3723</v>
      </c>
      <c r="B157" t="s">
        <v>3724</v>
      </c>
      <c r="C157" t="s">
        <v>3725</v>
      </c>
      <c r="D157" t="s">
        <v>3726</v>
      </c>
      <c r="E157" t="s">
        <v>4</v>
      </c>
      <c r="F157">
        <v>704</v>
      </c>
      <c r="G157">
        <v>525</v>
      </c>
      <c r="H157" t="s">
        <v>114</v>
      </c>
      <c r="I157" t="b">
        <f t="shared" si="2"/>
        <v>0</v>
      </c>
    </row>
    <row r="158" spans="1:9" x14ac:dyDescent="0.2">
      <c r="A158" t="s">
        <v>1031</v>
      </c>
      <c r="B158" t="s">
        <v>1032</v>
      </c>
      <c r="C158" t="s">
        <v>1033</v>
      </c>
      <c r="D158" t="s">
        <v>3</v>
      </c>
      <c r="E158" t="s">
        <v>4</v>
      </c>
      <c r="F158">
        <v>59</v>
      </c>
      <c r="G158">
        <v>40</v>
      </c>
      <c r="H158" t="s">
        <v>13</v>
      </c>
      <c r="I158" t="b">
        <f t="shared" si="2"/>
        <v>1</v>
      </c>
    </row>
    <row r="159" spans="1:9" x14ac:dyDescent="0.2">
      <c r="A159" t="s">
        <v>5766</v>
      </c>
      <c r="B159" t="s">
        <v>5767</v>
      </c>
      <c r="C159" t="s">
        <v>3337</v>
      </c>
      <c r="D159" t="s">
        <v>2565</v>
      </c>
      <c r="E159" t="s">
        <v>4</v>
      </c>
      <c r="F159">
        <v>2205</v>
      </c>
      <c r="G159">
        <v>1080</v>
      </c>
      <c r="H159" t="s">
        <v>13</v>
      </c>
      <c r="I159" t="b">
        <f t="shared" si="2"/>
        <v>0</v>
      </c>
    </row>
    <row r="160" spans="1:9" x14ac:dyDescent="0.2">
      <c r="A160" t="s">
        <v>1476</v>
      </c>
      <c r="B160" t="s">
        <v>1477</v>
      </c>
      <c r="C160" t="s">
        <v>1478</v>
      </c>
      <c r="D160" t="s">
        <v>3</v>
      </c>
      <c r="E160" t="s">
        <v>4</v>
      </c>
      <c r="F160">
        <v>14</v>
      </c>
      <c r="G160">
        <v>175</v>
      </c>
      <c r="H160" t="s">
        <v>13</v>
      </c>
      <c r="I160" t="b">
        <f t="shared" si="2"/>
        <v>0</v>
      </c>
    </row>
    <row r="161" spans="1:9" x14ac:dyDescent="0.2">
      <c r="A161" t="s">
        <v>4866</v>
      </c>
      <c r="B161" t="s">
        <v>4867</v>
      </c>
      <c r="C161" t="s">
        <v>3164</v>
      </c>
      <c r="D161" t="s">
        <v>3</v>
      </c>
      <c r="E161" t="s">
        <v>4</v>
      </c>
      <c r="F161">
        <v>39</v>
      </c>
      <c r="G161">
        <v>256</v>
      </c>
      <c r="H161" t="s">
        <v>13</v>
      </c>
      <c r="I161" t="b">
        <f t="shared" si="2"/>
        <v>0</v>
      </c>
    </row>
    <row r="162" spans="1:9" x14ac:dyDescent="0.2">
      <c r="A162" t="s">
        <v>5103</v>
      </c>
      <c r="B162" t="s">
        <v>5104</v>
      </c>
      <c r="C162" t="s">
        <v>5105</v>
      </c>
      <c r="D162" t="s">
        <v>5106</v>
      </c>
      <c r="E162" t="s">
        <v>4</v>
      </c>
      <c r="F162">
        <v>40</v>
      </c>
      <c r="G162">
        <v>101</v>
      </c>
      <c r="H162" t="s">
        <v>13</v>
      </c>
      <c r="I162" t="b">
        <f t="shared" si="2"/>
        <v>0</v>
      </c>
    </row>
    <row r="163" spans="1:9" x14ac:dyDescent="0.2">
      <c r="A163" t="s">
        <v>511</v>
      </c>
      <c r="B163" t="s">
        <v>512</v>
      </c>
      <c r="C163" t="s">
        <v>513</v>
      </c>
      <c r="D163" t="s">
        <v>514</v>
      </c>
      <c r="E163" t="s">
        <v>4</v>
      </c>
      <c r="F163">
        <v>586</v>
      </c>
      <c r="G163">
        <v>483</v>
      </c>
      <c r="H163" t="s">
        <v>13</v>
      </c>
      <c r="I163" t="b">
        <f t="shared" si="2"/>
        <v>0</v>
      </c>
    </row>
    <row r="164" spans="1:9" x14ac:dyDescent="0.2">
      <c r="A164" t="s">
        <v>2898</v>
      </c>
      <c r="B164" t="s">
        <v>2899</v>
      </c>
      <c r="C164" t="s">
        <v>2900</v>
      </c>
      <c r="D164" t="s">
        <v>2901</v>
      </c>
      <c r="E164" t="s">
        <v>4</v>
      </c>
      <c r="F164">
        <v>218</v>
      </c>
      <c r="G164">
        <v>551</v>
      </c>
      <c r="H164" t="s">
        <v>13</v>
      </c>
      <c r="I164" t="b">
        <f t="shared" si="2"/>
        <v>0</v>
      </c>
    </row>
    <row r="165" spans="1:9" x14ac:dyDescent="0.2">
      <c r="A165" t="s">
        <v>5602</v>
      </c>
      <c r="B165" t="s">
        <v>5603</v>
      </c>
      <c r="C165" t="s">
        <v>185</v>
      </c>
      <c r="D165" t="s">
        <v>668</v>
      </c>
      <c r="E165" t="s">
        <v>38</v>
      </c>
      <c r="F165">
        <v>46484</v>
      </c>
      <c r="G165">
        <v>2125</v>
      </c>
      <c r="H165" t="s">
        <v>13</v>
      </c>
      <c r="I165" t="b">
        <f t="shared" si="2"/>
        <v>0</v>
      </c>
    </row>
    <row r="166" spans="1:9" x14ac:dyDescent="0.2">
      <c r="A166" t="s">
        <v>1737</v>
      </c>
      <c r="B166" t="s">
        <v>1738</v>
      </c>
      <c r="C166" t="s">
        <v>1739</v>
      </c>
      <c r="D166" t="s">
        <v>1740</v>
      </c>
      <c r="E166" t="s">
        <v>4</v>
      </c>
      <c r="F166">
        <v>74</v>
      </c>
      <c r="G166">
        <v>398</v>
      </c>
      <c r="H166" t="s">
        <v>13</v>
      </c>
      <c r="I166" t="b">
        <f t="shared" si="2"/>
        <v>0</v>
      </c>
    </row>
    <row r="167" spans="1:9" x14ac:dyDescent="0.2">
      <c r="A167" t="s">
        <v>4506</v>
      </c>
      <c r="B167" t="s">
        <v>4507</v>
      </c>
      <c r="C167" t="s">
        <v>4508</v>
      </c>
      <c r="D167" t="s">
        <v>833</v>
      </c>
      <c r="E167" t="s">
        <v>4</v>
      </c>
      <c r="F167">
        <v>579</v>
      </c>
      <c r="G167">
        <v>940</v>
      </c>
      <c r="H167" t="s">
        <v>13</v>
      </c>
      <c r="I167" t="b">
        <f t="shared" si="2"/>
        <v>0</v>
      </c>
    </row>
    <row r="168" spans="1:9" x14ac:dyDescent="0.2">
      <c r="A168" t="s">
        <v>756</v>
      </c>
      <c r="B168" t="s">
        <v>757</v>
      </c>
      <c r="C168" t="s">
        <v>758</v>
      </c>
      <c r="D168" t="s">
        <v>759</v>
      </c>
      <c r="E168" t="s">
        <v>4</v>
      </c>
      <c r="F168">
        <v>87</v>
      </c>
      <c r="G168">
        <v>51</v>
      </c>
      <c r="H168" t="s">
        <v>13</v>
      </c>
      <c r="I168" t="b">
        <f t="shared" si="2"/>
        <v>0</v>
      </c>
    </row>
    <row r="169" spans="1:9" x14ac:dyDescent="0.2">
      <c r="A169" t="s">
        <v>1664</v>
      </c>
      <c r="B169" t="s">
        <v>1665</v>
      </c>
      <c r="C169" t="s">
        <v>1069</v>
      </c>
      <c r="D169" t="s">
        <v>1666</v>
      </c>
      <c r="E169" t="s">
        <v>4</v>
      </c>
      <c r="F169">
        <v>1224</v>
      </c>
      <c r="G169">
        <v>99</v>
      </c>
      <c r="H169" t="s">
        <v>13</v>
      </c>
      <c r="I169" t="b">
        <f t="shared" si="2"/>
        <v>0</v>
      </c>
    </row>
    <row r="170" spans="1:9" x14ac:dyDescent="0.2">
      <c r="A170" t="s">
        <v>5341</v>
      </c>
      <c r="B170" t="s">
        <v>5342</v>
      </c>
      <c r="C170" t="s">
        <v>3675</v>
      </c>
      <c r="D170" t="s">
        <v>5343</v>
      </c>
      <c r="E170" t="s">
        <v>4</v>
      </c>
      <c r="F170">
        <v>8530</v>
      </c>
      <c r="G170">
        <v>3284</v>
      </c>
      <c r="H170" t="s">
        <v>13</v>
      </c>
      <c r="I170" t="b">
        <f t="shared" si="2"/>
        <v>0</v>
      </c>
    </row>
    <row r="171" spans="1:9" x14ac:dyDescent="0.2">
      <c r="A171" t="s">
        <v>5196</v>
      </c>
      <c r="B171" t="s">
        <v>5197</v>
      </c>
      <c r="C171" t="s">
        <v>3248</v>
      </c>
      <c r="D171" t="s">
        <v>4105</v>
      </c>
      <c r="E171" t="s">
        <v>4</v>
      </c>
      <c r="F171">
        <v>555</v>
      </c>
      <c r="G171">
        <v>327</v>
      </c>
      <c r="H171" t="s">
        <v>13</v>
      </c>
      <c r="I171" t="b">
        <f t="shared" si="2"/>
        <v>0</v>
      </c>
    </row>
    <row r="172" spans="1:9" x14ac:dyDescent="0.2">
      <c r="A172" t="s">
        <v>6899</v>
      </c>
      <c r="B172" t="s">
        <v>6900</v>
      </c>
      <c r="C172" t="s">
        <v>6408</v>
      </c>
      <c r="D172" t="s">
        <v>3</v>
      </c>
      <c r="E172" t="s">
        <v>4</v>
      </c>
      <c r="F172">
        <v>11</v>
      </c>
      <c r="G172">
        <v>425</v>
      </c>
      <c r="H172" t="s">
        <v>13</v>
      </c>
      <c r="I172" t="b">
        <f t="shared" si="2"/>
        <v>0</v>
      </c>
    </row>
    <row r="173" spans="1:9" x14ac:dyDescent="0.2">
      <c r="A173" t="s">
        <v>6640</v>
      </c>
      <c r="B173" t="s">
        <v>6641</v>
      </c>
      <c r="C173" t="s">
        <v>48</v>
      </c>
      <c r="D173" t="s">
        <v>3</v>
      </c>
      <c r="E173" t="s">
        <v>4</v>
      </c>
      <c r="F173">
        <v>23</v>
      </c>
      <c r="G173">
        <v>47</v>
      </c>
      <c r="H173" t="s">
        <v>13</v>
      </c>
      <c r="I173" t="b">
        <f t="shared" si="2"/>
        <v>0</v>
      </c>
    </row>
    <row r="174" spans="1:9" x14ac:dyDescent="0.2">
      <c r="A174" t="s">
        <v>4226</v>
      </c>
      <c r="B174" t="s">
        <v>4227</v>
      </c>
      <c r="C174" t="s">
        <v>1691</v>
      </c>
      <c r="D174" t="s">
        <v>3</v>
      </c>
      <c r="E174" t="s">
        <v>4</v>
      </c>
      <c r="F174">
        <v>201</v>
      </c>
      <c r="G174">
        <v>687</v>
      </c>
      <c r="H174" t="s">
        <v>33</v>
      </c>
      <c r="I174" t="b">
        <f t="shared" si="2"/>
        <v>0</v>
      </c>
    </row>
    <row r="175" spans="1:9" x14ac:dyDescent="0.2">
      <c r="A175" t="s">
        <v>1520</v>
      </c>
      <c r="B175" t="s">
        <v>1521</v>
      </c>
      <c r="C175" t="s">
        <v>1522</v>
      </c>
      <c r="D175" t="s">
        <v>3</v>
      </c>
      <c r="E175" t="s">
        <v>4</v>
      </c>
      <c r="F175">
        <v>763</v>
      </c>
      <c r="G175">
        <v>30</v>
      </c>
      <c r="H175" t="s">
        <v>13</v>
      </c>
      <c r="I175" t="b">
        <f t="shared" si="2"/>
        <v>0</v>
      </c>
    </row>
    <row r="176" spans="1:9" x14ac:dyDescent="0.2">
      <c r="A176" t="s">
        <v>2872</v>
      </c>
      <c r="B176" t="s">
        <v>2873</v>
      </c>
      <c r="C176" t="s">
        <v>323</v>
      </c>
      <c r="D176" t="s">
        <v>2874</v>
      </c>
      <c r="E176" t="s">
        <v>4</v>
      </c>
      <c r="F176">
        <v>248</v>
      </c>
      <c r="G176">
        <v>689</v>
      </c>
      <c r="H176" t="s">
        <v>13</v>
      </c>
      <c r="I176" t="b">
        <f t="shared" si="2"/>
        <v>0</v>
      </c>
    </row>
    <row r="177" spans="1:9" x14ac:dyDescent="0.2">
      <c r="A177" t="s">
        <v>5716</v>
      </c>
      <c r="B177" t="s">
        <v>5717</v>
      </c>
      <c r="C177" t="s">
        <v>653</v>
      </c>
      <c r="D177" t="s">
        <v>3</v>
      </c>
      <c r="E177" t="s">
        <v>4</v>
      </c>
      <c r="F177">
        <v>38</v>
      </c>
      <c r="G177">
        <v>14</v>
      </c>
      <c r="H177" t="s">
        <v>33</v>
      </c>
      <c r="I177" t="b">
        <f t="shared" si="2"/>
        <v>0</v>
      </c>
    </row>
    <row r="178" spans="1:9" x14ac:dyDescent="0.2">
      <c r="A178" t="s">
        <v>4882</v>
      </c>
      <c r="B178" t="s">
        <v>4883</v>
      </c>
      <c r="C178" t="s">
        <v>3164</v>
      </c>
      <c r="D178" t="s">
        <v>3165</v>
      </c>
      <c r="E178" t="s">
        <v>4</v>
      </c>
      <c r="F178">
        <v>67</v>
      </c>
      <c r="G178">
        <v>96</v>
      </c>
      <c r="H178" t="s">
        <v>13</v>
      </c>
      <c r="I178" t="b">
        <f t="shared" si="2"/>
        <v>0</v>
      </c>
    </row>
    <row r="179" spans="1:9" x14ac:dyDescent="0.2">
      <c r="A179" t="s">
        <v>6811</v>
      </c>
      <c r="B179" t="s">
        <v>6812</v>
      </c>
      <c r="C179" t="s">
        <v>999</v>
      </c>
      <c r="D179" t="s">
        <v>3</v>
      </c>
      <c r="E179" t="s">
        <v>4</v>
      </c>
      <c r="F179">
        <v>162</v>
      </c>
      <c r="G179">
        <v>516</v>
      </c>
      <c r="H179" t="s">
        <v>13</v>
      </c>
      <c r="I179" t="b">
        <f t="shared" si="2"/>
        <v>0</v>
      </c>
    </row>
    <row r="180" spans="1:9" x14ac:dyDescent="0.2">
      <c r="A180" t="s">
        <v>762</v>
      </c>
      <c r="B180" t="s">
        <v>763</v>
      </c>
      <c r="C180" t="s">
        <v>764</v>
      </c>
      <c r="D180" t="s">
        <v>3</v>
      </c>
      <c r="E180" t="s">
        <v>4</v>
      </c>
      <c r="F180">
        <v>142</v>
      </c>
      <c r="G180">
        <v>133</v>
      </c>
      <c r="H180" t="s">
        <v>645</v>
      </c>
      <c r="I180" t="b">
        <f t="shared" si="2"/>
        <v>0</v>
      </c>
    </row>
    <row r="181" spans="1:9" x14ac:dyDescent="0.2">
      <c r="A181" t="s">
        <v>2494</v>
      </c>
      <c r="B181" t="s">
        <v>2495</v>
      </c>
      <c r="C181" t="s">
        <v>588</v>
      </c>
      <c r="D181" t="s">
        <v>2487</v>
      </c>
      <c r="E181" t="s">
        <v>4</v>
      </c>
      <c r="F181">
        <v>894</v>
      </c>
      <c r="G181">
        <v>1968</v>
      </c>
      <c r="H181" t="s">
        <v>13</v>
      </c>
      <c r="I181" t="b">
        <f t="shared" si="2"/>
        <v>0</v>
      </c>
    </row>
    <row r="182" spans="1:9" x14ac:dyDescent="0.2">
      <c r="A182" t="s">
        <v>6629</v>
      </c>
      <c r="B182" t="s">
        <v>6630</v>
      </c>
      <c r="C182" t="s">
        <v>591</v>
      </c>
      <c r="D182" t="s">
        <v>6631</v>
      </c>
      <c r="E182" t="s">
        <v>4</v>
      </c>
      <c r="F182">
        <v>492</v>
      </c>
      <c r="G182">
        <v>153</v>
      </c>
      <c r="H182" t="s">
        <v>13</v>
      </c>
      <c r="I182" t="b">
        <f t="shared" si="2"/>
        <v>0</v>
      </c>
    </row>
    <row r="183" spans="1:9" x14ac:dyDescent="0.2">
      <c r="A183" t="s">
        <v>127</v>
      </c>
      <c r="B183" t="s">
        <v>128</v>
      </c>
      <c r="C183" t="s">
        <v>129</v>
      </c>
      <c r="D183" t="s">
        <v>130</v>
      </c>
      <c r="E183" t="s">
        <v>4</v>
      </c>
      <c r="F183">
        <v>40</v>
      </c>
      <c r="G183">
        <v>145</v>
      </c>
      <c r="H183" t="s">
        <v>13</v>
      </c>
      <c r="I183" t="b">
        <f t="shared" si="2"/>
        <v>0</v>
      </c>
    </row>
    <row r="184" spans="1:9" x14ac:dyDescent="0.2">
      <c r="A184" t="s">
        <v>1055</v>
      </c>
      <c r="B184" t="s">
        <v>1056</v>
      </c>
      <c r="C184" t="s">
        <v>1057</v>
      </c>
      <c r="D184" t="s">
        <v>3</v>
      </c>
      <c r="E184" t="s">
        <v>4</v>
      </c>
      <c r="F184">
        <v>2</v>
      </c>
      <c r="G184">
        <v>23</v>
      </c>
      <c r="H184" t="s">
        <v>13</v>
      </c>
      <c r="I184" t="b">
        <f t="shared" si="2"/>
        <v>0</v>
      </c>
    </row>
    <row r="185" spans="1:9" x14ac:dyDescent="0.2">
      <c r="A185" t="s">
        <v>5749</v>
      </c>
      <c r="B185" t="s">
        <v>5750</v>
      </c>
      <c r="C185" t="s">
        <v>898</v>
      </c>
      <c r="D185" t="s">
        <v>3</v>
      </c>
      <c r="E185" t="s">
        <v>4</v>
      </c>
      <c r="F185">
        <v>81108</v>
      </c>
      <c r="G185">
        <v>872</v>
      </c>
      <c r="H185" t="s">
        <v>13</v>
      </c>
      <c r="I185" t="b">
        <f t="shared" si="2"/>
        <v>0</v>
      </c>
    </row>
    <row r="186" spans="1:9" x14ac:dyDescent="0.2">
      <c r="A186" t="s">
        <v>6181</v>
      </c>
      <c r="B186" t="s">
        <v>6182</v>
      </c>
      <c r="C186" t="s">
        <v>2537</v>
      </c>
      <c r="D186" t="s">
        <v>2280</v>
      </c>
      <c r="E186" t="s">
        <v>4</v>
      </c>
      <c r="F186">
        <v>272</v>
      </c>
      <c r="G186">
        <v>475</v>
      </c>
      <c r="H186" t="s">
        <v>13</v>
      </c>
      <c r="I186" t="b">
        <f t="shared" si="2"/>
        <v>0</v>
      </c>
    </row>
    <row r="187" spans="1:9" x14ac:dyDescent="0.2">
      <c r="A187" t="s">
        <v>1001</v>
      </c>
      <c r="B187" t="s">
        <v>1002</v>
      </c>
      <c r="C187" t="s">
        <v>410</v>
      </c>
      <c r="D187" t="s">
        <v>1003</v>
      </c>
      <c r="E187" t="s">
        <v>4</v>
      </c>
      <c r="F187">
        <v>489</v>
      </c>
      <c r="G187">
        <v>528</v>
      </c>
      <c r="H187" t="s">
        <v>13</v>
      </c>
      <c r="I187" t="b">
        <f t="shared" si="2"/>
        <v>0</v>
      </c>
    </row>
    <row r="188" spans="1:9" x14ac:dyDescent="0.2">
      <c r="A188" t="s">
        <v>5263</v>
      </c>
      <c r="B188" t="s">
        <v>5264</v>
      </c>
      <c r="C188" t="s">
        <v>5265</v>
      </c>
      <c r="D188" t="s">
        <v>566</v>
      </c>
      <c r="E188" t="s">
        <v>4</v>
      </c>
      <c r="F188">
        <v>6</v>
      </c>
      <c r="G188">
        <v>172</v>
      </c>
      <c r="H188" t="s">
        <v>13</v>
      </c>
      <c r="I188" t="b">
        <f t="shared" si="2"/>
        <v>0</v>
      </c>
    </row>
    <row r="189" spans="1:9" x14ac:dyDescent="0.2">
      <c r="A189" t="s">
        <v>5549</v>
      </c>
      <c r="B189" t="s">
        <v>5550</v>
      </c>
      <c r="C189" t="s">
        <v>912</v>
      </c>
      <c r="D189" t="s">
        <v>5551</v>
      </c>
      <c r="E189" t="s">
        <v>4</v>
      </c>
      <c r="F189">
        <v>177</v>
      </c>
      <c r="G189">
        <v>284</v>
      </c>
      <c r="H189" t="s">
        <v>13</v>
      </c>
      <c r="I189" t="b">
        <f t="shared" si="2"/>
        <v>0</v>
      </c>
    </row>
    <row r="190" spans="1:9" x14ac:dyDescent="0.2">
      <c r="A190" t="s">
        <v>6904</v>
      </c>
      <c r="B190" t="s">
        <v>6905</v>
      </c>
      <c r="C190" t="s">
        <v>4967</v>
      </c>
      <c r="D190" t="s">
        <v>6906</v>
      </c>
      <c r="E190" t="s">
        <v>4</v>
      </c>
      <c r="F190">
        <v>2835</v>
      </c>
      <c r="G190">
        <v>3547</v>
      </c>
      <c r="H190" t="s">
        <v>13</v>
      </c>
      <c r="I190" t="b">
        <f t="shared" si="2"/>
        <v>0</v>
      </c>
    </row>
    <row r="191" spans="1:9" x14ac:dyDescent="0.2">
      <c r="A191" t="s">
        <v>651</v>
      </c>
      <c r="B191" t="s">
        <v>652</v>
      </c>
      <c r="C191" t="s">
        <v>653</v>
      </c>
      <c r="D191" t="s">
        <v>3</v>
      </c>
      <c r="E191" t="s">
        <v>4</v>
      </c>
      <c r="F191">
        <v>37</v>
      </c>
      <c r="G191">
        <v>14</v>
      </c>
      <c r="H191" t="s">
        <v>33</v>
      </c>
      <c r="I191" t="b">
        <f t="shared" si="2"/>
        <v>0</v>
      </c>
    </row>
    <row r="192" spans="1:9" x14ac:dyDescent="0.2">
      <c r="A192" t="s">
        <v>6104</v>
      </c>
      <c r="B192" t="s">
        <v>6105</v>
      </c>
      <c r="C192" t="s">
        <v>3349</v>
      </c>
      <c r="D192" t="s">
        <v>6106</v>
      </c>
      <c r="E192" t="s">
        <v>4</v>
      </c>
      <c r="F192">
        <v>20</v>
      </c>
      <c r="G192">
        <v>63</v>
      </c>
      <c r="H192" t="s">
        <v>13</v>
      </c>
      <c r="I192" t="b">
        <f t="shared" si="2"/>
        <v>0</v>
      </c>
    </row>
    <row r="193" spans="1:9" x14ac:dyDescent="0.2">
      <c r="A193" t="s">
        <v>6311</v>
      </c>
      <c r="B193" t="s">
        <v>6312</v>
      </c>
      <c r="C193" t="s">
        <v>85</v>
      </c>
      <c r="D193" t="s">
        <v>3</v>
      </c>
      <c r="E193" t="s">
        <v>4</v>
      </c>
      <c r="F193">
        <v>766</v>
      </c>
      <c r="G193">
        <v>823</v>
      </c>
      <c r="H193" t="s">
        <v>13</v>
      </c>
      <c r="I193" t="b">
        <f t="shared" si="2"/>
        <v>0</v>
      </c>
    </row>
    <row r="194" spans="1:9" x14ac:dyDescent="0.2">
      <c r="A194" t="s">
        <v>167</v>
      </c>
      <c r="B194" t="s">
        <v>168</v>
      </c>
      <c r="C194" t="s">
        <v>161</v>
      </c>
      <c r="D194" t="s">
        <v>162</v>
      </c>
      <c r="E194" t="s">
        <v>4</v>
      </c>
      <c r="F194">
        <v>134</v>
      </c>
      <c r="G194">
        <v>57</v>
      </c>
      <c r="H194" t="s">
        <v>13</v>
      </c>
      <c r="I194" t="b">
        <f t="shared" si="2"/>
        <v>0</v>
      </c>
    </row>
    <row r="195" spans="1:9" x14ac:dyDescent="0.2">
      <c r="A195" t="s">
        <v>1497</v>
      </c>
      <c r="B195" t="s">
        <v>1498</v>
      </c>
      <c r="C195" t="s">
        <v>1499</v>
      </c>
      <c r="D195" t="s">
        <v>1500</v>
      </c>
      <c r="E195" t="s">
        <v>4</v>
      </c>
      <c r="F195">
        <v>654</v>
      </c>
      <c r="G195">
        <v>162</v>
      </c>
      <c r="H195" t="s">
        <v>13</v>
      </c>
      <c r="I195" t="b">
        <f t="shared" ref="I195:I258" si="3">isDup(B195, B196, 0.7)</f>
        <v>0</v>
      </c>
    </row>
    <row r="196" spans="1:9" x14ac:dyDescent="0.2">
      <c r="A196" t="s">
        <v>2208</v>
      </c>
      <c r="B196" t="s">
        <v>2209</v>
      </c>
      <c r="C196" t="s">
        <v>939</v>
      </c>
      <c r="D196" t="s">
        <v>172</v>
      </c>
      <c r="E196" t="s">
        <v>4</v>
      </c>
      <c r="F196">
        <v>596</v>
      </c>
      <c r="G196">
        <v>1244</v>
      </c>
      <c r="H196" t="s">
        <v>13</v>
      </c>
      <c r="I196" t="b">
        <f t="shared" si="3"/>
        <v>0</v>
      </c>
    </row>
    <row r="197" spans="1:9" x14ac:dyDescent="0.2">
      <c r="A197" t="s">
        <v>6542</v>
      </c>
      <c r="B197" t="s">
        <v>6543</v>
      </c>
      <c r="C197" t="s">
        <v>1870</v>
      </c>
      <c r="D197" t="s">
        <v>6544</v>
      </c>
      <c r="E197" t="s">
        <v>4</v>
      </c>
      <c r="F197">
        <v>23</v>
      </c>
      <c r="G197">
        <v>18</v>
      </c>
      <c r="H197" t="s">
        <v>114</v>
      </c>
      <c r="I197" t="b">
        <f t="shared" si="3"/>
        <v>0</v>
      </c>
    </row>
    <row r="198" spans="1:9" x14ac:dyDescent="0.2">
      <c r="A198" t="s">
        <v>281</v>
      </c>
      <c r="B198" t="s">
        <v>282</v>
      </c>
      <c r="C198" t="s">
        <v>283</v>
      </c>
      <c r="D198" t="s">
        <v>3</v>
      </c>
      <c r="E198" t="s">
        <v>4</v>
      </c>
      <c r="F198">
        <v>189</v>
      </c>
      <c r="G198">
        <v>91</v>
      </c>
      <c r="H198" t="s">
        <v>13</v>
      </c>
      <c r="I198" t="b">
        <f t="shared" si="3"/>
        <v>0</v>
      </c>
    </row>
    <row r="199" spans="1:9" x14ac:dyDescent="0.2">
      <c r="A199" t="s">
        <v>6270</v>
      </c>
      <c r="B199" t="s">
        <v>6272</v>
      </c>
      <c r="C199" t="s">
        <v>6231</v>
      </c>
      <c r="D199" t="s">
        <v>3</v>
      </c>
      <c r="E199" t="s">
        <v>4</v>
      </c>
      <c r="F199">
        <v>8</v>
      </c>
      <c r="G199">
        <v>230</v>
      </c>
      <c r="H199" t="s">
        <v>13</v>
      </c>
      <c r="I199" t="b">
        <f t="shared" si="3"/>
        <v>0</v>
      </c>
    </row>
    <row r="200" spans="1:9" x14ac:dyDescent="0.2">
      <c r="A200" t="s">
        <v>221</v>
      </c>
      <c r="B200" t="s">
        <v>222</v>
      </c>
      <c r="C200" t="s">
        <v>223</v>
      </c>
      <c r="D200" t="s">
        <v>3</v>
      </c>
      <c r="E200" t="s">
        <v>4</v>
      </c>
      <c r="F200">
        <v>20</v>
      </c>
      <c r="G200">
        <v>147</v>
      </c>
      <c r="H200" t="s">
        <v>13</v>
      </c>
      <c r="I200" t="b">
        <f t="shared" si="3"/>
        <v>0</v>
      </c>
    </row>
    <row r="201" spans="1:9" x14ac:dyDescent="0.2">
      <c r="A201" t="s">
        <v>4773</v>
      </c>
      <c r="B201" t="s">
        <v>4774</v>
      </c>
      <c r="C201" t="s">
        <v>2753</v>
      </c>
      <c r="D201" t="s">
        <v>1268</v>
      </c>
      <c r="E201" t="s">
        <v>4</v>
      </c>
      <c r="F201">
        <v>0</v>
      </c>
      <c r="G201">
        <v>33</v>
      </c>
      <c r="H201" t="s">
        <v>363</v>
      </c>
      <c r="I201" t="b">
        <f t="shared" si="3"/>
        <v>0</v>
      </c>
    </row>
    <row r="202" spans="1:9" x14ac:dyDescent="0.2">
      <c r="A202" t="s">
        <v>46</v>
      </c>
      <c r="B202" t="s">
        <v>47</v>
      </c>
      <c r="C202" t="s">
        <v>48</v>
      </c>
      <c r="D202" t="s">
        <v>49</v>
      </c>
      <c r="E202" t="s">
        <v>4</v>
      </c>
      <c r="F202">
        <v>1373</v>
      </c>
      <c r="G202">
        <v>312</v>
      </c>
      <c r="H202" t="s">
        <v>50</v>
      </c>
      <c r="I202" t="b">
        <f t="shared" si="3"/>
        <v>0</v>
      </c>
    </row>
    <row r="203" spans="1:9" x14ac:dyDescent="0.2">
      <c r="A203" t="s">
        <v>5131</v>
      </c>
      <c r="B203" t="s">
        <v>5132</v>
      </c>
      <c r="C203" t="s">
        <v>223</v>
      </c>
      <c r="D203" t="s">
        <v>3</v>
      </c>
      <c r="E203" t="s">
        <v>4</v>
      </c>
      <c r="F203">
        <v>9</v>
      </c>
      <c r="G203">
        <v>41</v>
      </c>
      <c r="H203" t="s">
        <v>13</v>
      </c>
      <c r="I203" t="b">
        <f t="shared" si="3"/>
        <v>0</v>
      </c>
    </row>
    <row r="204" spans="1:9" x14ac:dyDescent="0.2">
      <c r="A204" t="s">
        <v>7133</v>
      </c>
      <c r="B204" t="s">
        <v>7134</v>
      </c>
      <c r="C204" t="s">
        <v>7135</v>
      </c>
      <c r="D204" t="s">
        <v>7136</v>
      </c>
      <c r="E204" t="s">
        <v>4</v>
      </c>
      <c r="F204">
        <v>726</v>
      </c>
      <c r="G204">
        <v>715</v>
      </c>
      <c r="H204" t="s">
        <v>13</v>
      </c>
      <c r="I204" t="b">
        <f t="shared" si="3"/>
        <v>0</v>
      </c>
    </row>
    <row r="205" spans="1:9" x14ac:dyDescent="0.2">
      <c r="A205" t="s">
        <v>72</v>
      </c>
      <c r="B205" t="s">
        <v>73</v>
      </c>
      <c r="C205" t="s">
        <v>74</v>
      </c>
      <c r="D205" t="s">
        <v>75</v>
      </c>
      <c r="E205" t="s">
        <v>4</v>
      </c>
      <c r="F205">
        <v>24</v>
      </c>
      <c r="G205">
        <v>118</v>
      </c>
      <c r="H205" t="s">
        <v>76</v>
      </c>
      <c r="I205" t="b">
        <f t="shared" si="3"/>
        <v>0</v>
      </c>
    </row>
    <row r="206" spans="1:9" x14ac:dyDescent="0.2">
      <c r="A206" t="s">
        <v>5713</v>
      </c>
      <c r="B206" t="s">
        <v>5714</v>
      </c>
      <c r="C206" t="s">
        <v>1328</v>
      </c>
      <c r="D206" t="s">
        <v>5715</v>
      </c>
      <c r="E206" t="s">
        <v>4</v>
      </c>
      <c r="F206">
        <v>48</v>
      </c>
      <c r="G206">
        <v>122</v>
      </c>
      <c r="H206" t="s">
        <v>13</v>
      </c>
      <c r="I206" t="b">
        <f t="shared" si="3"/>
        <v>0</v>
      </c>
    </row>
    <row r="207" spans="1:9" x14ac:dyDescent="0.2">
      <c r="A207" t="s">
        <v>2202</v>
      </c>
      <c r="B207" t="s">
        <v>2203</v>
      </c>
      <c r="C207" t="s">
        <v>2204</v>
      </c>
      <c r="D207" t="s">
        <v>3</v>
      </c>
      <c r="E207" t="s">
        <v>4</v>
      </c>
      <c r="F207">
        <v>2620</v>
      </c>
      <c r="G207">
        <v>3041</v>
      </c>
      <c r="H207" t="s">
        <v>5</v>
      </c>
      <c r="I207" t="b">
        <f t="shared" si="3"/>
        <v>0</v>
      </c>
    </row>
    <row r="208" spans="1:9" x14ac:dyDescent="0.2">
      <c r="A208" t="s">
        <v>1348</v>
      </c>
      <c r="B208" t="s">
        <v>1349</v>
      </c>
      <c r="C208" t="s">
        <v>895</v>
      </c>
      <c r="D208" t="s">
        <v>3</v>
      </c>
      <c r="E208" t="s">
        <v>4</v>
      </c>
      <c r="F208">
        <v>1565</v>
      </c>
      <c r="G208">
        <v>5001</v>
      </c>
      <c r="H208" t="s">
        <v>13</v>
      </c>
      <c r="I208" t="b">
        <f t="shared" si="3"/>
        <v>0</v>
      </c>
    </row>
    <row r="209" spans="1:9" x14ac:dyDescent="0.2">
      <c r="A209" t="s">
        <v>1322</v>
      </c>
      <c r="B209" t="s">
        <v>1323</v>
      </c>
      <c r="C209" t="s">
        <v>1324</v>
      </c>
      <c r="D209" t="s">
        <v>1325</v>
      </c>
      <c r="E209" t="s">
        <v>4</v>
      </c>
      <c r="F209">
        <v>25</v>
      </c>
      <c r="G209">
        <v>191</v>
      </c>
      <c r="H209" t="s">
        <v>76</v>
      </c>
      <c r="I209" t="b">
        <f t="shared" si="3"/>
        <v>0</v>
      </c>
    </row>
    <row r="210" spans="1:9" x14ac:dyDescent="0.2">
      <c r="A210" t="s">
        <v>3014</v>
      </c>
      <c r="B210" t="s">
        <v>3015</v>
      </c>
      <c r="C210" t="s">
        <v>1099</v>
      </c>
      <c r="D210" t="s">
        <v>3016</v>
      </c>
      <c r="E210" t="s">
        <v>4</v>
      </c>
      <c r="F210">
        <v>2766</v>
      </c>
      <c r="G210">
        <v>3889</v>
      </c>
      <c r="H210" t="s">
        <v>13</v>
      </c>
      <c r="I210" t="b">
        <f t="shared" si="3"/>
        <v>0</v>
      </c>
    </row>
    <row r="211" spans="1:9" x14ac:dyDescent="0.2">
      <c r="A211" t="s">
        <v>6752</v>
      </c>
      <c r="B211" t="s">
        <v>6753</v>
      </c>
      <c r="C211" t="s">
        <v>3369</v>
      </c>
      <c r="D211" t="s">
        <v>3370</v>
      </c>
      <c r="E211" t="s">
        <v>4</v>
      </c>
      <c r="F211">
        <v>43</v>
      </c>
      <c r="G211">
        <v>38</v>
      </c>
      <c r="H211" t="s">
        <v>13</v>
      </c>
      <c r="I211" t="b">
        <f t="shared" si="3"/>
        <v>0</v>
      </c>
    </row>
    <row r="212" spans="1:9" x14ac:dyDescent="0.2">
      <c r="A212" t="s">
        <v>4524</v>
      </c>
      <c r="B212" t="s">
        <v>4525</v>
      </c>
      <c r="C212" t="s">
        <v>996</v>
      </c>
      <c r="D212" t="s">
        <v>3</v>
      </c>
      <c r="E212" t="s">
        <v>4</v>
      </c>
      <c r="F212">
        <v>73</v>
      </c>
      <c r="G212">
        <v>419</v>
      </c>
      <c r="H212" t="s">
        <v>13</v>
      </c>
      <c r="I212" t="b">
        <f t="shared" si="3"/>
        <v>0</v>
      </c>
    </row>
    <row r="213" spans="1:9" x14ac:dyDescent="0.2">
      <c r="A213" t="s">
        <v>5559</v>
      </c>
      <c r="B213" t="s">
        <v>5560</v>
      </c>
      <c r="C213" t="s">
        <v>5561</v>
      </c>
      <c r="D213" t="s">
        <v>3</v>
      </c>
      <c r="E213" t="s">
        <v>4</v>
      </c>
      <c r="F213">
        <v>49</v>
      </c>
      <c r="G213">
        <v>161</v>
      </c>
      <c r="H213" t="s">
        <v>13</v>
      </c>
      <c r="I213" t="b">
        <f t="shared" si="3"/>
        <v>1</v>
      </c>
    </row>
    <row r="214" spans="1:9" x14ac:dyDescent="0.2">
      <c r="A214" t="s">
        <v>4642</v>
      </c>
      <c r="B214" t="s">
        <v>4643</v>
      </c>
      <c r="C214" t="s">
        <v>140</v>
      </c>
      <c r="D214" t="s">
        <v>4644</v>
      </c>
      <c r="E214" t="s">
        <v>4</v>
      </c>
      <c r="F214">
        <v>1256</v>
      </c>
      <c r="G214">
        <v>376</v>
      </c>
      <c r="H214" t="s">
        <v>13</v>
      </c>
      <c r="I214" t="b">
        <f t="shared" si="3"/>
        <v>1</v>
      </c>
    </row>
    <row r="215" spans="1:9" x14ac:dyDescent="0.2">
      <c r="A215" t="s">
        <v>4144</v>
      </c>
      <c r="B215" t="s">
        <v>4145</v>
      </c>
      <c r="C215" t="s">
        <v>4146</v>
      </c>
      <c r="D215" t="s">
        <v>4147</v>
      </c>
      <c r="E215" t="s">
        <v>4</v>
      </c>
      <c r="F215">
        <v>106</v>
      </c>
      <c r="G215">
        <v>330</v>
      </c>
      <c r="H215" t="s">
        <v>13</v>
      </c>
      <c r="I215" t="b">
        <f t="shared" si="3"/>
        <v>0</v>
      </c>
    </row>
    <row r="216" spans="1:9" x14ac:dyDescent="0.2">
      <c r="A216" t="s">
        <v>6674</v>
      </c>
      <c r="B216" t="s">
        <v>6675</v>
      </c>
      <c r="C216" t="s">
        <v>193</v>
      </c>
      <c r="D216" t="s">
        <v>194</v>
      </c>
      <c r="E216" t="s">
        <v>4</v>
      </c>
      <c r="F216">
        <v>1181</v>
      </c>
      <c r="G216">
        <v>767</v>
      </c>
      <c r="H216" t="s">
        <v>13</v>
      </c>
      <c r="I216" t="b">
        <f t="shared" si="3"/>
        <v>0</v>
      </c>
    </row>
    <row r="217" spans="1:9" x14ac:dyDescent="0.2">
      <c r="A217" t="s">
        <v>5046</v>
      </c>
      <c r="B217" t="s">
        <v>5047</v>
      </c>
      <c r="C217" t="s">
        <v>730</v>
      </c>
      <c r="D217" t="s">
        <v>5048</v>
      </c>
      <c r="E217" t="s">
        <v>4</v>
      </c>
      <c r="F217">
        <v>590</v>
      </c>
      <c r="G217">
        <v>1051</v>
      </c>
      <c r="H217" t="s">
        <v>13</v>
      </c>
      <c r="I217" t="b">
        <f t="shared" si="3"/>
        <v>0</v>
      </c>
    </row>
    <row r="218" spans="1:9" x14ac:dyDescent="0.2">
      <c r="A218" t="s">
        <v>5510</v>
      </c>
      <c r="B218" t="s">
        <v>5511</v>
      </c>
      <c r="C218" t="s">
        <v>5512</v>
      </c>
      <c r="D218" t="s">
        <v>3</v>
      </c>
      <c r="E218" t="s">
        <v>4</v>
      </c>
      <c r="F218">
        <v>7</v>
      </c>
      <c r="G218">
        <v>56</v>
      </c>
      <c r="H218" t="s">
        <v>13</v>
      </c>
      <c r="I218" t="b">
        <f t="shared" si="3"/>
        <v>0</v>
      </c>
    </row>
    <row r="219" spans="1:9" x14ac:dyDescent="0.2">
      <c r="A219" t="s">
        <v>2589</v>
      </c>
      <c r="B219" t="s">
        <v>2590</v>
      </c>
      <c r="C219" t="s">
        <v>1090</v>
      </c>
      <c r="D219" t="s">
        <v>2276</v>
      </c>
      <c r="E219" t="s">
        <v>4</v>
      </c>
      <c r="F219">
        <v>54</v>
      </c>
      <c r="G219">
        <v>150</v>
      </c>
      <c r="H219" t="s">
        <v>13</v>
      </c>
      <c r="I219" t="b">
        <f t="shared" si="3"/>
        <v>0</v>
      </c>
    </row>
    <row r="220" spans="1:9" x14ac:dyDescent="0.2">
      <c r="A220" t="s">
        <v>3651</v>
      </c>
      <c r="B220" t="s">
        <v>3652</v>
      </c>
      <c r="C220" t="s">
        <v>884</v>
      </c>
      <c r="D220" t="s">
        <v>109</v>
      </c>
      <c r="E220" t="s">
        <v>4</v>
      </c>
      <c r="F220">
        <v>774</v>
      </c>
      <c r="G220">
        <v>626</v>
      </c>
      <c r="H220" t="s">
        <v>13</v>
      </c>
      <c r="I220" t="b">
        <f t="shared" si="3"/>
        <v>0</v>
      </c>
    </row>
    <row r="221" spans="1:9" x14ac:dyDescent="0.2">
      <c r="A221" t="s">
        <v>6254</v>
      </c>
      <c r="B221" t="s">
        <v>6255</v>
      </c>
      <c r="C221" t="s">
        <v>5812</v>
      </c>
      <c r="D221" t="s">
        <v>3</v>
      </c>
      <c r="E221" t="s">
        <v>4</v>
      </c>
      <c r="F221">
        <v>19</v>
      </c>
      <c r="G221">
        <v>60</v>
      </c>
      <c r="H221" t="s">
        <v>13</v>
      </c>
      <c r="I221" t="b">
        <f t="shared" si="3"/>
        <v>0</v>
      </c>
    </row>
    <row r="222" spans="1:9" x14ac:dyDescent="0.2">
      <c r="A222" t="s">
        <v>2713</v>
      </c>
      <c r="B222" t="s">
        <v>2714</v>
      </c>
      <c r="C222" t="s">
        <v>323</v>
      </c>
      <c r="D222" t="s">
        <v>3</v>
      </c>
      <c r="E222" t="s">
        <v>4</v>
      </c>
      <c r="F222">
        <v>160</v>
      </c>
      <c r="G222">
        <v>980</v>
      </c>
      <c r="H222" t="s">
        <v>13</v>
      </c>
      <c r="I222" t="b">
        <f t="shared" si="3"/>
        <v>0</v>
      </c>
    </row>
    <row r="223" spans="1:9" x14ac:dyDescent="0.2">
      <c r="A223" t="s">
        <v>5634</v>
      </c>
      <c r="B223" t="s">
        <v>5635</v>
      </c>
      <c r="C223" t="s">
        <v>5636</v>
      </c>
      <c r="D223" t="s">
        <v>5637</v>
      </c>
      <c r="E223" t="s">
        <v>4</v>
      </c>
      <c r="F223">
        <v>110</v>
      </c>
      <c r="G223">
        <v>170</v>
      </c>
      <c r="H223" t="s">
        <v>13</v>
      </c>
      <c r="I223" t="b">
        <f t="shared" si="3"/>
        <v>0</v>
      </c>
    </row>
    <row r="224" spans="1:9" x14ac:dyDescent="0.2">
      <c r="A224" t="s">
        <v>5386</v>
      </c>
      <c r="B224" t="s">
        <v>5387</v>
      </c>
      <c r="C224" t="s">
        <v>1991</v>
      </c>
      <c r="D224" t="s">
        <v>3</v>
      </c>
      <c r="E224" t="s">
        <v>4</v>
      </c>
      <c r="F224">
        <v>474</v>
      </c>
      <c r="G224">
        <v>913</v>
      </c>
      <c r="H224" t="s">
        <v>13</v>
      </c>
      <c r="I224" t="b">
        <f t="shared" si="3"/>
        <v>0</v>
      </c>
    </row>
    <row r="225" spans="1:9" x14ac:dyDescent="0.2">
      <c r="A225" t="s">
        <v>1832</v>
      </c>
      <c r="B225" t="s">
        <v>1833</v>
      </c>
      <c r="C225" t="s">
        <v>1035</v>
      </c>
      <c r="D225" t="s">
        <v>3</v>
      </c>
      <c r="E225" t="s">
        <v>4</v>
      </c>
      <c r="F225">
        <v>24</v>
      </c>
      <c r="G225">
        <v>41</v>
      </c>
      <c r="H225" t="s">
        <v>13</v>
      </c>
      <c r="I225" t="b">
        <f t="shared" si="3"/>
        <v>0</v>
      </c>
    </row>
    <row r="226" spans="1:9" x14ac:dyDescent="0.2">
      <c r="A226" t="s">
        <v>3664</v>
      </c>
      <c r="B226" t="s">
        <v>3665</v>
      </c>
      <c r="C226" t="s">
        <v>1009</v>
      </c>
      <c r="D226" t="s">
        <v>3</v>
      </c>
      <c r="E226" t="s">
        <v>4</v>
      </c>
      <c r="F226">
        <v>594</v>
      </c>
      <c r="G226">
        <v>236</v>
      </c>
      <c r="H226" t="s">
        <v>13</v>
      </c>
      <c r="I226" t="b">
        <f t="shared" si="3"/>
        <v>0</v>
      </c>
    </row>
    <row r="227" spans="1:9" x14ac:dyDescent="0.2">
      <c r="A227" t="s">
        <v>2777</v>
      </c>
      <c r="B227" t="s">
        <v>2778</v>
      </c>
      <c r="C227" t="s">
        <v>942</v>
      </c>
      <c r="D227" t="s">
        <v>2779</v>
      </c>
      <c r="E227" t="s">
        <v>4</v>
      </c>
      <c r="F227">
        <v>1210</v>
      </c>
      <c r="G227">
        <v>2424</v>
      </c>
      <c r="H227" t="s">
        <v>13</v>
      </c>
      <c r="I227" t="b">
        <f t="shared" si="3"/>
        <v>0</v>
      </c>
    </row>
    <row r="228" spans="1:9" x14ac:dyDescent="0.2">
      <c r="A228" t="s">
        <v>3490</v>
      </c>
      <c r="B228" t="s">
        <v>3491</v>
      </c>
      <c r="C228" t="s">
        <v>494</v>
      </c>
      <c r="D228" t="s">
        <v>3</v>
      </c>
      <c r="E228" t="s">
        <v>4</v>
      </c>
      <c r="F228">
        <v>10901</v>
      </c>
      <c r="G228">
        <v>566</v>
      </c>
      <c r="H228" t="s">
        <v>13</v>
      </c>
      <c r="I228" t="b">
        <f t="shared" si="3"/>
        <v>0</v>
      </c>
    </row>
    <row r="229" spans="1:9" x14ac:dyDescent="0.2">
      <c r="A229" t="s">
        <v>4461</v>
      </c>
      <c r="B229" t="s">
        <v>4462</v>
      </c>
      <c r="C229" t="s">
        <v>4463</v>
      </c>
      <c r="D229" t="s">
        <v>4464</v>
      </c>
      <c r="E229" t="s">
        <v>4</v>
      </c>
      <c r="F229">
        <v>17</v>
      </c>
      <c r="G229">
        <v>109</v>
      </c>
      <c r="H229" t="s">
        <v>13</v>
      </c>
      <c r="I229" t="b">
        <f t="shared" si="3"/>
        <v>0</v>
      </c>
    </row>
    <row r="230" spans="1:9" x14ac:dyDescent="0.2">
      <c r="A230" t="s">
        <v>1605</v>
      </c>
      <c r="B230" t="s">
        <v>1606</v>
      </c>
      <c r="C230" t="s">
        <v>238</v>
      </c>
      <c r="D230" t="s">
        <v>3</v>
      </c>
      <c r="E230" t="s">
        <v>4</v>
      </c>
      <c r="F230">
        <v>4336</v>
      </c>
      <c r="G230">
        <v>3251</v>
      </c>
      <c r="H230" t="s">
        <v>5</v>
      </c>
      <c r="I230" t="b">
        <f t="shared" si="3"/>
        <v>0</v>
      </c>
    </row>
    <row r="231" spans="1:9" x14ac:dyDescent="0.2">
      <c r="A231" t="s">
        <v>7085</v>
      </c>
      <c r="B231" t="s">
        <v>7086</v>
      </c>
      <c r="C231" t="s">
        <v>31</v>
      </c>
      <c r="D231" t="s">
        <v>3</v>
      </c>
      <c r="E231" t="s">
        <v>4</v>
      </c>
      <c r="F231">
        <v>48</v>
      </c>
      <c r="G231">
        <v>85</v>
      </c>
      <c r="H231" t="s">
        <v>5</v>
      </c>
      <c r="I231" t="b">
        <f t="shared" si="3"/>
        <v>1</v>
      </c>
    </row>
    <row r="232" spans="1:9" x14ac:dyDescent="0.2">
      <c r="A232" t="s">
        <v>1228</v>
      </c>
      <c r="B232" t="s">
        <v>1232</v>
      </c>
      <c r="C232" t="s">
        <v>1230</v>
      </c>
      <c r="D232" t="s">
        <v>1231</v>
      </c>
      <c r="E232" t="s">
        <v>4</v>
      </c>
      <c r="F232">
        <v>425</v>
      </c>
      <c r="G232">
        <v>768</v>
      </c>
      <c r="H232" t="s">
        <v>13</v>
      </c>
      <c r="I232" t="b">
        <f t="shared" si="3"/>
        <v>0</v>
      </c>
    </row>
    <row r="233" spans="1:9" x14ac:dyDescent="0.2">
      <c r="A233" t="s">
        <v>5954</v>
      </c>
      <c r="B233" t="s">
        <v>5955</v>
      </c>
      <c r="C233" t="s">
        <v>5956</v>
      </c>
      <c r="D233" t="s">
        <v>566</v>
      </c>
      <c r="E233" t="s">
        <v>4</v>
      </c>
      <c r="F233">
        <v>38</v>
      </c>
      <c r="G233">
        <v>23</v>
      </c>
      <c r="H233" t="s">
        <v>13</v>
      </c>
      <c r="I233" t="b">
        <f t="shared" si="3"/>
        <v>0</v>
      </c>
    </row>
    <row r="234" spans="1:9" x14ac:dyDescent="0.2">
      <c r="A234" t="s">
        <v>3382</v>
      </c>
      <c r="B234" t="s">
        <v>3383</v>
      </c>
      <c r="C234" t="s">
        <v>3384</v>
      </c>
      <c r="D234" t="s">
        <v>3385</v>
      </c>
      <c r="E234" t="s">
        <v>4</v>
      </c>
      <c r="F234">
        <v>22</v>
      </c>
      <c r="G234">
        <v>35</v>
      </c>
      <c r="H234" t="s">
        <v>13</v>
      </c>
      <c r="I234" t="b">
        <f t="shared" si="3"/>
        <v>0</v>
      </c>
    </row>
    <row r="235" spans="1:9" x14ac:dyDescent="0.2">
      <c r="A235" t="s">
        <v>6368</v>
      </c>
      <c r="B235" t="s">
        <v>6369</v>
      </c>
      <c r="C235" t="s">
        <v>2116</v>
      </c>
      <c r="D235" t="s">
        <v>3</v>
      </c>
      <c r="E235" t="s">
        <v>4</v>
      </c>
      <c r="F235">
        <v>11</v>
      </c>
      <c r="G235">
        <v>144</v>
      </c>
      <c r="H235" t="s">
        <v>13</v>
      </c>
      <c r="I235" t="b">
        <f t="shared" si="3"/>
        <v>0</v>
      </c>
    </row>
    <row r="236" spans="1:9" x14ac:dyDescent="0.2">
      <c r="A236" t="s">
        <v>3898</v>
      </c>
      <c r="B236" t="s">
        <v>3899</v>
      </c>
      <c r="C236" t="s">
        <v>3461</v>
      </c>
      <c r="D236" t="s">
        <v>3900</v>
      </c>
      <c r="E236" t="s">
        <v>4</v>
      </c>
      <c r="F236">
        <v>32</v>
      </c>
      <c r="G236">
        <v>174</v>
      </c>
      <c r="H236" t="s">
        <v>645</v>
      </c>
      <c r="I236" t="b">
        <f t="shared" si="3"/>
        <v>0</v>
      </c>
    </row>
    <row r="237" spans="1:9" x14ac:dyDescent="0.2">
      <c r="A237" t="s">
        <v>6889</v>
      </c>
      <c r="B237" t="s">
        <v>6890</v>
      </c>
      <c r="C237" t="s">
        <v>1438</v>
      </c>
      <c r="D237" t="s">
        <v>1982</v>
      </c>
      <c r="E237" t="s">
        <v>4</v>
      </c>
      <c r="F237">
        <v>635</v>
      </c>
      <c r="G237">
        <v>3924</v>
      </c>
      <c r="H237" t="s">
        <v>645</v>
      </c>
      <c r="I237" t="b">
        <f t="shared" si="3"/>
        <v>0</v>
      </c>
    </row>
    <row r="238" spans="1:9" x14ac:dyDescent="0.2">
      <c r="A238" t="s">
        <v>3132</v>
      </c>
      <c r="B238" t="s">
        <v>3133</v>
      </c>
      <c r="C238" t="s">
        <v>97</v>
      </c>
      <c r="D238" t="s">
        <v>3134</v>
      </c>
      <c r="E238" t="s">
        <v>4</v>
      </c>
      <c r="F238">
        <v>107</v>
      </c>
      <c r="G238">
        <v>218</v>
      </c>
      <c r="H238" t="s">
        <v>13</v>
      </c>
      <c r="I238" t="b">
        <f t="shared" si="3"/>
        <v>0</v>
      </c>
    </row>
    <row r="239" spans="1:9" x14ac:dyDescent="0.2">
      <c r="A239" t="s">
        <v>2107</v>
      </c>
      <c r="B239" t="s">
        <v>2108</v>
      </c>
      <c r="C239" t="s">
        <v>2109</v>
      </c>
      <c r="D239" t="s">
        <v>2110</v>
      </c>
      <c r="E239" t="s">
        <v>4</v>
      </c>
      <c r="F239">
        <v>3</v>
      </c>
      <c r="G239">
        <v>17</v>
      </c>
      <c r="H239" t="s">
        <v>13</v>
      </c>
      <c r="I239" t="b">
        <f t="shared" si="3"/>
        <v>0</v>
      </c>
    </row>
    <row r="240" spans="1:9" x14ac:dyDescent="0.2">
      <c r="A240" t="s">
        <v>2247</v>
      </c>
      <c r="B240" t="s">
        <v>2248</v>
      </c>
      <c r="C240" t="s">
        <v>2249</v>
      </c>
      <c r="D240" t="s">
        <v>3</v>
      </c>
      <c r="E240" t="s">
        <v>4</v>
      </c>
      <c r="F240">
        <v>37</v>
      </c>
      <c r="G240">
        <v>78</v>
      </c>
      <c r="H240" t="s">
        <v>13</v>
      </c>
      <c r="I240" t="b">
        <f t="shared" si="3"/>
        <v>0</v>
      </c>
    </row>
    <row r="241" spans="1:9" x14ac:dyDescent="0.2">
      <c r="A241" t="s">
        <v>6827</v>
      </c>
      <c r="B241" t="s">
        <v>6828</v>
      </c>
      <c r="C241" t="s">
        <v>3663</v>
      </c>
      <c r="D241" t="s">
        <v>64</v>
      </c>
      <c r="E241" t="s">
        <v>4</v>
      </c>
      <c r="F241">
        <v>13712</v>
      </c>
      <c r="G241">
        <v>1730</v>
      </c>
      <c r="H241" t="s">
        <v>13</v>
      </c>
      <c r="I241" t="b">
        <f t="shared" si="3"/>
        <v>0</v>
      </c>
    </row>
    <row r="242" spans="1:9" x14ac:dyDescent="0.2">
      <c r="A242" t="s">
        <v>5900</v>
      </c>
      <c r="B242" t="s">
        <v>5901</v>
      </c>
      <c r="C242" t="s">
        <v>2094</v>
      </c>
      <c r="D242" t="s">
        <v>5902</v>
      </c>
      <c r="E242" t="s">
        <v>4</v>
      </c>
      <c r="F242">
        <v>107</v>
      </c>
      <c r="G242">
        <v>54</v>
      </c>
      <c r="H242" t="s">
        <v>13</v>
      </c>
      <c r="I242" t="b">
        <f t="shared" si="3"/>
        <v>0</v>
      </c>
    </row>
    <row r="243" spans="1:9" x14ac:dyDescent="0.2">
      <c r="A243" t="s">
        <v>419</v>
      </c>
      <c r="B243" t="s">
        <v>420</v>
      </c>
      <c r="C243" t="s">
        <v>421</v>
      </c>
      <c r="D243" t="s">
        <v>422</v>
      </c>
      <c r="E243" t="s">
        <v>4</v>
      </c>
      <c r="F243">
        <v>663</v>
      </c>
      <c r="G243">
        <v>879</v>
      </c>
      <c r="H243" t="s">
        <v>13</v>
      </c>
      <c r="I243" t="b">
        <f t="shared" si="3"/>
        <v>0</v>
      </c>
    </row>
    <row r="244" spans="1:9" x14ac:dyDescent="0.2">
      <c r="A244" t="s">
        <v>3888</v>
      </c>
      <c r="B244" t="s">
        <v>3889</v>
      </c>
      <c r="C244" t="s">
        <v>3890</v>
      </c>
      <c r="D244" t="s">
        <v>3891</v>
      </c>
      <c r="E244" t="s">
        <v>4</v>
      </c>
      <c r="F244">
        <v>4001</v>
      </c>
      <c r="G244">
        <v>755</v>
      </c>
      <c r="H244" t="s">
        <v>13</v>
      </c>
      <c r="I244" t="b">
        <f t="shared" si="3"/>
        <v>0</v>
      </c>
    </row>
    <row r="245" spans="1:9" x14ac:dyDescent="0.2">
      <c r="A245" t="s">
        <v>4082</v>
      </c>
      <c r="B245" t="s">
        <v>4083</v>
      </c>
      <c r="C245" t="s">
        <v>806</v>
      </c>
      <c r="D245" t="s">
        <v>3</v>
      </c>
      <c r="E245" t="s">
        <v>4</v>
      </c>
      <c r="F245">
        <v>7</v>
      </c>
      <c r="G245">
        <v>25</v>
      </c>
      <c r="H245" t="s">
        <v>13</v>
      </c>
      <c r="I245" t="b">
        <f t="shared" si="3"/>
        <v>0</v>
      </c>
    </row>
    <row r="246" spans="1:9" x14ac:dyDescent="0.2">
      <c r="A246" t="s">
        <v>4185</v>
      </c>
      <c r="B246" t="s">
        <v>4186</v>
      </c>
      <c r="C246" t="s">
        <v>4187</v>
      </c>
      <c r="D246" t="s">
        <v>4188</v>
      </c>
      <c r="E246" t="s">
        <v>38</v>
      </c>
      <c r="F246">
        <v>26870</v>
      </c>
      <c r="G246">
        <v>2617</v>
      </c>
      <c r="H246" t="s">
        <v>13</v>
      </c>
      <c r="I246" t="b">
        <f t="shared" si="3"/>
        <v>0</v>
      </c>
    </row>
    <row r="247" spans="1:9" x14ac:dyDescent="0.2">
      <c r="A247" t="s">
        <v>3138</v>
      </c>
      <c r="B247" t="s">
        <v>3139</v>
      </c>
      <c r="C247" t="s">
        <v>3140</v>
      </c>
      <c r="D247" t="s">
        <v>3141</v>
      </c>
      <c r="E247" t="s">
        <v>4</v>
      </c>
      <c r="F247">
        <v>230</v>
      </c>
      <c r="G247">
        <v>518</v>
      </c>
      <c r="H247" t="s">
        <v>13</v>
      </c>
      <c r="I247" t="b">
        <f t="shared" si="3"/>
        <v>0</v>
      </c>
    </row>
    <row r="248" spans="1:9" x14ac:dyDescent="0.2">
      <c r="A248" t="s">
        <v>913</v>
      </c>
      <c r="B248" t="s">
        <v>914</v>
      </c>
      <c r="C248" t="s">
        <v>915</v>
      </c>
      <c r="D248" t="s">
        <v>3</v>
      </c>
      <c r="E248" t="s">
        <v>4</v>
      </c>
      <c r="F248">
        <v>30</v>
      </c>
      <c r="G248">
        <v>23</v>
      </c>
      <c r="H248" t="s">
        <v>13</v>
      </c>
      <c r="I248" t="b">
        <f t="shared" si="3"/>
        <v>0</v>
      </c>
    </row>
    <row r="249" spans="1:9" x14ac:dyDescent="0.2">
      <c r="A249" t="s">
        <v>2745</v>
      </c>
      <c r="B249" t="s">
        <v>2746</v>
      </c>
      <c r="C249" t="s">
        <v>2747</v>
      </c>
      <c r="D249" t="s">
        <v>3</v>
      </c>
      <c r="E249" t="s">
        <v>4</v>
      </c>
      <c r="F249">
        <v>344</v>
      </c>
      <c r="G249">
        <v>232</v>
      </c>
      <c r="H249" t="s">
        <v>13</v>
      </c>
      <c r="I249" t="b">
        <f t="shared" si="3"/>
        <v>0</v>
      </c>
    </row>
    <row r="250" spans="1:9" x14ac:dyDescent="0.2">
      <c r="A250" t="s">
        <v>2021</v>
      </c>
      <c r="B250" t="s">
        <v>2022</v>
      </c>
      <c r="C250" t="s">
        <v>323</v>
      </c>
      <c r="D250" t="s">
        <v>2023</v>
      </c>
      <c r="E250" t="s">
        <v>4</v>
      </c>
      <c r="F250">
        <v>1003</v>
      </c>
      <c r="G250">
        <v>147</v>
      </c>
      <c r="H250" t="s">
        <v>13</v>
      </c>
      <c r="I250" t="b">
        <f t="shared" si="3"/>
        <v>0</v>
      </c>
    </row>
    <row r="251" spans="1:9" x14ac:dyDescent="0.2">
      <c r="A251" t="s">
        <v>2268</v>
      </c>
      <c r="B251" t="s">
        <v>2269</v>
      </c>
      <c r="C251" t="s">
        <v>1317</v>
      </c>
      <c r="D251" t="s">
        <v>3</v>
      </c>
      <c r="E251" t="s">
        <v>4</v>
      </c>
      <c r="F251">
        <v>24</v>
      </c>
      <c r="G251">
        <v>16</v>
      </c>
      <c r="H251" t="s">
        <v>13</v>
      </c>
      <c r="I251" t="b">
        <f t="shared" si="3"/>
        <v>0</v>
      </c>
    </row>
    <row r="252" spans="1:9" x14ac:dyDescent="0.2">
      <c r="A252" t="s">
        <v>5871</v>
      </c>
      <c r="B252" t="s">
        <v>5872</v>
      </c>
      <c r="C252" t="s">
        <v>1947</v>
      </c>
      <c r="D252" t="s">
        <v>5873</v>
      </c>
      <c r="E252" t="s">
        <v>4</v>
      </c>
      <c r="F252">
        <v>393</v>
      </c>
      <c r="G252">
        <v>401</v>
      </c>
      <c r="H252" t="s">
        <v>13</v>
      </c>
      <c r="I252" t="b">
        <f t="shared" si="3"/>
        <v>0</v>
      </c>
    </row>
    <row r="253" spans="1:9" x14ac:dyDescent="0.2">
      <c r="A253" t="s">
        <v>2866</v>
      </c>
      <c r="B253" t="s">
        <v>2867</v>
      </c>
      <c r="C253" t="s">
        <v>675</v>
      </c>
      <c r="D253" t="s">
        <v>2868</v>
      </c>
      <c r="E253" t="s">
        <v>4</v>
      </c>
      <c r="F253">
        <v>327</v>
      </c>
      <c r="G253">
        <v>594</v>
      </c>
      <c r="H253" t="s">
        <v>13</v>
      </c>
      <c r="I253" t="b">
        <f t="shared" si="3"/>
        <v>0</v>
      </c>
    </row>
    <row r="254" spans="1:9" x14ac:dyDescent="0.2">
      <c r="A254" t="s">
        <v>905</v>
      </c>
      <c r="B254" t="s">
        <v>906</v>
      </c>
      <c r="C254" t="s">
        <v>907</v>
      </c>
      <c r="D254" t="s">
        <v>3</v>
      </c>
      <c r="E254" t="s">
        <v>4</v>
      </c>
      <c r="F254">
        <v>4071</v>
      </c>
      <c r="G254">
        <v>423</v>
      </c>
      <c r="H254" t="s">
        <v>13</v>
      </c>
      <c r="I254" t="b">
        <f t="shared" si="3"/>
        <v>0</v>
      </c>
    </row>
    <row r="255" spans="1:9" x14ac:dyDescent="0.2">
      <c r="A255" t="s">
        <v>5363</v>
      </c>
      <c r="B255" t="s">
        <v>5364</v>
      </c>
      <c r="C255" t="s">
        <v>948</v>
      </c>
      <c r="D255" t="s">
        <v>3</v>
      </c>
      <c r="E255" t="s">
        <v>4</v>
      </c>
      <c r="F255">
        <v>42</v>
      </c>
      <c r="G255">
        <v>82</v>
      </c>
      <c r="H255" t="s">
        <v>76</v>
      </c>
      <c r="I255" t="b">
        <f t="shared" si="3"/>
        <v>0</v>
      </c>
    </row>
    <row r="256" spans="1:9" x14ac:dyDescent="0.2">
      <c r="A256" t="s">
        <v>4697</v>
      </c>
      <c r="B256" t="s">
        <v>4698</v>
      </c>
      <c r="C256" t="s">
        <v>4699</v>
      </c>
      <c r="D256" t="s">
        <v>4700</v>
      </c>
      <c r="E256" t="s">
        <v>4</v>
      </c>
      <c r="F256">
        <v>25</v>
      </c>
      <c r="G256">
        <v>73</v>
      </c>
      <c r="H256" t="s">
        <v>13</v>
      </c>
      <c r="I256" t="b">
        <f t="shared" si="3"/>
        <v>0</v>
      </c>
    </row>
    <row r="257" spans="1:9" x14ac:dyDescent="0.2">
      <c r="A257" t="s">
        <v>1875</v>
      </c>
      <c r="B257" t="s">
        <v>1876</v>
      </c>
      <c r="C257" t="s">
        <v>1877</v>
      </c>
      <c r="D257" t="s">
        <v>3</v>
      </c>
      <c r="E257" t="s">
        <v>4</v>
      </c>
      <c r="F257">
        <v>664</v>
      </c>
      <c r="G257">
        <v>897</v>
      </c>
      <c r="H257" t="s">
        <v>13</v>
      </c>
      <c r="I257" t="b">
        <f t="shared" si="3"/>
        <v>0</v>
      </c>
    </row>
    <row r="258" spans="1:9" x14ac:dyDescent="0.2">
      <c r="A258" t="s">
        <v>3901</v>
      </c>
      <c r="B258" t="s">
        <v>3902</v>
      </c>
      <c r="C258" t="s">
        <v>2102</v>
      </c>
      <c r="D258" t="s">
        <v>984</v>
      </c>
      <c r="E258" t="s">
        <v>4</v>
      </c>
      <c r="F258">
        <v>266</v>
      </c>
      <c r="G258">
        <v>621</v>
      </c>
      <c r="H258" t="s">
        <v>13</v>
      </c>
      <c r="I258" t="b">
        <f t="shared" si="3"/>
        <v>0</v>
      </c>
    </row>
    <row r="259" spans="1:9" x14ac:dyDescent="0.2">
      <c r="A259" t="s">
        <v>3188</v>
      </c>
      <c r="B259" t="s">
        <v>3189</v>
      </c>
      <c r="C259" t="s">
        <v>3190</v>
      </c>
      <c r="D259" t="s">
        <v>3</v>
      </c>
      <c r="E259" t="s">
        <v>4</v>
      </c>
      <c r="F259">
        <v>307</v>
      </c>
      <c r="G259">
        <v>849</v>
      </c>
      <c r="H259" t="s">
        <v>13</v>
      </c>
      <c r="I259" t="b">
        <f t="shared" ref="I259:I322" si="4">isDup(B259, B260, 0.7)</f>
        <v>0</v>
      </c>
    </row>
    <row r="260" spans="1:9" x14ac:dyDescent="0.2">
      <c r="A260" t="s">
        <v>1050</v>
      </c>
      <c r="B260" t="s">
        <v>1051</v>
      </c>
      <c r="C260" t="s">
        <v>1052</v>
      </c>
      <c r="D260" t="s">
        <v>3</v>
      </c>
      <c r="E260" t="s">
        <v>4</v>
      </c>
      <c r="F260">
        <v>38</v>
      </c>
      <c r="G260">
        <v>106</v>
      </c>
      <c r="H260" t="s">
        <v>13</v>
      </c>
      <c r="I260" t="b">
        <f t="shared" si="4"/>
        <v>0</v>
      </c>
    </row>
    <row r="261" spans="1:9" x14ac:dyDescent="0.2">
      <c r="A261" t="s">
        <v>5016</v>
      </c>
      <c r="B261" t="s">
        <v>5017</v>
      </c>
      <c r="C261" t="s">
        <v>1812</v>
      </c>
      <c r="D261" t="s">
        <v>5018</v>
      </c>
      <c r="E261" t="s">
        <v>4</v>
      </c>
      <c r="F261">
        <v>498</v>
      </c>
      <c r="G261">
        <v>2922</v>
      </c>
      <c r="H261" t="s">
        <v>13</v>
      </c>
      <c r="I261" t="b">
        <f t="shared" si="4"/>
        <v>0</v>
      </c>
    </row>
    <row r="262" spans="1:9" x14ac:dyDescent="0.2">
      <c r="A262" t="s">
        <v>2427</v>
      </c>
      <c r="B262" t="s">
        <v>2428</v>
      </c>
      <c r="C262" t="s">
        <v>2429</v>
      </c>
      <c r="D262" t="s">
        <v>2430</v>
      </c>
      <c r="E262" t="s">
        <v>4</v>
      </c>
      <c r="F262">
        <v>16</v>
      </c>
      <c r="G262">
        <v>57</v>
      </c>
      <c r="H262" t="s">
        <v>13</v>
      </c>
      <c r="I262" t="b">
        <f t="shared" si="4"/>
        <v>0</v>
      </c>
    </row>
    <row r="263" spans="1:9" x14ac:dyDescent="0.2">
      <c r="A263" t="s">
        <v>4572</v>
      </c>
      <c r="B263" t="s">
        <v>4573</v>
      </c>
      <c r="C263" t="s">
        <v>730</v>
      </c>
      <c r="D263" t="s">
        <v>3</v>
      </c>
      <c r="E263" t="s">
        <v>4</v>
      </c>
      <c r="F263">
        <v>49</v>
      </c>
      <c r="G263">
        <v>146</v>
      </c>
      <c r="H263" t="s">
        <v>13</v>
      </c>
      <c r="I263" t="b">
        <f t="shared" si="4"/>
        <v>0</v>
      </c>
    </row>
    <row r="264" spans="1:9" x14ac:dyDescent="0.2">
      <c r="A264" t="s">
        <v>4909</v>
      </c>
      <c r="B264" t="s">
        <v>4910</v>
      </c>
      <c r="C264" t="s">
        <v>4911</v>
      </c>
      <c r="D264" t="s">
        <v>4912</v>
      </c>
      <c r="E264" t="s">
        <v>4</v>
      </c>
      <c r="F264">
        <v>1000</v>
      </c>
      <c r="G264">
        <v>1394</v>
      </c>
      <c r="H264" t="s">
        <v>13</v>
      </c>
      <c r="I264" t="b">
        <f t="shared" si="4"/>
        <v>0</v>
      </c>
    </row>
    <row r="265" spans="1:9" x14ac:dyDescent="0.2">
      <c r="A265" t="s">
        <v>175</v>
      </c>
      <c r="B265" t="s">
        <v>176</v>
      </c>
      <c r="C265" t="s">
        <v>177</v>
      </c>
      <c r="D265" t="s">
        <v>178</v>
      </c>
      <c r="E265" t="s">
        <v>4</v>
      </c>
      <c r="F265">
        <v>44</v>
      </c>
      <c r="G265">
        <v>163</v>
      </c>
      <c r="H265" t="s">
        <v>13</v>
      </c>
      <c r="I265" t="b">
        <f t="shared" si="4"/>
        <v>0</v>
      </c>
    </row>
    <row r="266" spans="1:9" x14ac:dyDescent="0.2">
      <c r="A266" t="s">
        <v>3805</v>
      </c>
      <c r="B266" t="s">
        <v>3806</v>
      </c>
      <c r="C266" t="s">
        <v>1095</v>
      </c>
      <c r="D266" t="s">
        <v>1347</v>
      </c>
      <c r="E266" t="s">
        <v>4</v>
      </c>
      <c r="F266">
        <v>148</v>
      </c>
      <c r="G266">
        <v>814</v>
      </c>
      <c r="H266" t="s">
        <v>13</v>
      </c>
      <c r="I266" t="b">
        <f t="shared" si="4"/>
        <v>0</v>
      </c>
    </row>
    <row r="267" spans="1:9" x14ac:dyDescent="0.2">
      <c r="A267" t="s">
        <v>330</v>
      </c>
      <c r="B267" t="s">
        <v>331</v>
      </c>
      <c r="C267" t="s">
        <v>332</v>
      </c>
      <c r="D267" t="s">
        <v>333</v>
      </c>
      <c r="E267" t="s">
        <v>4</v>
      </c>
      <c r="F267">
        <v>5053</v>
      </c>
      <c r="G267">
        <v>958</v>
      </c>
      <c r="H267" t="s">
        <v>50</v>
      </c>
      <c r="I267" t="b">
        <f t="shared" si="4"/>
        <v>0</v>
      </c>
    </row>
    <row r="268" spans="1:9" x14ac:dyDescent="0.2">
      <c r="A268" t="s">
        <v>813</v>
      </c>
      <c r="B268" t="s">
        <v>814</v>
      </c>
      <c r="C268" t="s">
        <v>815</v>
      </c>
      <c r="D268" t="s">
        <v>3</v>
      </c>
      <c r="E268" t="s">
        <v>4</v>
      </c>
      <c r="F268">
        <v>919</v>
      </c>
      <c r="G268">
        <v>354</v>
      </c>
      <c r="H268" t="s">
        <v>13</v>
      </c>
      <c r="I268" t="b">
        <f t="shared" si="4"/>
        <v>0</v>
      </c>
    </row>
    <row r="269" spans="1:9" x14ac:dyDescent="0.2">
      <c r="A269" t="s">
        <v>3747</v>
      </c>
      <c r="B269" t="s">
        <v>3748</v>
      </c>
      <c r="C269" t="s">
        <v>3715</v>
      </c>
      <c r="D269" t="s">
        <v>3</v>
      </c>
      <c r="E269" t="s">
        <v>4</v>
      </c>
      <c r="F269">
        <v>25</v>
      </c>
      <c r="G269">
        <v>20</v>
      </c>
      <c r="H269" t="s">
        <v>13</v>
      </c>
      <c r="I269" t="b">
        <f t="shared" si="4"/>
        <v>0</v>
      </c>
    </row>
    <row r="270" spans="1:9" x14ac:dyDescent="0.2">
      <c r="A270" t="s">
        <v>6493</v>
      </c>
      <c r="B270" t="s">
        <v>6494</v>
      </c>
      <c r="C270" t="s">
        <v>6495</v>
      </c>
      <c r="D270" t="s">
        <v>3</v>
      </c>
      <c r="E270" t="s">
        <v>4</v>
      </c>
      <c r="F270">
        <v>1</v>
      </c>
      <c r="G270">
        <v>21</v>
      </c>
      <c r="H270" t="s">
        <v>13</v>
      </c>
      <c r="I270" t="b">
        <f t="shared" si="4"/>
        <v>0</v>
      </c>
    </row>
    <row r="271" spans="1:9" x14ac:dyDescent="0.2">
      <c r="A271" t="s">
        <v>1180</v>
      </c>
      <c r="B271" t="s">
        <v>1182</v>
      </c>
      <c r="C271" t="s">
        <v>561</v>
      </c>
      <c r="D271" t="s">
        <v>562</v>
      </c>
      <c r="E271" t="s">
        <v>4</v>
      </c>
      <c r="F271">
        <v>386</v>
      </c>
      <c r="G271">
        <v>72</v>
      </c>
      <c r="H271" t="s">
        <v>13</v>
      </c>
      <c r="I271" t="b">
        <f t="shared" si="4"/>
        <v>1</v>
      </c>
    </row>
    <row r="272" spans="1:9" x14ac:dyDescent="0.2">
      <c r="A272" t="s">
        <v>559</v>
      </c>
      <c r="B272" t="s">
        <v>560</v>
      </c>
      <c r="C272" t="s">
        <v>561</v>
      </c>
      <c r="D272" t="s">
        <v>562</v>
      </c>
      <c r="E272" t="s">
        <v>4</v>
      </c>
      <c r="F272">
        <v>386</v>
      </c>
      <c r="G272">
        <v>72</v>
      </c>
      <c r="H272" t="s">
        <v>13</v>
      </c>
      <c r="I272" t="b">
        <f t="shared" si="4"/>
        <v>1</v>
      </c>
    </row>
    <row r="273" spans="1:9" x14ac:dyDescent="0.2">
      <c r="A273" t="s">
        <v>4972</v>
      </c>
      <c r="B273" t="s">
        <v>4979</v>
      </c>
      <c r="C273" t="s">
        <v>561</v>
      </c>
      <c r="D273" t="s">
        <v>562</v>
      </c>
      <c r="E273" t="s">
        <v>4</v>
      </c>
      <c r="F273">
        <v>385</v>
      </c>
      <c r="G273">
        <v>72</v>
      </c>
      <c r="H273" t="s">
        <v>13</v>
      </c>
      <c r="I273" t="b">
        <f t="shared" si="4"/>
        <v>1</v>
      </c>
    </row>
    <row r="274" spans="1:9" x14ac:dyDescent="0.2">
      <c r="A274" t="s">
        <v>3497</v>
      </c>
      <c r="B274" t="s">
        <v>3499</v>
      </c>
      <c r="C274" t="s">
        <v>561</v>
      </c>
      <c r="D274" t="s">
        <v>562</v>
      </c>
      <c r="E274" t="s">
        <v>4</v>
      </c>
      <c r="F274">
        <v>385</v>
      </c>
      <c r="G274">
        <v>72</v>
      </c>
      <c r="H274" t="s">
        <v>13</v>
      </c>
      <c r="I274" t="b">
        <f t="shared" si="4"/>
        <v>1</v>
      </c>
    </row>
    <row r="275" spans="1:9" x14ac:dyDescent="0.2">
      <c r="A275" t="s">
        <v>1917</v>
      </c>
      <c r="B275" t="s">
        <v>1918</v>
      </c>
      <c r="C275" t="s">
        <v>561</v>
      </c>
      <c r="D275" t="s">
        <v>562</v>
      </c>
      <c r="E275" t="s">
        <v>4</v>
      </c>
      <c r="F275">
        <v>385</v>
      </c>
      <c r="G275">
        <v>72</v>
      </c>
      <c r="H275" t="s">
        <v>13</v>
      </c>
      <c r="I275" t="b">
        <f t="shared" si="4"/>
        <v>1</v>
      </c>
    </row>
    <row r="276" spans="1:9" x14ac:dyDescent="0.2">
      <c r="A276" t="s">
        <v>7051</v>
      </c>
      <c r="B276" t="s">
        <v>7052</v>
      </c>
      <c r="C276" t="s">
        <v>561</v>
      </c>
      <c r="D276" t="s">
        <v>562</v>
      </c>
      <c r="E276" t="s">
        <v>4</v>
      </c>
      <c r="F276">
        <v>385</v>
      </c>
      <c r="G276">
        <v>72</v>
      </c>
      <c r="H276" t="s">
        <v>13</v>
      </c>
      <c r="I276" t="b">
        <f t="shared" si="4"/>
        <v>1</v>
      </c>
    </row>
    <row r="277" spans="1:9" x14ac:dyDescent="0.2">
      <c r="A277" t="s">
        <v>4259</v>
      </c>
      <c r="B277" t="s">
        <v>4261</v>
      </c>
      <c r="C277" t="s">
        <v>561</v>
      </c>
      <c r="D277" t="s">
        <v>562</v>
      </c>
      <c r="E277" t="s">
        <v>4</v>
      </c>
      <c r="F277">
        <v>385</v>
      </c>
      <c r="G277">
        <v>72</v>
      </c>
      <c r="H277" t="s">
        <v>13</v>
      </c>
      <c r="I277" t="b">
        <f t="shared" si="4"/>
        <v>1</v>
      </c>
    </row>
    <row r="278" spans="1:9" x14ac:dyDescent="0.2">
      <c r="A278" t="s">
        <v>6424</v>
      </c>
      <c r="B278" t="s">
        <v>6425</v>
      </c>
      <c r="C278" t="s">
        <v>561</v>
      </c>
      <c r="D278" t="s">
        <v>562</v>
      </c>
      <c r="E278" t="s">
        <v>4</v>
      </c>
      <c r="F278">
        <v>385</v>
      </c>
      <c r="G278">
        <v>72</v>
      </c>
      <c r="H278" t="s">
        <v>13</v>
      </c>
      <c r="I278" t="b">
        <f t="shared" si="4"/>
        <v>1</v>
      </c>
    </row>
    <row r="279" spans="1:9" x14ac:dyDescent="0.2">
      <c r="A279" t="s">
        <v>2670</v>
      </c>
      <c r="B279" t="s">
        <v>2673</v>
      </c>
      <c r="C279" t="s">
        <v>561</v>
      </c>
      <c r="D279" t="s">
        <v>562</v>
      </c>
      <c r="E279" t="s">
        <v>4</v>
      </c>
      <c r="F279">
        <v>385</v>
      </c>
      <c r="G279">
        <v>72</v>
      </c>
      <c r="H279" t="s">
        <v>13</v>
      </c>
      <c r="I279" t="b">
        <f t="shared" si="4"/>
        <v>1</v>
      </c>
    </row>
    <row r="280" spans="1:9" x14ac:dyDescent="0.2">
      <c r="A280" t="s">
        <v>5611</v>
      </c>
      <c r="B280" t="s">
        <v>5613</v>
      </c>
      <c r="C280" t="s">
        <v>561</v>
      </c>
      <c r="D280" t="s">
        <v>562</v>
      </c>
      <c r="E280" t="s">
        <v>4</v>
      </c>
      <c r="F280">
        <v>385</v>
      </c>
      <c r="G280">
        <v>72</v>
      </c>
      <c r="H280" t="s">
        <v>13</v>
      </c>
      <c r="I280" t="b">
        <f t="shared" si="4"/>
        <v>0</v>
      </c>
    </row>
    <row r="281" spans="1:9" x14ac:dyDescent="0.2">
      <c r="A281" t="s">
        <v>2628</v>
      </c>
      <c r="B281" t="s">
        <v>2629</v>
      </c>
      <c r="C281" t="s">
        <v>884</v>
      </c>
      <c r="D281" t="s">
        <v>3</v>
      </c>
      <c r="E281" t="s">
        <v>4</v>
      </c>
      <c r="F281">
        <v>14552</v>
      </c>
      <c r="G281">
        <v>552</v>
      </c>
      <c r="H281" t="s">
        <v>13</v>
      </c>
      <c r="I281" t="b">
        <f t="shared" si="4"/>
        <v>0</v>
      </c>
    </row>
    <row r="282" spans="1:9" x14ac:dyDescent="0.2">
      <c r="A282" t="s">
        <v>1627</v>
      </c>
      <c r="B282" t="s">
        <v>1628</v>
      </c>
      <c r="C282" t="s">
        <v>293</v>
      </c>
      <c r="D282" t="s">
        <v>3</v>
      </c>
      <c r="E282" t="s">
        <v>4</v>
      </c>
      <c r="F282">
        <v>19</v>
      </c>
      <c r="G282">
        <v>28</v>
      </c>
      <c r="H282" t="s">
        <v>13</v>
      </c>
      <c r="I282" t="b">
        <f t="shared" si="4"/>
        <v>0</v>
      </c>
    </row>
    <row r="283" spans="1:9" x14ac:dyDescent="0.2">
      <c r="A283" t="s">
        <v>780</v>
      </c>
      <c r="B283" t="s">
        <v>781</v>
      </c>
      <c r="C283" t="s">
        <v>712</v>
      </c>
      <c r="D283" t="s">
        <v>3</v>
      </c>
      <c r="E283" t="s">
        <v>4</v>
      </c>
      <c r="F283">
        <v>316</v>
      </c>
      <c r="G283">
        <v>201</v>
      </c>
      <c r="H283" t="s">
        <v>13</v>
      </c>
      <c r="I283" t="b">
        <f t="shared" si="4"/>
        <v>0</v>
      </c>
    </row>
    <row r="284" spans="1:9" x14ac:dyDescent="0.2">
      <c r="A284" t="s">
        <v>2969</v>
      </c>
      <c r="B284" t="s">
        <v>2970</v>
      </c>
      <c r="C284" t="s">
        <v>1842</v>
      </c>
      <c r="D284" t="s">
        <v>2971</v>
      </c>
      <c r="E284" t="s">
        <v>4</v>
      </c>
      <c r="F284">
        <v>554</v>
      </c>
      <c r="G284">
        <v>445</v>
      </c>
      <c r="H284" t="s">
        <v>13</v>
      </c>
      <c r="I284" t="b">
        <f t="shared" si="4"/>
        <v>0</v>
      </c>
    </row>
    <row r="285" spans="1:9" x14ac:dyDescent="0.2">
      <c r="A285" t="s">
        <v>5107</v>
      </c>
      <c r="B285" t="s">
        <v>5108</v>
      </c>
      <c r="C285" t="s">
        <v>5109</v>
      </c>
      <c r="D285" t="s">
        <v>3</v>
      </c>
      <c r="E285" t="s">
        <v>4</v>
      </c>
      <c r="F285">
        <v>2544</v>
      </c>
      <c r="G285">
        <v>150</v>
      </c>
      <c r="H285" t="s">
        <v>13</v>
      </c>
      <c r="I285" t="b">
        <f t="shared" si="4"/>
        <v>0</v>
      </c>
    </row>
    <row r="286" spans="1:9" x14ac:dyDescent="0.2">
      <c r="A286" t="s">
        <v>6881</v>
      </c>
      <c r="B286" t="s">
        <v>6882</v>
      </c>
      <c r="C286" t="s">
        <v>450</v>
      </c>
      <c r="D286" t="s">
        <v>3426</v>
      </c>
      <c r="E286" t="s">
        <v>4</v>
      </c>
      <c r="F286">
        <v>160</v>
      </c>
      <c r="G286">
        <v>171</v>
      </c>
      <c r="H286" t="s">
        <v>13</v>
      </c>
      <c r="I286" t="b">
        <f t="shared" si="4"/>
        <v>0</v>
      </c>
    </row>
    <row r="287" spans="1:9" x14ac:dyDescent="0.2">
      <c r="A287" t="s">
        <v>6689</v>
      </c>
      <c r="B287" t="s">
        <v>6690</v>
      </c>
      <c r="C287" t="s">
        <v>1359</v>
      </c>
      <c r="D287" t="s">
        <v>1340</v>
      </c>
      <c r="E287" t="s">
        <v>4</v>
      </c>
      <c r="F287">
        <v>17</v>
      </c>
      <c r="G287">
        <v>112</v>
      </c>
      <c r="H287" t="s">
        <v>13</v>
      </c>
      <c r="I287" t="b">
        <f t="shared" si="4"/>
        <v>0</v>
      </c>
    </row>
    <row r="288" spans="1:9" x14ac:dyDescent="0.2">
      <c r="A288" t="s">
        <v>5893</v>
      </c>
      <c r="B288" t="s">
        <v>5894</v>
      </c>
      <c r="C288" t="s">
        <v>197</v>
      </c>
      <c r="D288" t="s">
        <v>1740</v>
      </c>
      <c r="E288" t="s">
        <v>4</v>
      </c>
      <c r="F288">
        <v>66</v>
      </c>
      <c r="G288">
        <v>149</v>
      </c>
      <c r="H288" t="s">
        <v>13</v>
      </c>
      <c r="I288" t="b">
        <f t="shared" si="4"/>
        <v>0</v>
      </c>
    </row>
    <row r="289" spans="1:9" x14ac:dyDescent="0.2">
      <c r="A289" t="s">
        <v>4239</v>
      </c>
      <c r="B289" t="s">
        <v>4240</v>
      </c>
      <c r="C289" t="s">
        <v>3076</v>
      </c>
      <c r="D289" t="s">
        <v>3</v>
      </c>
      <c r="E289" t="s">
        <v>4</v>
      </c>
      <c r="F289">
        <v>5</v>
      </c>
      <c r="G289">
        <v>45</v>
      </c>
      <c r="H289" t="s">
        <v>645</v>
      </c>
      <c r="I289" t="b">
        <f t="shared" si="4"/>
        <v>1</v>
      </c>
    </row>
    <row r="290" spans="1:9" x14ac:dyDescent="0.2">
      <c r="A290" t="s">
        <v>6719</v>
      </c>
      <c r="B290" t="s">
        <v>6720</v>
      </c>
      <c r="C290" t="s">
        <v>6701</v>
      </c>
      <c r="D290" t="s">
        <v>538</v>
      </c>
      <c r="E290" t="s">
        <v>4</v>
      </c>
      <c r="F290">
        <v>86</v>
      </c>
      <c r="G290">
        <v>93</v>
      </c>
      <c r="H290" t="s">
        <v>13</v>
      </c>
      <c r="I290" t="b">
        <f t="shared" si="4"/>
        <v>0</v>
      </c>
    </row>
    <row r="291" spans="1:9" x14ac:dyDescent="0.2">
      <c r="A291" t="s">
        <v>6020</v>
      </c>
      <c r="B291" t="s">
        <v>6021</v>
      </c>
      <c r="C291" t="s">
        <v>6022</v>
      </c>
      <c r="D291" t="s">
        <v>3</v>
      </c>
      <c r="E291" t="s">
        <v>4</v>
      </c>
      <c r="F291">
        <v>2</v>
      </c>
      <c r="G291">
        <v>20</v>
      </c>
      <c r="H291" t="s">
        <v>13</v>
      </c>
      <c r="I291" t="b">
        <f t="shared" si="4"/>
        <v>0</v>
      </c>
    </row>
    <row r="292" spans="1:9" x14ac:dyDescent="0.2">
      <c r="A292" t="s">
        <v>501</v>
      </c>
      <c r="B292" t="s">
        <v>502</v>
      </c>
      <c r="C292" t="s">
        <v>340</v>
      </c>
      <c r="D292" t="s">
        <v>341</v>
      </c>
      <c r="E292" t="s">
        <v>4</v>
      </c>
      <c r="F292">
        <v>127</v>
      </c>
      <c r="G292">
        <v>452</v>
      </c>
      <c r="H292" t="s">
        <v>342</v>
      </c>
      <c r="I292" t="b">
        <f t="shared" si="4"/>
        <v>1</v>
      </c>
    </row>
    <row r="293" spans="1:9" x14ac:dyDescent="0.2">
      <c r="A293" t="s">
        <v>4518</v>
      </c>
      <c r="B293" t="s">
        <v>4519</v>
      </c>
      <c r="C293" t="s">
        <v>4520</v>
      </c>
      <c r="D293" t="s">
        <v>4521</v>
      </c>
      <c r="E293" t="s">
        <v>4</v>
      </c>
      <c r="F293">
        <v>4041</v>
      </c>
      <c r="G293">
        <v>155</v>
      </c>
      <c r="H293" t="s">
        <v>13</v>
      </c>
      <c r="I293" t="b">
        <f t="shared" si="4"/>
        <v>0</v>
      </c>
    </row>
    <row r="294" spans="1:9" x14ac:dyDescent="0.2">
      <c r="A294" t="s">
        <v>338</v>
      </c>
      <c r="B294" t="s">
        <v>339</v>
      </c>
      <c r="C294" t="s">
        <v>340</v>
      </c>
      <c r="D294" t="s">
        <v>341</v>
      </c>
      <c r="E294" t="s">
        <v>4</v>
      </c>
      <c r="F294">
        <v>125</v>
      </c>
      <c r="G294">
        <v>438</v>
      </c>
      <c r="H294" t="s">
        <v>342</v>
      </c>
      <c r="I294" t="b">
        <f t="shared" si="4"/>
        <v>0</v>
      </c>
    </row>
    <row r="295" spans="1:9" x14ac:dyDescent="0.2">
      <c r="A295" t="s">
        <v>4121</v>
      </c>
      <c r="B295" t="s">
        <v>4122</v>
      </c>
      <c r="C295" t="s">
        <v>4123</v>
      </c>
      <c r="D295" t="s">
        <v>4124</v>
      </c>
      <c r="E295" t="s">
        <v>4</v>
      </c>
      <c r="F295">
        <v>10306</v>
      </c>
      <c r="G295">
        <v>1088</v>
      </c>
      <c r="H295" t="s">
        <v>13</v>
      </c>
      <c r="I295" t="b">
        <f t="shared" si="4"/>
        <v>0</v>
      </c>
    </row>
    <row r="296" spans="1:9" x14ac:dyDescent="0.2">
      <c r="A296" t="s">
        <v>6107</v>
      </c>
      <c r="B296" t="s">
        <v>6108</v>
      </c>
      <c r="C296" t="s">
        <v>6109</v>
      </c>
      <c r="D296" t="s">
        <v>6110</v>
      </c>
      <c r="E296" t="s">
        <v>4</v>
      </c>
      <c r="F296">
        <v>168</v>
      </c>
      <c r="G296">
        <v>174</v>
      </c>
      <c r="H296" t="s">
        <v>50</v>
      </c>
      <c r="I296" t="b">
        <f t="shared" si="4"/>
        <v>0</v>
      </c>
    </row>
    <row r="297" spans="1:9" x14ac:dyDescent="0.2">
      <c r="A297" t="s">
        <v>3691</v>
      </c>
      <c r="B297" t="s">
        <v>3692</v>
      </c>
      <c r="C297" t="s">
        <v>2233</v>
      </c>
      <c r="D297" t="s">
        <v>3574</v>
      </c>
      <c r="E297" t="s">
        <v>4</v>
      </c>
      <c r="F297">
        <v>78</v>
      </c>
      <c r="G297">
        <v>124</v>
      </c>
      <c r="H297" t="s">
        <v>13</v>
      </c>
      <c r="I297" t="b">
        <f t="shared" si="4"/>
        <v>0</v>
      </c>
    </row>
    <row r="298" spans="1:9" x14ac:dyDescent="0.2">
      <c r="A298" t="s">
        <v>4422</v>
      </c>
      <c r="B298" t="s">
        <v>4423</v>
      </c>
      <c r="C298" t="s">
        <v>752</v>
      </c>
      <c r="D298" t="s">
        <v>753</v>
      </c>
      <c r="E298" t="s">
        <v>4</v>
      </c>
      <c r="F298">
        <v>3059</v>
      </c>
      <c r="G298">
        <v>983</v>
      </c>
      <c r="H298" t="s">
        <v>13</v>
      </c>
      <c r="I298" t="b">
        <f t="shared" si="4"/>
        <v>0</v>
      </c>
    </row>
    <row r="299" spans="1:9" x14ac:dyDescent="0.2">
      <c r="A299" t="s">
        <v>1126</v>
      </c>
      <c r="B299" t="s">
        <v>1127</v>
      </c>
      <c r="C299" t="s">
        <v>752</v>
      </c>
      <c r="D299" t="s">
        <v>753</v>
      </c>
      <c r="E299" t="s">
        <v>4</v>
      </c>
      <c r="F299">
        <v>3058</v>
      </c>
      <c r="G299">
        <v>983</v>
      </c>
      <c r="H299" t="s">
        <v>13</v>
      </c>
      <c r="I299" t="b">
        <f t="shared" si="4"/>
        <v>0</v>
      </c>
    </row>
    <row r="300" spans="1:9" x14ac:dyDescent="0.2">
      <c r="A300" t="s">
        <v>3994</v>
      </c>
      <c r="B300" t="s">
        <v>3995</v>
      </c>
      <c r="C300" t="s">
        <v>1896</v>
      </c>
      <c r="D300" t="s">
        <v>3996</v>
      </c>
      <c r="E300" t="s">
        <v>4</v>
      </c>
      <c r="F300">
        <v>4</v>
      </c>
      <c r="G300">
        <v>20</v>
      </c>
      <c r="H300" t="s">
        <v>13</v>
      </c>
      <c r="I300" t="b">
        <f t="shared" si="4"/>
        <v>0</v>
      </c>
    </row>
    <row r="301" spans="1:9" x14ac:dyDescent="0.2">
      <c r="A301" t="s">
        <v>2805</v>
      </c>
      <c r="B301" t="s">
        <v>2806</v>
      </c>
      <c r="C301" t="s">
        <v>2807</v>
      </c>
      <c r="D301" t="s">
        <v>2808</v>
      </c>
      <c r="E301" t="s">
        <v>4</v>
      </c>
      <c r="F301">
        <v>50913</v>
      </c>
      <c r="G301">
        <v>308</v>
      </c>
      <c r="H301" t="s">
        <v>13</v>
      </c>
      <c r="I301" t="b">
        <f t="shared" si="4"/>
        <v>0</v>
      </c>
    </row>
    <row r="302" spans="1:9" x14ac:dyDescent="0.2">
      <c r="A302" t="s">
        <v>871</v>
      </c>
      <c r="B302" t="s">
        <v>872</v>
      </c>
      <c r="C302" t="s">
        <v>752</v>
      </c>
      <c r="D302" t="s">
        <v>753</v>
      </c>
      <c r="E302" t="s">
        <v>4</v>
      </c>
      <c r="F302">
        <v>3058</v>
      </c>
      <c r="G302">
        <v>983</v>
      </c>
      <c r="H302" t="s">
        <v>13</v>
      </c>
      <c r="I302" t="b">
        <f t="shared" si="4"/>
        <v>0</v>
      </c>
    </row>
    <row r="303" spans="1:9" x14ac:dyDescent="0.2">
      <c r="A303" t="s">
        <v>5534</v>
      </c>
      <c r="B303" t="s">
        <v>5535</v>
      </c>
      <c r="C303" t="s">
        <v>730</v>
      </c>
      <c r="D303" t="s">
        <v>5536</v>
      </c>
      <c r="E303" t="s">
        <v>4</v>
      </c>
      <c r="F303">
        <v>109</v>
      </c>
      <c r="G303">
        <v>584</v>
      </c>
      <c r="H303" t="s">
        <v>13</v>
      </c>
      <c r="I303" t="b">
        <f t="shared" si="4"/>
        <v>0</v>
      </c>
    </row>
    <row r="304" spans="1:9" x14ac:dyDescent="0.2">
      <c r="A304" t="s">
        <v>6819</v>
      </c>
      <c r="B304" t="s">
        <v>6820</v>
      </c>
      <c r="C304" t="s">
        <v>6821</v>
      </c>
      <c r="D304" t="s">
        <v>3</v>
      </c>
      <c r="E304" t="s">
        <v>4</v>
      </c>
      <c r="F304">
        <v>17</v>
      </c>
      <c r="G304">
        <v>146</v>
      </c>
      <c r="H304" t="s">
        <v>13</v>
      </c>
      <c r="I304" t="b">
        <f t="shared" si="4"/>
        <v>0</v>
      </c>
    </row>
    <row r="305" spans="1:9" x14ac:dyDescent="0.2">
      <c r="A305" t="s">
        <v>3045</v>
      </c>
      <c r="B305" t="s">
        <v>3046</v>
      </c>
      <c r="C305" t="s">
        <v>752</v>
      </c>
      <c r="D305" t="s">
        <v>753</v>
      </c>
      <c r="E305" t="s">
        <v>4</v>
      </c>
      <c r="F305">
        <v>3059</v>
      </c>
      <c r="G305">
        <v>983</v>
      </c>
      <c r="H305" t="s">
        <v>13</v>
      </c>
      <c r="I305" t="b">
        <f t="shared" si="4"/>
        <v>0</v>
      </c>
    </row>
    <row r="306" spans="1:9" x14ac:dyDescent="0.2">
      <c r="A306" t="s">
        <v>7248</v>
      </c>
      <c r="B306" t="s">
        <v>7249</v>
      </c>
      <c r="C306" t="s">
        <v>5998</v>
      </c>
      <c r="D306" t="s">
        <v>5999</v>
      </c>
      <c r="E306" t="s">
        <v>4</v>
      </c>
      <c r="F306">
        <v>839</v>
      </c>
      <c r="G306">
        <v>744</v>
      </c>
      <c r="H306" t="s">
        <v>13</v>
      </c>
      <c r="I306" t="b">
        <f t="shared" si="4"/>
        <v>0</v>
      </c>
    </row>
    <row r="307" spans="1:9" x14ac:dyDescent="0.2">
      <c r="A307" t="s">
        <v>5819</v>
      </c>
      <c r="B307" t="s">
        <v>5820</v>
      </c>
      <c r="C307" t="s">
        <v>3570</v>
      </c>
      <c r="D307" t="s">
        <v>3571</v>
      </c>
      <c r="E307" t="s">
        <v>4</v>
      </c>
      <c r="F307">
        <v>639</v>
      </c>
      <c r="G307">
        <v>181</v>
      </c>
      <c r="H307" t="s">
        <v>13</v>
      </c>
      <c r="I307" t="b">
        <f t="shared" si="4"/>
        <v>0</v>
      </c>
    </row>
    <row r="308" spans="1:9" x14ac:dyDescent="0.2">
      <c r="A308" t="s">
        <v>5722</v>
      </c>
      <c r="B308" t="s">
        <v>5723</v>
      </c>
      <c r="C308" t="s">
        <v>5724</v>
      </c>
      <c r="D308" t="s">
        <v>5725</v>
      </c>
      <c r="E308" t="s">
        <v>4</v>
      </c>
      <c r="F308">
        <v>15348</v>
      </c>
      <c r="G308">
        <v>70</v>
      </c>
      <c r="H308" t="s">
        <v>13</v>
      </c>
      <c r="I308" t="b">
        <f t="shared" si="4"/>
        <v>0</v>
      </c>
    </row>
    <row r="309" spans="1:9" x14ac:dyDescent="0.2">
      <c r="A309" t="s">
        <v>6194</v>
      </c>
      <c r="B309" t="s">
        <v>6195</v>
      </c>
      <c r="C309" t="s">
        <v>6196</v>
      </c>
      <c r="D309" t="s">
        <v>6197</v>
      </c>
      <c r="E309" t="s">
        <v>4</v>
      </c>
      <c r="F309">
        <v>88</v>
      </c>
      <c r="G309">
        <v>578</v>
      </c>
      <c r="H309" t="s">
        <v>13</v>
      </c>
      <c r="I309" t="b">
        <f t="shared" si="4"/>
        <v>0</v>
      </c>
    </row>
    <row r="310" spans="1:9" x14ac:dyDescent="0.2">
      <c r="A310" t="s">
        <v>5768</v>
      </c>
      <c r="B310" t="s">
        <v>5769</v>
      </c>
      <c r="C310" t="s">
        <v>2230</v>
      </c>
      <c r="D310" t="s">
        <v>4473</v>
      </c>
      <c r="E310" t="s">
        <v>4</v>
      </c>
      <c r="F310">
        <v>9528</v>
      </c>
      <c r="G310">
        <v>304</v>
      </c>
      <c r="H310" t="s">
        <v>13</v>
      </c>
      <c r="I310" t="b">
        <f t="shared" si="4"/>
        <v>0</v>
      </c>
    </row>
    <row r="311" spans="1:9" x14ac:dyDescent="0.2">
      <c r="A311" t="s">
        <v>386</v>
      </c>
      <c r="B311" t="s">
        <v>387</v>
      </c>
      <c r="C311" t="s">
        <v>215</v>
      </c>
      <c r="D311" t="s">
        <v>388</v>
      </c>
      <c r="E311" t="s">
        <v>4</v>
      </c>
      <c r="F311">
        <v>1449</v>
      </c>
      <c r="G311">
        <v>4998</v>
      </c>
      <c r="H311" t="s">
        <v>13</v>
      </c>
      <c r="I311" t="b">
        <f t="shared" si="4"/>
        <v>0</v>
      </c>
    </row>
    <row r="312" spans="1:9" x14ac:dyDescent="0.2">
      <c r="A312" t="s">
        <v>1730</v>
      </c>
      <c r="B312" t="s">
        <v>1731</v>
      </c>
      <c r="C312" t="s">
        <v>1691</v>
      </c>
      <c r="D312" t="s">
        <v>1732</v>
      </c>
      <c r="E312" t="s">
        <v>38</v>
      </c>
      <c r="F312">
        <v>72038</v>
      </c>
      <c r="G312">
        <v>420</v>
      </c>
      <c r="H312" t="s">
        <v>13</v>
      </c>
      <c r="I312" t="b">
        <f t="shared" si="4"/>
        <v>0</v>
      </c>
    </row>
    <row r="313" spans="1:9" x14ac:dyDescent="0.2">
      <c r="A313" t="s">
        <v>1367</v>
      </c>
      <c r="B313" t="s">
        <v>1368</v>
      </c>
      <c r="C313" t="s">
        <v>581</v>
      </c>
      <c r="D313" t="s">
        <v>1369</v>
      </c>
      <c r="E313" t="s">
        <v>4</v>
      </c>
      <c r="F313">
        <v>327</v>
      </c>
      <c r="G313">
        <v>59</v>
      </c>
      <c r="H313" t="s">
        <v>13</v>
      </c>
      <c r="I313" t="b">
        <f t="shared" si="4"/>
        <v>0</v>
      </c>
    </row>
    <row r="314" spans="1:9" x14ac:dyDescent="0.2">
      <c r="A314" t="s">
        <v>1154</v>
      </c>
      <c r="B314" t="s">
        <v>1155</v>
      </c>
      <c r="C314" t="s">
        <v>978</v>
      </c>
      <c r="D314" t="s">
        <v>3</v>
      </c>
      <c r="E314" t="s">
        <v>4</v>
      </c>
      <c r="F314">
        <v>30882</v>
      </c>
      <c r="G314">
        <v>2604</v>
      </c>
      <c r="H314" t="s">
        <v>13</v>
      </c>
      <c r="I314" t="b">
        <f t="shared" si="4"/>
        <v>0</v>
      </c>
    </row>
    <row r="315" spans="1:9" x14ac:dyDescent="0.2">
      <c r="A315" t="s">
        <v>4729</v>
      </c>
      <c r="B315" t="s">
        <v>4730</v>
      </c>
      <c r="C315" t="s">
        <v>758</v>
      </c>
      <c r="D315" t="s">
        <v>3</v>
      </c>
      <c r="E315" t="s">
        <v>4</v>
      </c>
      <c r="F315">
        <v>202</v>
      </c>
      <c r="G315">
        <v>448</v>
      </c>
      <c r="H315" t="s">
        <v>13</v>
      </c>
      <c r="I315" t="b">
        <f t="shared" si="4"/>
        <v>0</v>
      </c>
    </row>
    <row r="316" spans="1:9" x14ac:dyDescent="0.2">
      <c r="A316" t="s">
        <v>4430</v>
      </c>
      <c r="B316" t="s">
        <v>4431</v>
      </c>
      <c r="C316" t="s">
        <v>230</v>
      </c>
      <c r="D316" t="s">
        <v>1964</v>
      </c>
      <c r="E316" t="s">
        <v>4</v>
      </c>
      <c r="F316">
        <v>226</v>
      </c>
      <c r="G316">
        <v>838</v>
      </c>
      <c r="H316" t="s">
        <v>13</v>
      </c>
      <c r="I316" t="b">
        <f t="shared" si="4"/>
        <v>0</v>
      </c>
    </row>
    <row r="317" spans="1:9" x14ac:dyDescent="0.2">
      <c r="A317" t="s">
        <v>5638</v>
      </c>
      <c r="B317" t="s">
        <v>5639</v>
      </c>
      <c r="C317" t="s">
        <v>3852</v>
      </c>
      <c r="D317" t="s">
        <v>5640</v>
      </c>
      <c r="E317" t="s">
        <v>4</v>
      </c>
      <c r="F317">
        <v>877</v>
      </c>
      <c r="G317">
        <v>249</v>
      </c>
      <c r="H317" t="s">
        <v>13</v>
      </c>
      <c r="I317" t="b">
        <f t="shared" si="4"/>
        <v>1</v>
      </c>
    </row>
    <row r="318" spans="1:9" x14ac:dyDescent="0.2">
      <c r="A318" t="s">
        <v>991</v>
      </c>
      <c r="B318" t="s">
        <v>992</v>
      </c>
      <c r="C318" t="s">
        <v>993</v>
      </c>
      <c r="D318" t="s">
        <v>3</v>
      </c>
      <c r="E318" t="s">
        <v>4</v>
      </c>
      <c r="F318">
        <v>32</v>
      </c>
      <c r="G318">
        <v>133</v>
      </c>
      <c r="H318" t="s">
        <v>13</v>
      </c>
      <c r="I318" t="b">
        <f t="shared" si="4"/>
        <v>0</v>
      </c>
    </row>
    <row r="319" spans="1:9" x14ac:dyDescent="0.2">
      <c r="A319" t="s">
        <v>4786</v>
      </c>
      <c r="B319" t="s">
        <v>4787</v>
      </c>
      <c r="C319" t="s">
        <v>4788</v>
      </c>
      <c r="D319" t="s">
        <v>1657</v>
      </c>
      <c r="E319" t="s">
        <v>4</v>
      </c>
      <c r="F319">
        <v>10364</v>
      </c>
      <c r="G319">
        <v>10928</v>
      </c>
      <c r="H319" t="s">
        <v>13</v>
      </c>
      <c r="I319" t="b">
        <f t="shared" si="4"/>
        <v>0</v>
      </c>
    </row>
    <row r="320" spans="1:9" x14ac:dyDescent="0.2">
      <c r="A320" t="s">
        <v>868</v>
      </c>
      <c r="B320" t="s">
        <v>869</v>
      </c>
      <c r="C320" t="s">
        <v>870</v>
      </c>
      <c r="D320" t="s">
        <v>172</v>
      </c>
      <c r="E320" t="s">
        <v>4</v>
      </c>
      <c r="F320">
        <v>211</v>
      </c>
      <c r="G320">
        <v>988</v>
      </c>
      <c r="H320" t="s">
        <v>13</v>
      </c>
      <c r="I320" t="b">
        <f t="shared" si="4"/>
        <v>0</v>
      </c>
    </row>
    <row r="321" spans="1:9" x14ac:dyDescent="0.2">
      <c r="A321" t="s">
        <v>3439</v>
      </c>
      <c r="B321" t="s">
        <v>3440</v>
      </c>
      <c r="C321" t="s">
        <v>1019</v>
      </c>
      <c r="D321" t="s">
        <v>3</v>
      </c>
      <c r="E321" t="s">
        <v>4</v>
      </c>
      <c r="F321">
        <v>24</v>
      </c>
      <c r="G321">
        <v>134</v>
      </c>
      <c r="H321" t="s">
        <v>13</v>
      </c>
      <c r="I321" t="b">
        <f t="shared" si="4"/>
        <v>0</v>
      </c>
    </row>
    <row r="322" spans="1:9" x14ac:dyDescent="0.2">
      <c r="A322" t="s">
        <v>370</v>
      </c>
      <c r="B322" t="s">
        <v>371</v>
      </c>
      <c r="C322" t="s">
        <v>372</v>
      </c>
      <c r="D322" t="s">
        <v>373</v>
      </c>
      <c r="E322" t="s">
        <v>4</v>
      </c>
      <c r="F322">
        <v>506</v>
      </c>
      <c r="G322">
        <v>442</v>
      </c>
      <c r="H322" t="s">
        <v>374</v>
      </c>
      <c r="I322" t="b">
        <f t="shared" si="4"/>
        <v>1</v>
      </c>
    </row>
    <row r="323" spans="1:9" x14ac:dyDescent="0.2">
      <c r="A323" t="s">
        <v>1689</v>
      </c>
      <c r="B323" t="s">
        <v>1690</v>
      </c>
      <c r="C323" t="s">
        <v>1691</v>
      </c>
      <c r="D323" t="s">
        <v>3</v>
      </c>
      <c r="E323" t="s">
        <v>4</v>
      </c>
      <c r="F323">
        <v>38</v>
      </c>
      <c r="G323">
        <v>163</v>
      </c>
      <c r="H323" t="s">
        <v>1692</v>
      </c>
      <c r="I323" t="b">
        <f t="shared" ref="I323:I386" si="5">isDup(B323, B324, 0.7)</f>
        <v>1</v>
      </c>
    </row>
    <row r="324" spans="1:9" x14ac:dyDescent="0.2">
      <c r="A324" t="s">
        <v>4194</v>
      </c>
      <c r="B324" t="s">
        <v>4195</v>
      </c>
      <c r="C324" t="s">
        <v>85</v>
      </c>
      <c r="D324" t="s">
        <v>4196</v>
      </c>
      <c r="E324" t="s">
        <v>4</v>
      </c>
      <c r="F324">
        <v>58759</v>
      </c>
      <c r="G324">
        <v>20790</v>
      </c>
      <c r="H324" t="s">
        <v>13</v>
      </c>
      <c r="I324" t="b">
        <f t="shared" si="5"/>
        <v>0</v>
      </c>
    </row>
    <row r="325" spans="1:9" x14ac:dyDescent="0.2">
      <c r="A325" t="s">
        <v>4090</v>
      </c>
      <c r="B325" t="s">
        <v>4091</v>
      </c>
      <c r="C325" t="s">
        <v>4092</v>
      </c>
      <c r="D325" t="s">
        <v>4093</v>
      </c>
      <c r="E325" t="s">
        <v>4</v>
      </c>
      <c r="F325">
        <v>130</v>
      </c>
      <c r="G325">
        <v>124</v>
      </c>
      <c r="H325" t="s">
        <v>86</v>
      </c>
      <c r="I325" t="b">
        <f t="shared" si="5"/>
        <v>0</v>
      </c>
    </row>
    <row r="326" spans="1:9" x14ac:dyDescent="0.2">
      <c r="A326" t="s">
        <v>7102</v>
      </c>
      <c r="B326" t="s">
        <v>7103</v>
      </c>
      <c r="C326" t="s">
        <v>4438</v>
      </c>
      <c r="D326" t="s">
        <v>7104</v>
      </c>
      <c r="E326" t="s">
        <v>4</v>
      </c>
      <c r="F326">
        <v>143</v>
      </c>
      <c r="G326">
        <v>462</v>
      </c>
      <c r="H326" t="s">
        <v>114</v>
      </c>
      <c r="I326" t="b">
        <f t="shared" si="5"/>
        <v>0</v>
      </c>
    </row>
    <row r="327" spans="1:9" x14ac:dyDescent="0.2">
      <c r="A327" t="s">
        <v>2570</v>
      </c>
      <c r="B327" t="s">
        <v>2571</v>
      </c>
      <c r="C327" t="s">
        <v>1201</v>
      </c>
      <c r="D327" t="s">
        <v>1202</v>
      </c>
      <c r="E327" t="s">
        <v>4</v>
      </c>
      <c r="F327">
        <v>1123</v>
      </c>
      <c r="G327">
        <v>316</v>
      </c>
      <c r="H327" t="s">
        <v>13</v>
      </c>
      <c r="I327" t="b">
        <f t="shared" si="5"/>
        <v>0</v>
      </c>
    </row>
    <row r="328" spans="1:9" x14ac:dyDescent="0.2">
      <c r="A328" t="s">
        <v>489</v>
      </c>
      <c r="B328" t="s">
        <v>490</v>
      </c>
      <c r="C328" t="s">
        <v>443</v>
      </c>
      <c r="D328" t="s">
        <v>491</v>
      </c>
      <c r="E328" t="s">
        <v>4</v>
      </c>
      <c r="F328">
        <v>34</v>
      </c>
      <c r="G328">
        <v>76</v>
      </c>
      <c r="H328" t="s">
        <v>13</v>
      </c>
      <c r="I328" t="b">
        <f t="shared" si="5"/>
        <v>0</v>
      </c>
    </row>
    <row r="329" spans="1:9" x14ac:dyDescent="0.2">
      <c r="A329" t="s">
        <v>2271</v>
      </c>
      <c r="B329" t="s">
        <v>2272</v>
      </c>
      <c r="C329" t="s">
        <v>2273</v>
      </c>
      <c r="D329" t="s">
        <v>1171</v>
      </c>
      <c r="E329" t="s">
        <v>4</v>
      </c>
      <c r="F329">
        <v>264</v>
      </c>
      <c r="G329">
        <v>494</v>
      </c>
      <c r="H329" t="s">
        <v>13</v>
      </c>
      <c r="I329" t="b">
        <f t="shared" si="5"/>
        <v>0</v>
      </c>
    </row>
    <row r="330" spans="1:9" x14ac:dyDescent="0.2">
      <c r="A330" t="s">
        <v>5552</v>
      </c>
      <c r="B330" t="s">
        <v>5553</v>
      </c>
      <c r="C330" t="s">
        <v>5554</v>
      </c>
      <c r="D330" t="s">
        <v>3</v>
      </c>
      <c r="E330" t="s">
        <v>4</v>
      </c>
      <c r="F330">
        <v>34534</v>
      </c>
      <c r="G330">
        <v>4</v>
      </c>
      <c r="H330" t="s">
        <v>13</v>
      </c>
      <c r="I330" t="b">
        <f t="shared" si="5"/>
        <v>0</v>
      </c>
    </row>
    <row r="331" spans="1:9" x14ac:dyDescent="0.2">
      <c r="A331" t="s">
        <v>2812</v>
      </c>
      <c r="B331" t="s">
        <v>2813</v>
      </c>
      <c r="C331" t="s">
        <v>226</v>
      </c>
      <c r="D331" t="s">
        <v>227</v>
      </c>
      <c r="E331" t="s">
        <v>4</v>
      </c>
      <c r="F331">
        <v>9227</v>
      </c>
      <c r="G331">
        <v>7170</v>
      </c>
      <c r="H331" t="s">
        <v>13</v>
      </c>
      <c r="I331" t="b">
        <f t="shared" si="5"/>
        <v>0</v>
      </c>
    </row>
    <row r="332" spans="1:9" x14ac:dyDescent="0.2">
      <c r="A332" t="s">
        <v>2369</v>
      </c>
      <c r="B332" t="s">
        <v>2370</v>
      </c>
      <c r="C332" t="s">
        <v>2371</v>
      </c>
      <c r="D332" t="s">
        <v>2372</v>
      </c>
      <c r="E332" t="s">
        <v>4</v>
      </c>
      <c r="F332">
        <v>838</v>
      </c>
      <c r="G332">
        <v>1484</v>
      </c>
      <c r="H332" t="s">
        <v>13</v>
      </c>
      <c r="I332" t="b">
        <f t="shared" si="5"/>
        <v>0</v>
      </c>
    </row>
    <row r="333" spans="1:9" x14ac:dyDescent="0.2">
      <c r="A333" t="s">
        <v>2323</v>
      </c>
      <c r="B333" t="s">
        <v>2324</v>
      </c>
      <c r="C333" t="s">
        <v>2325</v>
      </c>
      <c r="D333" t="s">
        <v>2171</v>
      </c>
      <c r="E333" t="s">
        <v>4</v>
      </c>
      <c r="F333">
        <v>135</v>
      </c>
      <c r="G333">
        <v>391</v>
      </c>
      <c r="H333" t="s">
        <v>13</v>
      </c>
      <c r="I333" t="b">
        <f t="shared" si="5"/>
        <v>0</v>
      </c>
    </row>
    <row r="334" spans="1:9" x14ac:dyDescent="0.2">
      <c r="A334" t="s">
        <v>1265</v>
      </c>
      <c r="B334" t="s">
        <v>1266</v>
      </c>
      <c r="C334" t="s">
        <v>1267</v>
      </c>
      <c r="D334" t="s">
        <v>1268</v>
      </c>
      <c r="E334" t="s">
        <v>4</v>
      </c>
      <c r="F334">
        <v>65</v>
      </c>
      <c r="G334">
        <v>34</v>
      </c>
      <c r="H334" t="s">
        <v>363</v>
      </c>
      <c r="I334" t="b">
        <f t="shared" si="5"/>
        <v>0</v>
      </c>
    </row>
    <row r="335" spans="1:9" x14ac:dyDescent="0.2">
      <c r="A335" t="s">
        <v>1616</v>
      </c>
      <c r="B335" t="s">
        <v>1617</v>
      </c>
      <c r="C335" t="s">
        <v>1618</v>
      </c>
      <c r="D335" t="s">
        <v>1619</v>
      </c>
      <c r="E335" t="s">
        <v>4</v>
      </c>
      <c r="F335">
        <v>82</v>
      </c>
      <c r="G335">
        <v>32</v>
      </c>
      <c r="H335" t="s">
        <v>13</v>
      </c>
      <c r="I335" t="b">
        <f t="shared" si="5"/>
        <v>0</v>
      </c>
    </row>
    <row r="336" spans="1:9" x14ac:dyDescent="0.2">
      <c r="A336" t="s">
        <v>3562</v>
      </c>
      <c r="B336" t="s">
        <v>3563</v>
      </c>
      <c r="C336" t="s">
        <v>1267</v>
      </c>
      <c r="D336" t="s">
        <v>1268</v>
      </c>
      <c r="E336" t="s">
        <v>4</v>
      </c>
      <c r="F336">
        <v>64</v>
      </c>
      <c r="G336">
        <v>34</v>
      </c>
      <c r="H336" t="s">
        <v>363</v>
      </c>
      <c r="I336" t="b">
        <f t="shared" si="5"/>
        <v>1</v>
      </c>
    </row>
    <row r="337" spans="1:9" x14ac:dyDescent="0.2">
      <c r="A337" t="s">
        <v>1965</v>
      </c>
      <c r="B337" t="s">
        <v>1966</v>
      </c>
      <c r="C337" t="s">
        <v>1267</v>
      </c>
      <c r="D337" t="s">
        <v>1268</v>
      </c>
      <c r="E337" t="s">
        <v>4</v>
      </c>
      <c r="F337">
        <v>64</v>
      </c>
      <c r="G337">
        <v>34</v>
      </c>
      <c r="H337" t="s">
        <v>363</v>
      </c>
      <c r="I337" t="b">
        <f t="shared" si="5"/>
        <v>1</v>
      </c>
    </row>
    <row r="338" spans="1:9" x14ac:dyDescent="0.2">
      <c r="A338" t="s">
        <v>7071</v>
      </c>
      <c r="B338" t="s">
        <v>7072</v>
      </c>
      <c r="C338" t="s">
        <v>1267</v>
      </c>
      <c r="D338" t="s">
        <v>1268</v>
      </c>
      <c r="E338" t="s">
        <v>4</v>
      </c>
      <c r="F338">
        <v>64</v>
      </c>
      <c r="G338">
        <v>34</v>
      </c>
      <c r="H338" t="s">
        <v>363</v>
      </c>
      <c r="I338" t="b">
        <f t="shared" si="5"/>
        <v>1</v>
      </c>
    </row>
    <row r="339" spans="1:9" x14ac:dyDescent="0.2">
      <c r="A339" t="s">
        <v>6505</v>
      </c>
      <c r="B339" t="s">
        <v>6506</v>
      </c>
      <c r="C339" t="s">
        <v>1267</v>
      </c>
      <c r="D339" t="s">
        <v>1268</v>
      </c>
      <c r="E339" t="s">
        <v>4</v>
      </c>
      <c r="F339">
        <v>64</v>
      </c>
      <c r="G339">
        <v>34</v>
      </c>
      <c r="H339" t="s">
        <v>363</v>
      </c>
      <c r="I339" t="b">
        <f t="shared" si="5"/>
        <v>1</v>
      </c>
    </row>
    <row r="340" spans="1:9" x14ac:dyDescent="0.2">
      <c r="A340" t="s">
        <v>4293</v>
      </c>
      <c r="B340" t="s">
        <v>4294</v>
      </c>
      <c r="C340" t="s">
        <v>1267</v>
      </c>
      <c r="D340" t="s">
        <v>1268</v>
      </c>
      <c r="E340" t="s">
        <v>4</v>
      </c>
      <c r="F340">
        <v>64</v>
      </c>
      <c r="G340">
        <v>34</v>
      </c>
      <c r="H340" t="s">
        <v>363</v>
      </c>
      <c r="I340" t="b">
        <f t="shared" si="5"/>
        <v>0</v>
      </c>
    </row>
    <row r="341" spans="1:9" x14ac:dyDescent="0.2">
      <c r="A341" t="s">
        <v>2556</v>
      </c>
      <c r="B341" t="s">
        <v>2557</v>
      </c>
      <c r="C341" t="s">
        <v>2558</v>
      </c>
      <c r="D341" t="s">
        <v>3</v>
      </c>
      <c r="E341" t="s">
        <v>4</v>
      </c>
      <c r="F341">
        <v>36</v>
      </c>
      <c r="G341">
        <v>274</v>
      </c>
      <c r="H341" t="s">
        <v>867</v>
      </c>
      <c r="I341" t="b">
        <f t="shared" si="5"/>
        <v>0</v>
      </c>
    </row>
    <row r="342" spans="1:9" x14ac:dyDescent="0.2">
      <c r="A342" t="s">
        <v>6727</v>
      </c>
      <c r="B342" t="s">
        <v>6728</v>
      </c>
      <c r="C342" t="s">
        <v>2091</v>
      </c>
      <c r="D342" t="s">
        <v>6729</v>
      </c>
      <c r="E342" t="s">
        <v>4</v>
      </c>
      <c r="F342">
        <v>17</v>
      </c>
      <c r="G342">
        <v>63</v>
      </c>
      <c r="H342" t="s">
        <v>13</v>
      </c>
      <c r="I342" t="b">
        <f t="shared" si="5"/>
        <v>0</v>
      </c>
    </row>
    <row r="343" spans="1:9" x14ac:dyDescent="0.2">
      <c r="A343" t="s">
        <v>1146</v>
      </c>
      <c r="B343" t="s">
        <v>1147</v>
      </c>
      <c r="C343" t="s">
        <v>362</v>
      </c>
      <c r="D343" t="s">
        <v>101</v>
      </c>
      <c r="E343" t="s">
        <v>4</v>
      </c>
      <c r="F343">
        <v>3605</v>
      </c>
      <c r="G343">
        <v>276</v>
      </c>
      <c r="H343" t="s">
        <v>13</v>
      </c>
      <c r="I343" t="b">
        <f t="shared" si="5"/>
        <v>0</v>
      </c>
    </row>
    <row r="344" spans="1:9" x14ac:dyDescent="0.2">
      <c r="A344" t="s">
        <v>690</v>
      </c>
      <c r="B344" t="s">
        <v>691</v>
      </c>
      <c r="C344" t="s">
        <v>653</v>
      </c>
      <c r="D344" t="s">
        <v>3</v>
      </c>
      <c r="E344" t="s">
        <v>4</v>
      </c>
      <c r="F344">
        <v>37</v>
      </c>
      <c r="G344">
        <v>14</v>
      </c>
      <c r="H344" t="s">
        <v>33</v>
      </c>
      <c r="I344" t="b">
        <f t="shared" si="5"/>
        <v>1</v>
      </c>
    </row>
    <row r="345" spans="1:9" x14ac:dyDescent="0.2">
      <c r="A345" t="s">
        <v>5086</v>
      </c>
      <c r="B345" t="s">
        <v>5087</v>
      </c>
      <c r="C345" t="s">
        <v>653</v>
      </c>
      <c r="D345" t="s">
        <v>3</v>
      </c>
      <c r="E345" t="s">
        <v>4</v>
      </c>
      <c r="F345">
        <v>38</v>
      </c>
      <c r="G345">
        <v>14</v>
      </c>
      <c r="H345" t="s">
        <v>33</v>
      </c>
      <c r="I345" t="b">
        <f t="shared" si="5"/>
        <v>0</v>
      </c>
    </row>
    <row r="346" spans="1:9" x14ac:dyDescent="0.2">
      <c r="A346" t="s">
        <v>1856</v>
      </c>
      <c r="B346" t="s">
        <v>1857</v>
      </c>
      <c r="C346" t="s">
        <v>349</v>
      </c>
      <c r="D346" t="s">
        <v>3</v>
      </c>
      <c r="E346" t="s">
        <v>4</v>
      </c>
      <c r="F346">
        <v>4</v>
      </c>
      <c r="G346">
        <v>8</v>
      </c>
      <c r="H346" t="s">
        <v>13</v>
      </c>
      <c r="I346" t="b">
        <f t="shared" si="5"/>
        <v>0</v>
      </c>
    </row>
    <row r="347" spans="1:9" x14ac:dyDescent="0.2">
      <c r="A347" t="s">
        <v>249</v>
      </c>
      <c r="B347" t="s">
        <v>250</v>
      </c>
      <c r="C347" t="s">
        <v>251</v>
      </c>
      <c r="D347" t="s">
        <v>3</v>
      </c>
      <c r="E347" t="s">
        <v>4</v>
      </c>
      <c r="F347">
        <v>473</v>
      </c>
      <c r="G347">
        <v>1342</v>
      </c>
      <c r="H347" t="s">
        <v>13</v>
      </c>
      <c r="I347" t="b">
        <f t="shared" si="5"/>
        <v>0</v>
      </c>
    </row>
    <row r="348" spans="1:9" x14ac:dyDescent="0.2">
      <c r="A348" t="s">
        <v>1995</v>
      </c>
      <c r="B348" t="s">
        <v>1996</v>
      </c>
      <c r="C348" t="s">
        <v>1534</v>
      </c>
      <c r="D348" t="s">
        <v>1535</v>
      </c>
      <c r="E348" t="s">
        <v>4</v>
      </c>
      <c r="F348">
        <v>25</v>
      </c>
      <c r="G348">
        <v>43</v>
      </c>
      <c r="H348" t="s">
        <v>13</v>
      </c>
      <c r="I348" t="b">
        <f t="shared" si="5"/>
        <v>0</v>
      </c>
    </row>
    <row r="349" spans="1:9" x14ac:dyDescent="0.2">
      <c r="A349" t="s">
        <v>3251</v>
      </c>
      <c r="B349" t="s">
        <v>3252</v>
      </c>
      <c r="C349" t="s">
        <v>3253</v>
      </c>
      <c r="D349" t="s">
        <v>3254</v>
      </c>
      <c r="E349" t="s">
        <v>4</v>
      </c>
      <c r="F349">
        <v>29</v>
      </c>
      <c r="G349">
        <v>23</v>
      </c>
      <c r="H349" t="s">
        <v>13</v>
      </c>
      <c r="I349" t="b">
        <f t="shared" si="5"/>
        <v>0</v>
      </c>
    </row>
    <row r="350" spans="1:9" x14ac:dyDescent="0.2">
      <c r="A350" t="s">
        <v>2568</v>
      </c>
      <c r="B350" t="s">
        <v>2569</v>
      </c>
      <c r="C350" t="s">
        <v>2116</v>
      </c>
      <c r="D350" t="s">
        <v>2403</v>
      </c>
      <c r="E350" t="s">
        <v>4</v>
      </c>
      <c r="F350">
        <v>7728</v>
      </c>
      <c r="G350">
        <v>328</v>
      </c>
      <c r="H350" t="s">
        <v>13</v>
      </c>
      <c r="I350" t="b">
        <f t="shared" si="5"/>
        <v>0</v>
      </c>
    </row>
    <row r="351" spans="1:9" x14ac:dyDescent="0.2">
      <c r="A351" t="s">
        <v>4031</v>
      </c>
      <c r="B351" t="s">
        <v>4032</v>
      </c>
      <c r="C351" t="s">
        <v>2379</v>
      </c>
      <c r="D351" t="s">
        <v>4033</v>
      </c>
      <c r="E351" t="s">
        <v>4</v>
      </c>
      <c r="F351">
        <v>1184</v>
      </c>
      <c r="G351">
        <v>4088</v>
      </c>
      <c r="H351" t="s">
        <v>13</v>
      </c>
      <c r="I351" t="b">
        <f t="shared" si="5"/>
        <v>1</v>
      </c>
    </row>
    <row r="352" spans="1:9" x14ac:dyDescent="0.2">
      <c r="A352" t="s">
        <v>5203</v>
      </c>
      <c r="B352" t="s">
        <v>5204</v>
      </c>
      <c r="C352" t="s">
        <v>716</v>
      </c>
      <c r="D352" t="s">
        <v>3574</v>
      </c>
      <c r="E352" t="s">
        <v>4</v>
      </c>
      <c r="F352">
        <v>2849</v>
      </c>
      <c r="G352">
        <v>510</v>
      </c>
      <c r="H352" t="s">
        <v>13</v>
      </c>
      <c r="I352" t="b">
        <f t="shared" si="5"/>
        <v>1</v>
      </c>
    </row>
    <row r="353" spans="1:9" x14ac:dyDescent="0.2">
      <c r="A353" t="s">
        <v>4380</v>
      </c>
      <c r="B353" t="s">
        <v>4381</v>
      </c>
      <c r="C353" t="s">
        <v>4382</v>
      </c>
      <c r="D353" t="s">
        <v>3</v>
      </c>
      <c r="E353" t="s">
        <v>4</v>
      </c>
      <c r="F353">
        <v>1</v>
      </c>
      <c r="G353">
        <v>11</v>
      </c>
      <c r="H353" t="s">
        <v>13</v>
      </c>
      <c r="I353" t="b">
        <f t="shared" si="5"/>
        <v>0</v>
      </c>
    </row>
    <row r="354" spans="1:9" x14ac:dyDescent="0.2">
      <c r="A354" t="s">
        <v>157</v>
      </c>
      <c r="B354" t="s">
        <v>158</v>
      </c>
      <c r="C354" t="s">
        <v>28</v>
      </c>
      <c r="D354" t="s">
        <v>3</v>
      </c>
      <c r="E354" t="s">
        <v>4</v>
      </c>
      <c r="F354">
        <v>3</v>
      </c>
      <c r="G354">
        <v>1</v>
      </c>
      <c r="H354" t="s">
        <v>13</v>
      </c>
      <c r="I354" t="b">
        <f t="shared" si="5"/>
        <v>0</v>
      </c>
    </row>
    <row r="355" spans="1:9" x14ac:dyDescent="0.2">
      <c r="A355" t="s">
        <v>2843</v>
      </c>
      <c r="B355" t="s">
        <v>2844</v>
      </c>
      <c r="C355" t="s">
        <v>942</v>
      </c>
      <c r="D355" t="s">
        <v>2779</v>
      </c>
      <c r="E355" t="s">
        <v>4</v>
      </c>
      <c r="F355">
        <v>1210</v>
      </c>
      <c r="G355">
        <v>2424</v>
      </c>
      <c r="H355" t="s">
        <v>13</v>
      </c>
      <c r="I355" t="b">
        <f t="shared" si="5"/>
        <v>0</v>
      </c>
    </row>
    <row r="356" spans="1:9" x14ac:dyDescent="0.2">
      <c r="A356" t="s">
        <v>7235</v>
      </c>
      <c r="B356" t="s">
        <v>7236</v>
      </c>
      <c r="C356" t="s">
        <v>773</v>
      </c>
      <c r="D356" t="s">
        <v>7237</v>
      </c>
      <c r="E356" t="s">
        <v>4</v>
      </c>
      <c r="F356">
        <v>243</v>
      </c>
      <c r="G356">
        <v>576</v>
      </c>
      <c r="H356" t="s">
        <v>13</v>
      </c>
      <c r="I356" t="b">
        <f t="shared" si="5"/>
        <v>0</v>
      </c>
    </row>
    <row r="357" spans="1:9" x14ac:dyDescent="0.2">
      <c r="A357" t="s">
        <v>629</v>
      </c>
      <c r="B357" t="s">
        <v>630</v>
      </c>
      <c r="C357" t="s">
        <v>631</v>
      </c>
      <c r="D357" t="s">
        <v>3</v>
      </c>
      <c r="E357" t="s">
        <v>4</v>
      </c>
      <c r="F357">
        <v>36245</v>
      </c>
      <c r="G357">
        <v>2776</v>
      </c>
      <c r="H357" t="s">
        <v>13</v>
      </c>
      <c r="I357" t="b">
        <f t="shared" si="5"/>
        <v>0</v>
      </c>
    </row>
    <row r="358" spans="1:9" x14ac:dyDescent="0.2">
      <c r="A358" t="s">
        <v>1890</v>
      </c>
      <c r="B358" t="s">
        <v>1891</v>
      </c>
      <c r="C358" t="s">
        <v>1892</v>
      </c>
      <c r="D358" t="s">
        <v>1893</v>
      </c>
      <c r="E358" t="s">
        <v>4</v>
      </c>
      <c r="F358">
        <v>18</v>
      </c>
      <c r="G358">
        <v>184</v>
      </c>
      <c r="H358" t="s">
        <v>13</v>
      </c>
      <c r="I358" t="b">
        <f t="shared" si="5"/>
        <v>0</v>
      </c>
    </row>
    <row r="359" spans="1:9" x14ac:dyDescent="0.2">
      <c r="A359" t="s">
        <v>3174</v>
      </c>
      <c r="B359" t="s">
        <v>3175</v>
      </c>
      <c r="C359" t="s">
        <v>962</v>
      </c>
      <c r="D359" t="s">
        <v>1352</v>
      </c>
      <c r="E359" t="s">
        <v>4</v>
      </c>
      <c r="F359">
        <v>5162</v>
      </c>
      <c r="G359">
        <v>678</v>
      </c>
      <c r="H359" t="s">
        <v>5</v>
      </c>
      <c r="I359" t="b">
        <f t="shared" si="5"/>
        <v>0</v>
      </c>
    </row>
    <row r="360" spans="1:9" x14ac:dyDescent="0.2">
      <c r="A360" t="s">
        <v>2830</v>
      </c>
      <c r="B360" t="s">
        <v>2831</v>
      </c>
      <c r="C360" t="s">
        <v>2832</v>
      </c>
      <c r="D360" t="s">
        <v>2833</v>
      </c>
      <c r="E360" t="s">
        <v>4</v>
      </c>
      <c r="F360">
        <v>3116</v>
      </c>
      <c r="G360">
        <v>95</v>
      </c>
      <c r="H360" t="s">
        <v>13</v>
      </c>
      <c r="I360" t="b">
        <f t="shared" si="5"/>
        <v>0</v>
      </c>
    </row>
    <row r="361" spans="1:9" x14ac:dyDescent="0.2">
      <c r="A361" t="s">
        <v>910</v>
      </c>
      <c r="B361" t="s">
        <v>911</v>
      </c>
      <c r="C361" t="s">
        <v>912</v>
      </c>
      <c r="D361" t="s">
        <v>3</v>
      </c>
      <c r="E361" t="s">
        <v>4</v>
      </c>
      <c r="F361">
        <v>1032</v>
      </c>
      <c r="G361">
        <v>2541</v>
      </c>
      <c r="H361" t="s">
        <v>13</v>
      </c>
      <c r="I361" t="b">
        <f t="shared" si="5"/>
        <v>0</v>
      </c>
    </row>
    <row r="362" spans="1:9" x14ac:dyDescent="0.2">
      <c r="A362" t="s">
        <v>3684</v>
      </c>
      <c r="B362" t="s">
        <v>3685</v>
      </c>
      <c r="C362" t="s">
        <v>147</v>
      </c>
      <c r="D362" t="s">
        <v>2808</v>
      </c>
      <c r="E362" t="s">
        <v>4</v>
      </c>
      <c r="F362">
        <v>227</v>
      </c>
      <c r="G362">
        <v>219</v>
      </c>
      <c r="H362" t="s">
        <v>13</v>
      </c>
      <c r="I362" t="b">
        <f t="shared" si="5"/>
        <v>1</v>
      </c>
    </row>
    <row r="363" spans="1:9" x14ac:dyDescent="0.2">
      <c r="A363" t="s">
        <v>5309</v>
      </c>
      <c r="B363" t="s">
        <v>5310</v>
      </c>
      <c r="C363" t="s">
        <v>2637</v>
      </c>
      <c r="D363" t="s">
        <v>172</v>
      </c>
      <c r="E363" t="s">
        <v>4</v>
      </c>
      <c r="F363">
        <v>27</v>
      </c>
      <c r="G363">
        <v>84</v>
      </c>
      <c r="H363" t="s">
        <v>13</v>
      </c>
      <c r="I363" t="b">
        <f t="shared" si="5"/>
        <v>0</v>
      </c>
    </row>
    <row r="364" spans="1:9" x14ac:dyDescent="0.2">
      <c r="A364" t="s">
        <v>1233</v>
      </c>
      <c r="B364" t="s">
        <v>1234</v>
      </c>
      <c r="C364" t="s">
        <v>1230</v>
      </c>
      <c r="D364" t="s">
        <v>1231</v>
      </c>
      <c r="E364" t="s">
        <v>4</v>
      </c>
      <c r="F364">
        <v>425</v>
      </c>
      <c r="G364">
        <v>768</v>
      </c>
      <c r="H364" t="s">
        <v>13</v>
      </c>
      <c r="I364" t="b">
        <f t="shared" si="5"/>
        <v>1</v>
      </c>
    </row>
    <row r="365" spans="1:9" x14ac:dyDescent="0.2">
      <c r="A365" t="s">
        <v>4028</v>
      </c>
      <c r="B365" t="s">
        <v>4029</v>
      </c>
      <c r="C365" t="s">
        <v>147</v>
      </c>
      <c r="D365" t="s">
        <v>2808</v>
      </c>
      <c r="E365" t="s">
        <v>4</v>
      </c>
      <c r="F365">
        <v>227</v>
      </c>
      <c r="G365">
        <v>219</v>
      </c>
      <c r="H365" t="s">
        <v>13</v>
      </c>
      <c r="I365" t="b">
        <f t="shared" si="5"/>
        <v>0</v>
      </c>
    </row>
    <row r="366" spans="1:9" x14ac:dyDescent="0.2">
      <c r="A366" t="s">
        <v>731</v>
      </c>
      <c r="B366" t="s">
        <v>732</v>
      </c>
      <c r="C366" t="s">
        <v>733</v>
      </c>
      <c r="D366" t="s">
        <v>734</v>
      </c>
      <c r="E366" t="s">
        <v>4</v>
      </c>
      <c r="F366">
        <v>218</v>
      </c>
      <c r="G366">
        <v>686</v>
      </c>
      <c r="H366" t="s">
        <v>13</v>
      </c>
      <c r="I366" t="b">
        <f t="shared" si="5"/>
        <v>0</v>
      </c>
    </row>
    <row r="367" spans="1:9" x14ac:dyDescent="0.2">
      <c r="A367" t="s">
        <v>1424</v>
      </c>
      <c r="B367" t="s">
        <v>1425</v>
      </c>
      <c r="C367" t="s">
        <v>1426</v>
      </c>
      <c r="D367" t="s">
        <v>1427</v>
      </c>
      <c r="E367" t="s">
        <v>4</v>
      </c>
      <c r="F367">
        <v>19</v>
      </c>
      <c r="G367">
        <v>164</v>
      </c>
      <c r="H367" t="s">
        <v>86</v>
      </c>
      <c r="I367" t="b">
        <f t="shared" si="5"/>
        <v>1</v>
      </c>
    </row>
    <row r="368" spans="1:9" x14ac:dyDescent="0.2">
      <c r="A368" t="s">
        <v>896</v>
      </c>
      <c r="B368" t="s">
        <v>897</v>
      </c>
      <c r="C368" t="s">
        <v>898</v>
      </c>
      <c r="D368" t="s">
        <v>899</v>
      </c>
      <c r="E368" t="s">
        <v>4</v>
      </c>
      <c r="F368">
        <v>33</v>
      </c>
      <c r="G368">
        <v>26</v>
      </c>
      <c r="H368" t="s">
        <v>13</v>
      </c>
      <c r="I368" t="b">
        <f t="shared" si="5"/>
        <v>0</v>
      </c>
    </row>
    <row r="369" spans="1:9" x14ac:dyDescent="0.2">
      <c r="A369" t="s">
        <v>4084</v>
      </c>
      <c r="B369" t="s">
        <v>4085</v>
      </c>
      <c r="C369" t="s">
        <v>4086</v>
      </c>
      <c r="D369" t="s">
        <v>4087</v>
      </c>
      <c r="E369" t="s">
        <v>4</v>
      </c>
      <c r="F369">
        <v>10</v>
      </c>
      <c r="G369">
        <v>79</v>
      </c>
      <c r="H369" t="s">
        <v>13</v>
      </c>
      <c r="I369" t="b">
        <f t="shared" si="5"/>
        <v>0</v>
      </c>
    </row>
    <row r="370" spans="1:9" x14ac:dyDescent="0.2">
      <c r="A370" t="s">
        <v>3119</v>
      </c>
      <c r="B370" t="s">
        <v>3120</v>
      </c>
      <c r="C370" t="s">
        <v>1679</v>
      </c>
      <c r="D370" t="s">
        <v>3121</v>
      </c>
      <c r="E370" t="s">
        <v>4</v>
      </c>
      <c r="F370">
        <v>22061</v>
      </c>
      <c r="G370">
        <v>93</v>
      </c>
      <c r="H370" t="s">
        <v>13</v>
      </c>
      <c r="I370" t="b">
        <f t="shared" si="5"/>
        <v>0</v>
      </c>
    </row>
    <row r="371" spans="1:9" x14ac:dyDescent="0.2">
      <c r="A371" t="s">
        <v>5695</v>
      </c>
      <c r="B371" t="s">
        <v>5696</v>
      </c>
      <c r="C371" t="s">
        <v>588</v>
      </c>
      <c r="D371" t="s">
        <v>3</v>
      </c>
      <c r="E371" t="s">
        <v>4</v>
      </c>
      <c r="F371">
        <v>14</v>
      </c>
      <c r="G371">
        <v>77</v>
      </c>
      <c r="H371" t="s">
        <v>13</v>
      </c>
      <c r="I371" t="b">
        <f t="shared" si="5"/>
        <v>0</v>
      </c>
    </row>
    <row r="372" spans="1:9" x14ac:dyDescent="0.2">
      <c r="A372" t="s">
        <v>3077</v>
      </c>
      <c r="B372" t="s">
        <v>3078</v>
      </c>
      <c r="C372" t="s">
        <v>465</v>
      </c>
      <c r="D372" t="s">
        <v>3079</v>
      </c>
      <c r="E372" t="s">
        <v>4</v>
      </c>
      <c r="F372">
        <v>3216</v>
      </c>
      <c r="G372">
        <v>3197</v>
      </c>
      <c r="H372" t="s">
        <v>13</v>
      </c>
      <c r="I372" t="b">
        <f t="shared" si="5"/>
        <v>0</v>
      </c>
    </row>
    <row r="373" spans="1:9" x14ac:dyDescent="0.2">
      <c r="A373" t="s">
        <v>2597</v>
      </c>
      <c r="B373" t="s">
        <v>2598</v>
      </c>
      <c r="C373" t="s">
        <v>2599</v>
      </c>
      <c r="D373" t="s">
        <v>759</v>
      </c>
      <c r="E373" t="s">
        <v>4</v>
      </c>
      <c r="F373">
        <v>27</v>
      </c>
      <c r="G373">
        <v>28</v>
      </c>
      <c r="H373" t="s">
        <v>13</v>
      </c>
      <c r="I373" t="b">
        <f t="shared" si="5"/>
        <v>0</v>
      </c>
    </row>
    <row r="374" spans="1:9" x14ac:dyDescent="0.2">
      <c r="A374" t="s">
        <v>110</v>
      </c>
      <c r="B374" t="s">
        <v>111</v>
      </c>
      <c r="C374" t="s">
        <v>112</v>
      </c>
      <c r="D374" t="s">
        <v>113</v>
      </c>
      <c r="E374" t="s">
        <v>4</v>
      </c>
      <c r="F374">
        <v>841</v>
      </c>
      <c r="G374">
        <v>899</v>
      </c>
      <c r="H374" t="s">
        <v>114</v>
      </c>
      <c r="I374" t="b">
        <f t="shared" si="5"/>
        <v>1</v>
      </c>
    </row>
    <row r="375" spans="1:9" x14ac:dyDescent="0.2">
      <c r="A375" t="s">
        <v>724</v>
      </c>
      <c r="B375" t="s">
        <v>725</v>
      </c>
      <c r="C375" t="s">
        <v>112</v>
      </c>
      <c r="D375" t="s">
        <v>113</v>
      </c>
      <c r="E375" t="s">
        <v>4</v>
      </c>
      <c r="F375">
        <v>840</v>
      </c>
      <c r="G375">
        <v>899</v>
      </c>
      <c r="H375" t="s">
        <v>114</v>
      </c>
      <c r="I375" t="b">
        <f t="shared" si="5"/>
        <v>1</v>
      </c>
    </row>
    <row r="376" spans="1:9" x14ac:dyDescent="0.2">
      <c r="A376" t="s">
        <v>1335</v>
      </c>
      <c r="B376" t="s">
        <v>1336</v>
      </c>
      <c r="C376" t="s">
        <v>112</v>
      </c>
      <c r="D376" t="s">
        <v>113</v>
      </c>
      <c r="E376" t="s">
        <v>4</v>
      </c>
      <c r="F376">
        <v>840</v>
      </c>
      <c r="G376">
        <v>899</v>
      </c>
      <c r="H376" t="s">
        <v>114</v>
      </c>
      <c r="I376" t="b">
        <f t="shared" si="5"/>
        <v>1</v>
      </c>
    </row>
    <row r="377" spans="1:9" x14ac:dyDescent="0.2">
      <c r="A377" t="s">
        <v>5123</v>
      </c>
      <c r="B377" t="s">
        <v>5124</v>
      </c>
      <c r="C377" t="s">
        <v>112</v>
      </c>
      <c r="D377" t="s">
        <v>113</v>
      </c>
      <c r="E377" t="s">
        <v>4</v>
      </c>
      <c r="F377">
        <v>838</v>
      </c>
      <c r="G377">
        <v>898</v>
      </c>
      <c r="H377" t="s">
        <v>114</v>
      </c>
      <c r="I377" t="b">
        <f t="shared" si="5"/>
        <v>1</v>
      </c>
    </row>
    <row r="378" spans="1:9" x14ac:dyDescent="0.2">
      <c r="A378" t="s">
        <v>2055</v>
      </c>
      <c r="B378" t="s">
        <v>2056</v>
      </c>
      <c r="C378" t="s">
        <v>112</v>
      </c>
      <c r="D378" t="s">
        <v>113</v>
      </c>
      <c r="E378" t="s">
        <v>4</v>
      </c>
      <c r="F378">
        <v>839</v>
      </c>
      <c r="G378">
        <v>899</v>
      </c>
      <c r="H378" t="s">
        <v>114</v>
      </c>
      <c r="I378" t="b">
        <f t="shared" si="5"/>
        <v>1</v>
      </c>
    </row>
    <row r="379" spans="1:9" x14ac:dyDescent="0.2">
      <c r="A379" t="s">
        <v>3653</v>
      </c>
      <c r="B379" t="s">
        <v>3656</v>
      </c>
      <c r="C379" t="s">
        <v>112</v>
      </c>
      <c r="D379" t="s">
        <v>113</v>
      </c>
      <c r="E379" t="s">
        <v>4</v>
      </c>
      <c r="F379">
        <v>838</v>
      </c>
      <c r="G379">
        <v>899</v>
      </c>
      <c r="H379" t="s">
        <v>114</v>
      </c>
      <c r="I379" t="b">
        <f t="shared" si="5"/>
        <v>1</v>
      </c>
    </row>
    <row r="380" spans="1:9" x14ac:dyDescent="0.2">
      <c r="A380" t="s">
        <v>4403</v>
      </c>
      <c r="B380" t="s">
        <v>4404</v>
      </c>
      <c r="C380" t="s">
        <v>112</v>
      </c>
      <c r="D380" t="s">
        <v>113</v>
      </c>
      <c r="E380" t="s">
        <v>4</v>
      </c>
      <c r="F380">
        <v>837</v>
      </c>
      <c r="G380">
        <v>898</v>
      </c>
      <c r="H380" t="s">
        <v>114</v>
      </c>
      <c r="I380" t="b">
        <f t="shared" si="5"/>
        <v>1</v>
      </c>
    </row>
    <row r="381" spans="1:9" x14ac:dyDescent="0.2">
      <c r="A381" t="s">
        <v>6561</v>
      </c>
      <c r="B381" t="s">
        <v>6562</v>
      </c>
      <c r="C381" t="s">
        <v>112</v>
      </c>
      <c r="D381" t="s">
        <v>113</v>
      </c>
      <c r="E381" t="s">
        <v>4</v>
      </c>
      <c r="F381">
        <v>838</v>
      </c>
      <c r="G381">
        <v>898</v>
      </c>
      <c r="H381" t="s">
        <v>114</v>
      </c>
      <c r="I381" t="b">
        <f t="shared" si="5"/>
        <v>1</v>
      </c>
    </row>
    <row r="382" spans="1:9" x14ac:dyDescent="0.2">
      <c r="A382" t="s">
        <v>5772</v>
      </c>
      <c r="B382" t="s">
        <v>5773</v>
      </c>
      <c r="C382" t="s">
        <v>112</v>
      </c>
      <c r="D382" t="s">
        <v>113</v>
      </c>
      <c r="E382" t="s">
        <v>4</v>
      </c>
      <c r="F382">
        <v>837</v>
      </c>
      <c r="G382">
        <v>898</v>
      </c>
      <c r="H382" t="s">
        <v>114</v>
      </c>
      <c r="I382" t="b">
        <f t="shared" si="5"/>
        <v>1</v>
      </c>
    </row>
    <row r="383" spans="1:9" x14ac:dyDescent="0.2">
      <c r="A383" t="s">
        <v>7194</v>
      </c>
      <c r="B383" t="s">
        <v>7195</v>
      </c>
      <c r="C383" t="s">
        <v>112</v>
      </c>
      <c r="D383" t="s">
        <v>113</v>
      </c>
      <c r="E383" t="s">
        <v>4</v>
      </c>
      <c r="F383">
        <v>836</v>
      </c>
      <c r="G383">
        <v>898</v>
      </c>
      <c r="H383" t="s">
        <v>114</v>
      </c>
      <c r="I383" t="b">
        <f t="shared" si="5"/>
        <v>1</v>
      </c>
    </row>
    <row r="384" spans="1:9" x14ac:dyDescent="0.2">
      <c r="A384" t="s">
        <v>2837</v>
      </c>
      <c r="B384" t="s">
        <v>2838</v>
      </c>
      <c r="C384" t="s">
        <v>112</v>
      </c>
      <c r="D384" t="s">
        <v>113</v>
      </c>
      <c r="E384" t="s">
        <v>4</v>
      </c>
      <c r="F384">
        <v>838</v>
      </c>
      <c r="G384">
        <v>899</v>
      </c>
      <c r="H384" t="s">
        <v>114</v>
      </c>
      <c r="I384" t="b">
        <f t="shared" si="5"/>
        <v>0</v>
      </c>
    </row>
    <row r="385" spans="1:9" x14ac:dyDescent="0.2">
      <c r="A385" t="s">
        <v>4059</v>
      </c>
      <c r="B385" t="s">
        <v>4060</v>
      </c>
      <c r="C385" t="s">
        <v>4061</v>
      </c>
      <c r="D385" t="s">
        <v>4062</v>
      </c>
      <c r="E385" t="s">
        <v>4</v>
      </c>
      <c r="F385">
        <v>598</v>
      </c>
      <c r="G385">
        <v>755</v>
      </c>
      <c r="H385" t="s">
        <v>13</v>
      </c>
      <c r="I385" t="b">
        <f t="shared" si="5"/>
        <v>0</v>
      </c>
    </row>
    <row r="386" spans="1:9" x14ac:dyDescent="0.2">
      <c r="A386" t="s">
        <v>4855</v>
      </c>
      <c r="B386" t="s">
        <v>4856</v>
      </c>
      <c r="C386" t="s">
        <v>3547</v>
      </c>
      <c r="D386" t="s">
        <v>3</v>
      </c>
      <c r="E386" t="s">
        <v>4</v>
      </c>
      <c r="F386">
        <v>115</v>
      </c>
      <c r="G386">
        <v>291</v>
      </c>
      <c r="H386" t="s">
        <v>13</v>
      </c>
      <c r="I386" t="b">
        <f t="shared" si="5"/>
        <v>0</v>
      </c>
    </row>
    <row r="387" spans="1:9" x14ac:dyDescent="0.2">
      <c r="A387" t="s">
        <v>6481</v>
      </c>
      <c r="B387" t="s">
        <v>6482</v>
      </c>
      <c r="C387" t="s">
        <v>5036</v>
      </c>
      <c r="D387" t="s">
        <v>491</v>
      </c>
      <c r="E387" t="s">
        <v>4</v>
      </c>
      <c r="F387">
        <v>286</v>
      </c>
      <c r="G387">
        <v>354</v>
      </c>
      <c r="H387" t="s">
        <v>13</v>
      </c>
      <c r="I387" t="b">
        <f t="shared" ref="I387:I450" si="6">isDup(B387, B388, 0.7)</f>
        <v>0</v>
      </c>
    </row>
    <row r="388" spans="1:9" x14ac:dyDescent="0.2">
      <c r="A388" t="s">
        <v>1641</v>
      </c>
      <c r="B388" t="s">
        <v>1642</v>
      </c>
      <c r="C388" t="s">
        <v>1540</v>
      </c>
      <c r="D388" t="s">
        <v>852</v>
      </c>
      <c r="E388" t="s">
        <v>4</v>
      </c>
      <c r="F388">
        <v>31</v>
      </c>
      <c r="G388">
        <v>106</v>
      </c>
      <c r="H388" t="s">
        <v>13</v>
      </c>
      <c r="I388" t="b">
        <f t="shared" si="6"/>
        <v>0</v>
      </c>
    </row>
    <row r="389" spans="1:9" x14ac:dyDescent="0.2">
      <c r="A389" t="s">
        <v>324</v>
      </c>
      <c r="B389" t="s">
        <v>325</v>
      </c>
      <c r="C389" t="s">
        <v>204</v>
      </c>
      <c r="D389" t="s">
        <v>326</v>
      </c>
      <c r="E389" t="s">
        <v>4</v>
      </c>
      <c r="F389">
        <v>705</v>
      </c>
      <c r="G389">
        <v>5001</v>
      </c>
      <c r="H389" t="s">
        <v>13</v>
      </c>
      <c r="I389" t="b">
        <f t="shared" si="6"/>
        <v>0</v>
      </c>
    </row>
    <row r="390" spans="1:9" x14ac:dyDescent="0.2">
      <c r="A390" t="s">
        <v>1295</v>
      </c>
      <c r="B390" t="s">
        <v>1296</v>
      </c>
      <c r="C390" t="s">
        <v>171</v>
      </c>
      <c r="D390" t="s">
        <v>1297</v>
      </c>
      <c r="E390" t="s">
        <v>4</v>
      </c>
      <c r="F390">
        <v>222</v>
      </c>
      <c r="G390">
        <v>250</v>
      </c>
      <c r="H390" t="s">
        <v>13</v>
      </c>
      <c r="I390" t="b">
        <f t="shared" si="6"/>
        <v>0</v>
      </c>
    </row>
    <row r="391" spans="1:9" x14ac:dyDescent="0.2">
      <c r="A391" t="s">
        <v>5388</v>
      </c>
      <c r="B391" t="s">
        <v>5389</v>
      </c>
      <c r="C391" t="s">
        <v>1701</v>
      </c>
      <c r="D391" t="s">
        <v>3</v>
      </c>
      <c r="E391" t="s">
        <v>4</v>
      </c>
      <c r="F391">
        <v>36</v>
      </c>
      <c r="G391">
        <v>131</v>
      </c>
      <c r="H391" t="s">
        <v>13</v>
      </c>
      <c r="I391" t="b">
        <f t="shared" si="6"/>
        <v>0</v>
      </c>
    </row>
    <row r="392" spans="1:9" x14ac:dyDescent="0.2">
      <c r="A392" t="s">
        <v>4712</v>
      </c>
      <c r="B392" t="s">
        <v>4713</v>
      </c>
      <c r="C392" t="s">
        <v>2216</v>
      </c>
      <c r="D392" t="s">
        <v>4714</v>
      </c>
      <c r="E392" t="s">
        <v>4</v>
      </c>
      <c r="F392">
        <v>459</v>
      </c>
      <c r="G392">
        <v>272</v>
      </c>
      <c r="H392" t="s">
        <v>13</v>
      </c>
      <c r="I392" t="b">
        <f t="shared" si="6"/>
        <v>0</v>
      </c>
    </row>
    <row r="393" spans="1:9" x14ac:dyDescent="0.2">
      <c r="A393" t="s">
        <v>5482</v>
      </c>
      <c r="B393" t="s">
        <v>5483</v>
      </c>
      <c r="C393" t="s">
        <v>5484</v>
      </c>
      <c r="D393" t="s">
        <v>5485</v>
      </c>
      <c r="E393" t="s">
        <v>4</v>
      </c>
      <c r="F393">
        <v>103</v>
      </c>
      <c r="G393">
        <v>252</v>
      </c>
      <c r="H393" t="s">
        <v>13</v>
      </c>
      <c r="I393" t="b">
        <f t="shared" si="6"/>
        <v>0</v>
      </c>
    </row>
    <row r="394" spans="1:9" x14ac:dyDescent="0.2">
      <c r="A394" t="s">
        <v>3838</v>
      </c>
      <c r="B394" t="s">
        <v>3839</v>
      </c>
      <c r="C394" t="s">
        <v>3741</v>
      </c>
      <c r="D394" t="s">
        <v>3</v>
      </c>
      <c r="E394" t="s">
        <v>4</v>
      </c>
      <c r="F394">
        <v>694</v>
      </c>
      <c r="G394">
        <v>1278</v>
      </c>
      <c r="H394" t="s">
        <v>13</v>
      </c>
      <c r="I394" t="b">
        <f t="shared" si="6"/>
        <v>1</v>
      </c>
    </row>
    <row r="395" spans="1:9" x14ac:dyDescent="0.2">
      <c r="A395" t="s">
        <v>6943</v>
      </c>
      <c r="B395" t="s">
        <v>6944</v>
      </c>
      <c r="C395" t="s">
        <v>1057</v>
      </c>
      <c r="D395" t="s">
        <v>64</v>
      </c>
      <c r="E395" t="s">
        <v>4</v>
      </c>
      <c r="F395">
        <v>259</v>
      </c>
      <c r="G395">
        <v>271</v>
      </c>
      <c r="H395" t="s">
        <v>13</v>
      </c>
      <c r="I395" t="b">
        <f t="shared" si="6"/>
        <v>1</v>
      </c>
    </row>
    <row r="396" spans="1:9" x14ac:dyDescent="0.2">
      <c r="A396" t="s">
        <v>4106</v>
      </c>
      <c r="B396" t="s">
        <v>4107</v>
      </c>
      <c r="C396" t="s">
        <v>1324</v>
      </c>
      <c r="D396" t="s">
        <v>3</v>
      </c>
      <c r="E396" t="s">
        <v>4</v>
      </c>
      <c r="F396">
        <v>1</v>
      </c>
      <c r="G396">
        <v>29</v>
      </c>
      <c r="H396" t="s">
        <v>13</v>
      </c>
      <c r="I396" t="b">
        <f t="shared" si="6"/>
        <v>0</v>
      </c>
    </row>
    <row r="397" spans="1:9" x14ac:dyDescent="0.2">
      <c r="A397" t="s">
        <v>6950</v>
      </c>
      <c r="B397" t="s">
        <v>6951</v>
      </c>
      <c r="C397" t="s">
        <v>6952</v>
      </c>
      <c r="D397" t="s">
        <v>6953</v>
      </c>
      <c r="E397" t="s">
        <v>4</v>
      </c>
      <c r="F397">
        <v>143</v>
      </c>
      <c r="G397">
        <v>340</v>
      </c>
      <c r="H397" t="s">
        <v>13</v>
      </c>
      <c r="I397" t="b">
        <f t="shared" si="6"/>
        <v>0</v>
      </c>
    </row>
    <row r="398" spans="1:9" x14ac:dyDescent="0.2">
      <c r="A398" t="s">
        <v>186</v>
      </c>
      <c r="B398" t="s">
        <v>187</v>
      </c>
      <c r="C398" t="s">
        <v>112</v>
      </c>
      <c r="D398" t="s">
        <v>113</v>
      </c>
      <c r="E398" t="s">
        <v>4</v>
      </c>
      <c r="F398">
        <v>841</v>
      </c>
      <c r="G398">
        <v>899</v>
      </c>
      <c r="H398" t="s">
        <v>114</v>
      </c>
      <c r="I398" t="b">
        <f t="shared" si="6"/>
        <v>1</v>
      </c>
    </row>
    <row r="399" spans="1:9" x14ac:dyDescent="0.2">
      <c r="A399" t="s">
        <v>1414</v>
      </c>
      <c r="B399" t="s">
        <v>1415</v>
      </c>
      <c r="C399" t="s">
        <v>112</v>
      </c>
      <c r="D399" t="s">
        <v>113</v>
      </c>
      <c r="E399" t="s">
        <v>4</v>
      </c>
      <c r="F399">
        <v>840</v>
      </c>
      <c r="G399">
        <v>899</v>
      </c>
      <c r="H399" t="s">
        <v>114</v>
      </c>
      <c r="I399" t="b">
        <f t="shared" si="6"/>
        <v>1</v>
      </c>
    </row>
    <row r="400" spans="1:9" x14ac:dyDescent="0.2">
      <c r="A400" t="s">
        <v>792</v>
      </c>
      <c r="B400" t="s">
        <v>793</v>
      </c>
      <c r="C400" t="s">
        <v>112</v>
      </c>
      <c r="D400" t="s">
        <v>113</v>
      </c>
      <c r="E400" t="s">
        <v>4</v>
      </c>
      <c r="F400">
        <v>840</v>
      </c>
      <c r="G400">
        <v>899</v>
      </c>
      <c r="H400" t="s">
        <v>114</v>
      </c>
      <c r="I400" t="b">
        <f t="shared" si="6"/>
        <v>1</v>
      </c>
    </row>
    <row r="401" spans="1:9" x14ac:dyDescent="0.2">
      <c r="A401" t="s">
        <v>5201</v>
      </c>
      <c r="B401" t="s">
        <v>5202</v>
      </c>
      <c r="C401" t="s">
        <v>112</v>
      </c>
      <c r="D401" t="s">
        <v>113</v>
      </c>
      <c r="E401" t="s">
        <v>4</v>
      </c>
      <c r="F401">
        <v>838</v>
      </c>
      <c r="G401">
        <v>898</v>
      </c>
      <c r="H401" t="s">
        <v>114</v>
      </c>
      <c r="I401" t="b">
        <f t="shared" si="6"/>
        <v>1</v>
      </c>
    </row>
    <row r="402" spans="1:9" x14ac:dyDescent="0.2">
      <c r="A402" t="s">
        <v>3749</v>
      </c>
      <c r="B402" t="s">
        <v>3750</v>
      </c>
      <c r="C402" t="s">
        <v>112</v>
      </c>
      <c r="D402" t="s">
        <v>113</v>
      </c>
      <c r="E402" t="s">
        <v>4</v>
      </c>
      <c r="F402">
        <v>838</v>
      </c>
      <c r="G402">
        <v>899</v>
      </c>
      <c r="H402" t="s">
        <v>114</v>
      </c>
      <c r="I402" t="b">
        <f t="shared" si="6"/>
        <v>1</v>
      </c>
    </row>
    <row r="403" spans="1:9" x14ac:dyDescent="0.2">
      <c r="A403" t="s">
        <v>2164</v>
      </c>
      <c r="B403" t="s">
        <v>2165</v>
      </c>
      <c r="C403" t="s">
        <v>112</v>
      </c>
      <c r="D403" t="s">
        <v>113</v>
      </c>
      <c r="E403" t="s">
        <v>4</v>
      </c>
      <c r="F403">
        <v>839</v>
      </c>
      <c r="G403">
        <v>899</v>
      </c>
      <c r="H403" t="s">
        <v>114</v>
      </c>
      <c r="I403" t="b">
        <f t="shared" si="6"/>
        <v>1</v>
      </c>
    </row>
    <row r="404" spans="1:9" x14ac:dyDescent="0.2">
      <c r="A404" t="s">
        <v>4496</v>
      </c>
      <c r="B404" t="s">
        <v>4497</v>
      </c>
      <c r="C404" t="s">
        <v>112</v>
      </c>
      <c r="D404" t="s">
        <v>113</v>
      </c>
      <c r="E404" t="s">
        <v>4</v>
      </c>
      <c r="F404">
        <v>837</v>
      </c>
      <c r="G404">
        <v>898</v>
      </c>
      <c r="H404" t="s">
        <v>114</v>
      </c>
      <c r="I404" t="b">
        <f t="shared" si="6"/>
        <v>1</v>
      </c>
    </row>
    <row r="405" spans="1:9" x14ac:dyDescent="0.2">
      <c r="A405" t="s">
        <v>5830</v>
      </c>
      <c r="B405" t="s">
        <v>5831</v>
      </c>
      <c r="C405" t="s">
        <v>112</v>
      </c>
      <c r="D405" t="s">
        <v>113</v>
      </c>
      <c r="E405" t="s">
        <v>4</v>
      </c>
      <c r="F405">
        <v>837</v>
      </c>
      <c r="G405">
        <v>898</v>
      </c>
      <c r="H405" t="s">
        <v>114</v>
      </c>
      <c r="I405" t="b">
        <f t="shared" si="6"/>
        <v>1</v>
      </c>
    </row>
    <row r="406" spans="1:9" x14ac:dyDescent="0.2">
      <c r="A406" t="s">
        <v>2912</v>
      </c>
      <c r="B406" t="s">
        <v>2913</v>
      </c>
      <c r="C406" t="s">
        <v>112</v>
      </c>
      <c r="D406" t="s">
        <v>113</v>
      </c>
      <c r="E406" t="s">
        <v>4</v>
      </c>
      <c r="F406">
        <v>838</v>
      </c>
      <c r="G406">
        <v>899</v>
      </c>
      <c r="H406" t="s">
        <v>114</v>
      </c>
      <c r="I406" t="b">
        <f t="shared" si="6"/>
        <v>1</v>
      </c>
    </row>
    <row r="407" spans="1:9" x14ac:dyDescent="0.2">
      <c r="A407" t="s">
        <v>7253</v>
      </c>
      <c r="B407" t="s">
        <v>7254</v>
      </c>
      <c r="C407" t="s">
        <v>112</v>
      </c>
      <c r="D407" t="s">
        <v>113</v>
      </c>
      <c r="E407" t="s">
        <v>4</v>
      </c>
      <c r="F407">
        <v>836</v>
      </c>
      <c r="G407">
        <v>898</v>
      </c>
      <c r="H407" t="s">
        <v>114</v>
      </c>
      <c r="I407" t="b">
        <f t="shared" si="6"/>
        <v>1</v>
      </c>
    </row>
    <row r="408" spans="1:9" x14ac:dyDescent="0.2">
      <c r="A408" t="s">
        <v>6638</v>
      </c>
      <c r="B408" t="s">
        <v>6639</v>
      </c>
      <c r="C408" t="s">
        <v>112</v>
      </c>
      <c r="D408" t="s">
        <v>113</v>
      </c>
      <c r="E408" t="s">
        <v>4</v>
      </c>
      <c r="F408">
        <v>838</v>
      </c>
      <c r="G408">
        <v>898</v>
      </c>
      <c r="H408" t="s">
        <v>114</v>
      </c>
      <c r="I408" t="b">
        <f t="shared" si="6"/>
        <v>0</v>
      </c>
    </row>
    <row r="409" spans="1:9" x14ac:dyDescent="0.2">
      <c r="A409" t="s">
        <v>4231</v>
      </c>
      <c r="B409" t="s">
        <v>4232</v>
      </c>
      <c r="C409" t="s">
        <v>2897</v>
      </c>
      <c r="D409" t="s">
        <v>3</v>
      </c>
      <c r="E409" t="s">
        <v>4</v>
      </c>
      <c r="F409">
        <v>126</v>
      </c>
      <c r="G409">
        <v>344</v>
      </c>
      <c r="H409" t="s">
        <v>13</v>
      </c>
      <c r="I409" t="b">
        <f t="shared" si="6"/>
        <v>0</v>
      </c>
    </row>
    <row r="410" spans="1:9" x14ac:dyDescent="0.2">
      <c r="A410" t="s">
        <v>6287</v>
      </c>
      <c r="B410" t="s">
        <v>6288</v>
      </c>
      <c r="C410" t="s">
        <v>197</v>
      </c>
      <c r="D410" t="s">
        <v>4120</v>
      </c>
      <c r="E410" t="s">
        <v>4</v>
      </c>
      <c r="F410">
        <v>22</v>
      </c>
      <c r="G410">
        <v>73</v>
      </c>
      <c r="H410" t="s">
        <v>13</v>
      </c>
      <c r="I410" t="b">
        <f t="shared" si="6"/>
        <v>1</v>
      </c>
    </row>
    <row r="411" spans="1:9" x14ac:dyDescent="0.2">
      <c r="A411" t="s">
        <v>2952</v>
      </c>
      <c r="B411" t="s">
        <v>2953</v>
      </c>
      <c r="C411" t="s">
        <v>2954</v>
      </c>
      <c r="D411" t="s">
        <v>3</v>
      </c>
      <c r="E411" t="s">
        <v>4</v>
      </c>
      <c r="F411">
        <v>32</v>
      </c>
      <c r="G411">
        <v>229</v>
      </c>
      <c r="H411" t="s">
        <v>13</v>
      </c>
      <c r="I411" t="b">
        <f t="shared" si="6"/>
        <v>0</v>
      </c>
    </row>
    <row r="412" spans="1:9" x14ac:dyDescent="0.2">
      <c r="A412" t="s">
        <v>4828</v>
      </c>
      <c r="B412" t="s">
        <v>4829</v>
      </c>
      <c r="C412" t="s">
        <v>204</v>
      </c>
      <c r="D412" t="s">
        <v>3</v>
      </c>
      <c r="E412" t="s">
        <v>4</v>
      </c>
      <c r="F412">
        <v>118</v>
      </c>
      <c r="G412">
        <v>384</v>
      </c>
      <c r="H412" t="s">
        <v>13</v>
      </c>
      <c r="I412" t="b">
        <f t="shared" si="6"/>
        <v>0</v>
      </c>
    </row>
    <row r="413" spans="1:9" x14ac:dyDescent="0.2">
      <c r="A413" t="s">
        <v>5817</v>
      </c>
      <c r="B413" t="s">
        <v>5818</v>
      </c>
      <c r="C413" t="s">
        <v>740</v>
      </c>
      <c r="D413" t="s">
        <v>1772</v>
      </c>
      <c r="E413" t="s">
        <v>4</v>
      </c>
      <c r="F413">
        <v>637</v>
      </c>
      <c r="G413">
        <v>327</v>
      </c>
      <c r="H413" t="s">
        <v>13</v>
      </c>
      <c r="I413" t="b">
        <f t="shared" si="6"/>
        <v>1</v>
      </c>
    </row>
    <row r="414" spans="1:9" x14ac:dyDescent="0.2">
      <c r="A414" t="s">
        <v>6337</v>
      </c>
      <c r="B414" t="s">
        <v>6338</v>
      </c>
      <c r="C414" t="s">
        <v>558</v>
      </c>
      <c r="D414" t="s">
        <v>6339</v>
      </c>
      <c r="E414" t="s">
        <v>4</v>
      </c>
      <c r="F414">
        <v>12</v>
      </c>
      <c r="G414">
        <v>159</v>
      </c>
      <c r="H414" t="s">
        <v>13</v>
      </c>
      <c r="I414" t="b">
        <f t="shared" si="6"/>
        <v>1</v>
      </c>
    </row>
    <row r="415" spans="1:9" x14ac:dyDescent="0.2">
      <c r="A415" t="s">
        <v>4752</v>
      </c>
      <c r="B415" t="s">
        <v>4753</v>
      </c>
      <c r="C415" t="s">
        <v>4754</v>
      </c>
      <c r="D415" t="s">
        <v>3</v>
      </c>
      <c r="E415" t="s">
        <v>4</v>
      </c>
      <c r="F415">
        <v>18</v>
      </c>
      <c r="G415">
        <v>107</v>
      </c>
      <c r="H415" t="s">
        <v>13</v>
      </c>
      <c r="I415" t="b">
        <f t="shared" si="6"/>
        <v>0</v>
      </c>
    </row>
    <row r="416" spans="1:9" x14ac:dyDescent="0.2">
      <c r="A416" t="s">
        <v>6457</v>
      </c>
      <c r="B416" t="s">
        <v>6458</v>
      </c>
      <c r="C416" t="s">
        <v>6459</v>
      </c>
      <c r="D416" t="s">
        <v>3</v>
      </c>
      <c r="E416" t="s">
        <v>4</v>
      </c>
      <c r="F416">
        <v>66</v>
      </c>
      <c r="G416">
        <v>24</v>
      </c>
      <c r="H416" t="s">
        <v>13</v>
      </c>
      <c r="I416" t="b">
        <f t="shared" si="6"/>
        <v>0</v>
      </c>
    </row>
    <row r="417" spans="1:9" x14ac:dyDescent="0.2">
      <c r="A417" t="s">
        <v>2241</v>
      </c>
      <c r="B417" t="s">
        <v>2242</v>
      </c>
      <c r="C417" t="s">
        <v>2243</v>
      </c>
      <c r="D417" t="s">
        <v>2244</v>
      </c>
      <c r="E417" t="s">
        <v>4</v>
      </c>
      <c r="F417">
        <v>941</v>
      </c>
      <c r="G417">
        <v>2072</v>
      </c>
      <c r="H417" t="s">
        <v>86</v>
      </c>
      <c r="I417" t="b">
        <f t="shared" si="6"/>
        <v>0</v>
      </c>
    </row>
    <row r="418" spans="1:9" x14ac:dyDescent="0.2">
      <c r="A418" t="s">
        <v>5163</v>
      </c>
      <c r="B418" t="s">
        <v>5164</v>
      </c>
      <c r="C418" t="s">
        <v>4754</v>
      </c>
      <c r="D418" t="s">
        <v>3</v>
      </c>
      <c r="E418" t="s">
        <v>4</v>
      </c>
      <c r="F418">
        <v>18</v>
      </c>
      <c r="G418">
        <v>107</v>
      </c>
      <c r="H418" t="s">
        <v>13</v>
      </c>
      <c r="I418" t="b">
        <f t="shared" si="6"/>
        <v>0</v>
      </c>
    </row>
    <row r="419" spans="1:9" x14ac:dyDescent="0.2">
      <c r="A419" t="s">
        <v>6886</v>
      </c>
      <c r="B419" t="s">
        <v>6887</v>
      </c>
      <c r="C419" t="s">
        <v>6888</v>
      </c>
      <c r="D419" t="s">
        <v>3</v>
      </c>
      <c r="E419" t="s">
        <v>4</v>
      </c>
      <c r="F419">
        <v>24</v>
      </c>
      <c r="G419">
        <v>152</v>
      </c>
      <c r="H419" t="s">
        <v>13</v>
      </c>
      <c r="I419" t="b">
        <f t="shared" si="6"/>
        <v>0</v>
      </c>
    </row>
    <row r="420" spans="1:9" x14ac:dyDescent="0.2">
      <c r="A420" t="s">
        <v>5429</v>
      </c>
      <c r="B420" t="s">
        <v>5430</v>
      </c>
      <c r="C420" t="s">
        <v>3369</v>
      </c>
      <c r="D420" t="s">
        <v>3370</v>
      </c>
      <c r="E420" t="s">
        <v>4</v>
      </c>
      <c r="F420">
        <v>43</v>
      </c>
      <c r="G420">
        <v>38</v>
      </c>
      <c r="H420" t="s">
        <v>13</v>
      </c>
      <c r="I420" t="b">
        <f t="shared" si="6"/>
        <v>0</v>
      </c>
    </row>
    <row r="421" spans="1:9" x14ac:dyDescent="0.2">
      <c r="A421" t="s">
        <v>5914</v>
      </c>
      <c r="B421" t="s">
        <v>5915</v>
      </c>
      <c r="C421" t="s">
        <v>5916</v>
      </c>
      <c r="D421" t="s">
        <v>3</v>
      </c>
      <c r="E421" t="s">
        <v>4</v>
      </c>
      <c r="F421">
        <v>28</v>
      </c>
      <c r="G421">
        <v>173</v>
      </c>
      <c r="H421" t="s">
        <v>50</v>
      </c>
      <c r="I421" t="b">
        <f t="shared" si="6"/>
        <v>0</v>
      </c>
    </row>
    <row r="422" spans="1:9" x14ac:dyDescent="0.2">
      <c r="A422" t="s">
        <v>2234</v>
      </c>
      <c r="B422" t="s">
        <v>2235</v>
      </c>
      <c r="C422" t="s">
        <v>996</v>
      </c>
      <c r="D422" t="s">
        <v>2236</v>
      </c>
      <c r="E422" t="s">
        <v>4</v>
      </c>
      <c r="F422">
        <v>2326</v>
      </c>
      <c r="G422">
        <v>3091</v>
      </c>
      <c r="H422" t="s">
        <v>13</v>
      </c>
      <c r="I422" t="b">
        <f t="shared" si="6"/>
        <v>0</v>
      </c>
    </row>
    <row r="423" spans="1:9" x14ac:dyDescent="0.2">
      <c r="A423" t="s">
        <v>2156</v>
      </c>
      <c r="B423" t="s">
        <v>2157</v>
      </c>
      <c r="C423" t="s">
        <v>2158</v>
      </c>
      <c r="D423" t="s">
        <v>2159</v>
      </c>
      <c r="E423" t="s">
        <v>4</v>
      </c>
      <c r="F423">
        <v>2134</v>
      </c>
      <c r="G423">
        <v>2009</v>
      </c>
      <c r="H423" t="s">
        <v>13</v>
      </c>
      <c r="I423" t="b">
        <f t="shared" si="6"/>
        <v>0</v>
      </c>
    </row>
    <row r="424" spans="1:9" x14ac:dyDescent="0.2">
      <c r="A424" t="s">
        <v>695</v>
      </c>
      <c r="B424" t="s">
        <v>696</v>
      </c>
      <c r="C424" t="s">
        <v>697</v>
      </c>
      <c r="D424" t="s">
        <v>698</v>
      </c>
      <c r="E424" t="s">
        <v>4</v>
      </c>
      <c r="F424">
        <v>1011</v>
      </c>
      <c r="G424">
        <v>2557</v>
      </c>
      <c r="H424" t="s">
        <v>13</v>
      </c>
      <c r="I424" t="b">
        <f t="shared" si="6"/>
        <v>0</v>
      </c>
    </row>
    <row r="425" spans="1:9" x14ac:dyDescent="0.2">
      <c r="A425" t="s">
        <v>5395</v>
      </c>
      <c r="B425" t="s">
        <v>5396</v>
      </c>
      <c r="C425" t="s">
        <v>97</v>
      </c>
      <c r="D425" t="s">
        <v>5397</v>
      </c>
      <c r="E425" t="s">
        <v>4</v>
      </c>
      <c r="F425">
        <v>8592</v>
      </c>
      <c r="G425">
        <v>124</v>
      </c>
      <c r="H425" t="s">
        <v>13</v>
      </c>
      <c r="I425" t="b">
        <f t="shared" si="6"/>
        <v>0</v>
      </c>
    </row>
    <row r="426" spans="1:9" x14ac:dyDescent="0.2">
      <c r="A426" t="s">
        <v>5882</v>
      </c>
      <c r="B426" t="s">
        <v>5883</v>
      </c>
      <c r="C426" t="s">
        <v>1392</v>
      </c>
      <c r="D426" t="s">
        <v>3</v>
      </c>
      <c r="E426" t="s">
        <v>4</v>
      </c>
      <c r="F426">
        <v>1317</v>
      </c>
      <c r="G426">
        <v>171</v>
      </c>
      <c r="H426" t="s">
        <v>13</v>
      </c>
      <c r="I426" t="b">
        <f t="shared" si="6"/>
        <v>0</v>
      </c>
    </row>
    <row r="427" spans="1:9" x14ac:dyDescent="0.2">
      <c r="A427" t="s">
        <v>1515</v>
      </c>
      <c r="B427" t="s">
        <v>1516</v>
      </c>
      <c r="C427" t="s">
        <v>293</v>
      </c>
      <c r="D427" t="s">
        <v>3</v>
      </c>
      <c r="E427" t="s">
        <v>4</v>
      </c>
      <c r="F427">
        <v>3632</v>
      </c>
      <c r="G427">
        <v>3729</v>
      </c>
      <c r="H427" t="s">
        <v>13</v>
      </c>
      <c r="I427" t="b">
        <f t="shared" si="6"/>
        <v>0</v>
      </c>
    </row>
    <row r="428" spans="1:9" x14ac:dyDescent="0.2">
      <c r="A428" t="s">
        <v>4673</v>
      </c>
      <c r="B428" t="s">
        <v>4674</v>
      </c>
      <c r="C428" t="s">
        <v>4675</v>
      </c>
      <c r="D428" t="s">
        <v>4676</v>
      </c>
      <c r="E428" t="s">
        <v>4</v>
      </c>
      <c r="F428">
        <v>405</v>
      </c>
      <c r="G428">
        <v>392</v>
      </c>
      <c r="H428" t="s">
        <v>13</v>
      </c>
      <c r="I428" t="b">
        <f t="shared" si="6"/>
        <v>0</v>
      </c>
    </row>
    <row r="429" spans="1:9" x14ac:dyDescent="0.2">
      <c r="A429" t="s">
        <v>5266</v>
      </c>
      <c r="B429" t="s">
        <v>5268</v>
      </c>
      <c r="C429" t="s">
        <v>2475</v>
      </c>
      <c r="D429" t="s">
        <v>3</v>
      </c>
      <c r="E429" t="s">
        <v>4</v>
      </c>
      <c r="F429">
        <v>23</v>
      </c>
      <c r="G429">
        <v>128</v>
      </c>
      <c r="H429" t="s">
        <v>13</v>
      </c>
      <c r="I429" t="b">
        <f t="shared" si="6"/>
        <v>0</v>
      </c>
    </row>
    <row r="430" spans="1:9" x14ac:dyDescent="0.2">
      <c r="A430" t="s">
        <v>6605</v>
      </c>
      <c r="B430" t="s">
        <v>6606</v>
      </c>
      <c r="C430" t="s">
        <v>6607</v>
      </c>
      <c r="D430" t="s">
        <v>3</v>
      </c>
      <c r="E430" t="s">
        <v>4</v>
      </c>
      <c r="F430">
        <v>799</v>
      </c>
      <c r="G430">
        <v>218</v>
      </c>
      <c r="H430" t="s">
        <v>13</v>
      </c>
      <c r="I430" t="b">
        <f t="shared" si="6"/>
        <v>0</v>
      </c>
    </row>
    <row r="431" spans="1:9" x14ac:dyDescent="0.2">
      <c r="A431" t="s">
        <v>6813</v>
      </c>
      <c r="B431" t="s">
        <v>6814</v>
      </c>
      <c r="C431" t="s">
        <v>6815</v>
      </c>
      <c r="D431" t="s">
        <v>6816</v>
      </c>
      <c r="E431" t="s">
        <v>4</v>
      </c>
      <c r="F431">
        <v>483</v>
      </c>
      <c r="G431">
        <v>496</v>
      </c>
      <c r="H431" t="s">
        <v>13</v>
      </c>
      <c r="I431" t="b">
        <f t="shared" si="6"/>
        <v>0</v>
      </c>
    </row>
    <row r="432" spans="1:9" x14ac:dyDescent="0.2">
      <c r="A432" t="s">
        <v>794</v>
      </c>
      <c r="B432" t="s">
        <v>795</v>
      </c>
      <c r="C432" t="s">
        <v>796</v>
      </c>
      <c r="D432" t="s">
        <v>797</v>
      </c>
      <c r="E432" t="s">
        <v>4</v>
      </c>
      <c r="F432">
        <v>3889</v>
      </c>
      <c r="G432">
        <v>734</v>
      </c>
      <c r="H432" t="s">
        <v>13</v>
      </c>
      <c r="I432" t="b">
        <f t="shared" si="6"/>
        <v>0</v>
      </c>
    </row>
    <row r="433" spans="1:9" x14ac:dyDescent="0.2">
      <c r="A433" t="s">
        <v>994</v>
      </c>
      <c r="B433" t="s">
        <v>995</v>
      </c>
      <c r="C433" t="s">
        <v>996</v>
      </c>
      <c r="D433" t="s">
        <v>3</v>
      </c>
      <c r="E433" t="s">
        <v>4</v>
      </c>
      <c r="F433">
        <v>234</v>
      </c>
      <c r="G433">
        <v>187</v>
      </c>
      <c r="H433" t="s">
        <v>13</v>
      </c>
      <c r="I433" t="b">
        <f t="shared" si="6"/>
        <v>0</v>
      </c>
    </row>
    <row r="434" spans="1:9" x14ac:dyDescent="0.2">
      <c r="A434" t="s">
        <v>2397</v>
      </c>
      <c r="B434" t="s">
        <v>2398</v>
      </c>
      <c r="C434" t="s">
        <v>773</v>
      </c>
      <c r="D434" t="s">
        <v>2399</v>
      </c>
      <c r="E434" t="s">
        <v>4</v>
      </c>
      <c r="F434">
        <v>190</v>
      </c>
      <c r="G434">
        <v>441</v>
      </c>
      <c r="H434" t="s">
        <v>13</v>
      </c>
      <c r="I434" t="b">
        <f t="shared" si="6"/>
        <v>0</v>
      </c>
    </row>
    <row r="435" spans="1:9" x14ac:dyDescent="0.2">
      <c r="A435" t="s">
        <v>1431</v>
      </c>
      <c r="B435" t="s">
        <v>1432</v>
      </c>
      <c r="C435" t="s">
        <v>530</v>
      </c>
      <c r="D435" t="s">
        <v>3</v>
      </c>
      <c r="E435" t="s">
        <v>4</v>
      </c>
      <c r="F435">
        <v>1</v>
      </c>
      <c r="G435">
        <v>48</v>
      </c>
      <c r="H435" t="s">
        <v>13</v>
      </c>
      <c r="I435" t="b">
        <f t="shared" si="6"/>
        <v>0</v>
      </c>
    </row>
    <row r="436" spans="1:9" x14ac:dyDescent="0.2">
      <c r="A436" t="s">
        <v>3335</v>
      </c>
      <c r="B436" t="s">
        <v>3336</v>
      </c>
      <c r="C436" t="s">
        <v>3337</v>
      </c>
      <c r="D436" t="s">
        <v>3338</v>
      </c>
      <c r="E436" t="s">
        <v>4</v>
      </c>
      <c r="F436">
        <v>532</v>
      </c>
      <c r="G436">
        <v>467</v>
      </c>
      <c r="H436" t="s">
        <v>13</v>
      </c>
      <c r="I436" t="b">
        <f t="shared" si="6"/>
        <v>0</v>
      </c>
    </row>
    <row r="437" spans="1:9" x14ac:dyDescent="0.2">
      <c r="A437" t="s">
        <v>2887</v>
      </c>
      <c r="B437" t="s">
        <v>2888</v>
      </c>
      <c r="C437" t="s">
        <v>1201</v>
      </c>
      <c r="D437" t="s">
        <v>3</v>
      </c>
      <c r="E437" t="s">
        <v>4</v>
      </c>
      <c r="F437">
        <v>287</v>
      </c>
      <c r="G437">
        <v>109</v>
      </c>
      <c r="H437" t="s">
        <v>13</v>
      </c>
      <c r="I437" t="b">
        <f t="shared" si="6"/>
        <v>0</v>
      </c>
    </row>
    <row r="438" spans="1:9" x14ac:dyDescent="0.2">
      <c r="A438" t="s">
        <v>7213</v>
      </c>
      <c r="B438" t="s">
        <v>7214</v>
      </c>
      <c r="C438" t="s">
        <v>7215</v>
      </c>
      <c r="D438" t="s">
        <v>3</v>
      </c>
      <c r="E438" t="s">
        <v>4</v>
      </c>
      <c r="F438">
        <v>11</v>
      </c>
      <c r="G438">
        <v>1208</v>
      </c>
      <c r="H438" t="s">
        <v>5</v>
      </c>
      <c r="I438" t="b">
        <f t="shared" si="6"/>
        <v>0</v>
      </c>
    </row>
    <row r="439" spans="1:9" x14ac:dyDescent="0.2">
      <c r="A439" t="s">
        <v>5668</v>
      </c>
      <c r="B439" t="s">
        <v>5669</v>
      </c>
      <c r="C439" t="s">
        <v>1587</v>
      </c>
      <c r="D439" t="s">
        <v>3</v>
      </c>
      <c r="E439" t="s">
        <v>4</v>
      </c>
      <c r="F439">
        <v>49</v>
      </c>
      <c r="G439">
        <v>53</v>
      </c>
      <c r="H439" t="s">
        <v>13</v>
      </c>
      <c r="I439" t="b">
        <f t="shared" si="6"/>
        <v>0</v>
      </c>
    </row>
    <row r="440" spans="1:9" x14ac:dyDescent="0.2">
      <c r="A440" t="s">
        <v>2460</v>
      </c>
      <c r="B440" t="s">
        <v>2461</v>
      </c>
      <c r="C440" t="s">
        <v>2462</v>
      </c>
      <c r="D440" t="s">
        <v>663</v>
      </c>
      <c r="E440" t="s">
        <v>4</v>
      </c>
      <c r="F440">
        <v>816</v>
      </c>
      <c r="G440">
        <v>1145</v>
      </c>
      <c r="H440" t="s">
        <v>13</v>
      </c>
      <c r="I440" t="b">
        <f t="shared" si="6"/>
        <v>0</v>
      </c>
    </row>
    <row r="441" spans="1:9" x14ac:dyDescent="0.2">
      <c r="A441" t="s">
        <v>1020</v>
      </c>
      <c r="B441" t="s">
        <v>1021</v>
      </c>
      <c r="C441" t="s">
        <v>283</v>
      </c>
      <c r="D441" t="s">
        <v>3</v>
      </c>
      <c r="E441" t="s">
        <v>4</v>
      </c>
      <c r="F441">
        <v>67</v>
      </c>
      <c r="G441">
        <v>9</v>
      </c>
      <c r="H441" t="s">
        <v>13</v>
      </c>
      <c r="I441" t="b">
        <f t="shared" si="6"/>
        <v>0</v>
      </c>
    </row>
    <row r="442" spans="1:9" x14ac:dyDescent="0.2">
      <c r="A442" t="s">
        <v>2415</v>
      </c>
      <c r="B442" t="s">
        <v>2416</v>
      </c>
      <c r="C442" t="s">
        <v>2417</v>
      </c>
      <c r="D442" t="s">
        <v>3</v>
      </c>
      <c r="E442" t="s">
        <v>4</v>
      </c>
      <c r="F442">
        <v>48</v>
      </c>
      <c r="G442">
        <v>694</v>
      </c>
      <c r="H442" t="s">
        <v>13</v>
      </c>
      <c r="I442" t="b">
        <f t="shared" si="6"/>
        <v>0</v>
      </c>
    </row>
    <row r="443" spans="1:9" x14ac:dyDescent="0.2">
      <c r="A443" t="s">
        <v>4639</v>
      </c>
      <c r="B443" t="s">
        <v>4640</v>
      </c>
      <c r="C443" t="s">
        <v>315</v>
      </c>
      <c r="D443" t="s">
        <v>2456</v>
      </c>
      <c r="E443" t="s">
        <v>4</v>
      </c>
      <c r="F443">
        <v>24</v>
      </c>
      <c r="G443">
        <v>150</v>
      </c>
      <c r="H443" t="s">
        <v>13</v>
      </c>
      <c r="I443" t="b">
        <f t="shared" si="6"/>
        <v>0</v>
      </c>
    </row>
    <row r="444" spans="1:9" x14ac:dyDescent="0.2">
      <c r="A444" t="s">
        <v>6155</v>
      </c>
      <c r="B444" t="s">
        <v>6156</v>
      </c>
      <c r="C444" t="s">
        <v>6157</v>
      </c>
      <c r="D444" t="s">
        <v>6158</v>
      </c>
      <c r="E444" t="s">
        <v>4</v>
      </c>
      <c r="F444">
        <v>1786</v>
      </c>
      <c r="G444">
        <v>3069</v>
      </c>
      <c r="H444" t="s">
        <v>13</v>
      </c>
      <c r="I444" t="b">
        <f t="shared" si="6"/>
        <v>0</v>
      </c>
    </row>
    <row r="445" spans="1:9" x14ac:dyDescent="0.2">
      <c r="A445" t="s">
        <v>2189</v>
      </c>
      <c r="B445" t="s">
        <v>2190</v>
      </c>
      <c r="C445" t="s">
        <v>2191</v>
      </c>
      <c r="D445" t="s">
        <v>3</v>
      </c>
      <c r="E445" t="s">
        <v>4</v>
      </c>
      <c r="F445">
        <v>213</v>
      </c>
      <c r="G445">
        <v>1423</v>
      </c>
      <c r="H445" t="s">
        <v>13</v>
      </c>
      <c r="I445" t="b">
        <f t="shared" si="6"/>
        <v>0</v>
      </c>
    </row>
    <row r="446" spans="1:9" x14ac:dyDescent="0.2">
      <c r="A446" t="s">
        <v>4272</v>
      </c>
      <c r="B446" t="s">
        <v>4273</v>
      </c>
      <c r="C446" t="s">
        <v>67</v>
      </c>
      <c r="D446" t="s">
        <v>3</v>
      </c>
      <c r="E446" t="s">
        <v>4</v>
      </c>
      <c r="F446">
        <v>438</v>
      </c>
      <c r="G446">
        <v>41</v>
      </c>
      <c r="H446" t="s">
        <v>13</v>
      </c>
      <c r="I446" t="b">
        <f t="shared" si="6"/>
        <v>0</v>
      </c>
    </row>
    <row r="447" spans="1:9" x14ac:dyDescent="0.2">
      <c r="A447" t="s">
        <v>4917</v>
      </c>
      <c r="B447" t="s">
        <v>4918</v>
      </c>
      <c r="C447" t="s">
        <v>1540</v>
      </c>
      <c r="D447" t="s">
        <v>3</v>
      </c>
      <c r="E447" t="s">
        <v>4</v>
      </c>
      <c r="F447">
        <v>357</v>
      </c>
      <c r="G447">
        <v>40</v>
      </c>
      <c r="H447" t="s">
        <v>13</v>
      </c>
      <c r="I447" t="b">
        <f t="shared" si="6"/>
        <v>0</v>
      </c>
    </row>
    <row r="448" spans="1:9" x14ac:dyDescent="0.2">
      <c r="A448" t="s">
        <v>1350</v>
      </c>
      <c r="B448" t="s">
        <v>1351</v>
      </c>
      <c r="C448" t="s">
        <v>1038</v>
      </c>
      <c r="D448" t="s">
        <v>1352</v>
      </c>
      <c r="E448" t="s">
        <v>4</v>
      </c>
      <c r="F448">
        <v>13</v>
      </c>
      <c r="G448">
        <v>46</v>
      </c>
      <c r="H448" t="s">
        <v>5</v>
      </c>
      <c r="I448" t="b">
        <f t="shared" si="6"/>
        <v>0</v>
      </c>
    </row>
    <row r="449" spans="1:9" x14ac:dyDescent="0.2">
      <c r="A449" t="s">
        <v>6599</v>
      </c>
      <c r="B449" t="s">
        <v>6600</v>
      </c>
      <c r="C449" t="s">
        <v>5443</v>
      </c>
      <c r="D449" t="s">
        <v>6601</v>
      </c>
      <c r="E449" t="s">
        <v>4</v>
      </c>
      <c r="F449">
        <v>351</v>
      </c>
      <c r="G449">
        <v>1742</v>
      </c>
      <c r="H449" t="s">
        <v>13</v>
      </c>
      <c r="I449" t="b">
        <f t="shared" si="6"/>
        <v>0</v>
      </c>
    </row>
    <row r="450" spans="1:9" x14ac:dyDescent="0.2">
      <c r="A450" t="s">
        <v>4840</v>
      </c>
      <c r="B450" t="s">
        <v>4841</v>
      </c>
      <c r="C450" t="s">
        <v>3286</v>
      </c>
      <c r="D450" t="s">
        <v>422</v>
      </c>
      <c r="E450" t="s">
        <v>4</v>
      </c>
      <c r="F450">
        <v>211</v>
      </c>
      <c r="G450">
        <v>393</v>
      </c>
      <c r="H450" t="s">
        <v>13</v>
      </c>
      <c r="I450" t="b">
        <f t="shared" si="6"/>
        <v>0</v>
      </c>
    </row>
    <row r="451" spans="1:9" x14ac:dyDescent="0.2">
      <c r="A451" t="s">
        <v>1713</v>
      </c>
      <c r="B451" t="s">
        <v>1714</v>
      </c>
      <c r="C451" t="s">
        <v>1062</v>
      </c>
      <c r="D451" t="s">
        <v>1715</v>
      </c>
      <c r="E451" t="s">
        <v>4</v>
      </c>
      <c r="F451">
        <v>24309</v>
      </c>
      <c r="G451">
        <v>3348</v>
      </c>
      <c r="H451" t="s">
        <v>13</v>
      </c>
      <c r="I451" t="b">
        <f t="shared" ref="I451:I514" si="7">isDup(B451, B452, 0.7)</f>
        <v>0</v>
      </c>
    </row>
    <row r="452" spans="1:9" x14ac:dyDescent="0.2">
      <c r="A452" t="s">
        <v>2492</v>
      </c>
      <c r="B452" t="s">
        <v>2493</v>
      </c>
      <c r="C452" t="s">
        <v>558</v>
      </c>
      <c r="D452" t="s">
        <v>3</v>
      </c>
      <c r="E452" t="s">
        <v>4</v>
      </c>
      <c r="F452">
        <v>6</v>
      </c>
      <c r="G452">
        <v>24</v>
      </c>
      <c r="H452" t="s">
        <v>645</v>
      </c>
      <c r="I452" t="b">
        <f t="shared" si="7"/>
        <v>0</v>
      </c>
    </row>
    <row r="453" spans="1:9" x14ac:dyDescent="0.2">
      <c r="A453" t="s">
        <v>1489</v>
      </c>
      <c r="B453" t="s">
        <v>1490</v>
      </c>
      <c r="C453" t="s">
        <v>1491</v>
      </c>
      <c r="D453" t="s">
        <v>1492</v>
      </c>
      <c r="E453" t="s">
        <v>4</v>
      </c>
      <c r="F453">
        <v>95</v>
      </c>
      <c r="G453">
        <v>297</v>
      </c>
      <c r="H453" t="s">
        <v>13</v>
      </c>
      <c r="I453" t="b">
        <f t="shared" si="7"/>
        <v>0</v>
      </c>
    </row>
    <row r="454" spans="1:9" x14ac:dyDescent="0.2">
      <c r="A454" t="s">
        <v>804</v>
      </c>
      <c r="B454" t="s">
        <v>805</v>
      </c>
      <c r="C454" t="s">
        <v>806</v>
      </c>
      <c r="D454" t="s">
        <v>807</v>
      </c>
      <c r="E454" t="s">
        <v>4</v>
      </c>
      <c r="F454">
        <v>1544</v>
      </c>
      <c r="G454">
        <v>702</v>
      </c>
      <c r="H454" t="s">
        <v>13</v>
      </c>
      <c r="I454" t="b">
        <f t="shared" si="7"/>
        <v>0</v>
      </c>
    </row>
    <row r="455" spans="1:9" x14ac:dyDescent="0.2">
      <c r="A455" t="s">
        <v>3371</v>
      </c>
      <c r="B455" t="s">
        <v>3372</v>
      </c>
      <c r="C455" t="s">
        <v>1187</v>
      </c>
      <c r="D455" t="s">
        <v>3373</v>
      </c>
      <c r="E455" t="s">
        <v>4</v>
      </c>
      <c r="F455">
        <v>182</v>
      </c>
      <c r="G455">
        <v>2410</v>
      </c>
      <c r="H455" t="s">
        <v>13</v>
      </c>
      <c r="I455" t="b">
        <f t="shared" si="7"/>
        <v>0</v>
      </c>
    </row>
    <row r="456" spans="1:9" x14ac:dyDescent="0.2">
      <c r="A456" t="s">
        <v>5726</v>
      </c>
      <c r="B456" t="s">
        <v>5727</v>
      </c>
      <c r="C456" t="s">
        <v>2665</v>
      </c>
      <c r="D456" t="s">
        <v>3</v>
      </c>
      <c r="E456" t="s">
        <v>4</v>
      </c>
      <c r="F456">
        <v>35</v>
      </c>
      <c r="G456">
        <v>68</v>
      </c>
      <c r="H456" t="s">
        <v>13</v>
      </c>
      <c r="I456" t="b">
        <f t="shared" si="7"/>
        <v>0</v>
      </c>
    </row>
    <row r="457" spans="1:9" x14ac:dyDescent="0.2">
      <c r="A457" t="s">
        <v>351</v>
      </c>
      <c r="B457" t="s">
        <v>352</v>
      </c>
      <c r="C457" t="s">
        <v>353</v>
      </c>
      <c r="D457" t="s">
        <v>3</v>
      </c>
      <c r="E457" t="s">
        <v>4</v>
      </c>
      <c r="F457">
        <v>6</v>
      </c>
      <c r="G457">
        <v>77</v>
      </c>
      <c r="H457" t="s">
        <v>13</v>
      </c>
      <c r="I457" t="b">
        <f t="shared" si="7"/>
        <v>1</v>
      </c>
    </row>
    <row r="458" spans="1:9" x14ac:dyDescent="0.2">
      <c r="A458" t="s">
        <v>2729</v>
      </c>
      <c r="B458" t="s">
        <v>2730</v>
      </c>
      <c r="C458" t="s">
        <v>353</v>
      </c>
      <c r="D458" t="s">
        <v>3</v>
      </c>
      <c r="E458" t="s">
        <v>4</v>
      </c>
      <c r="F458">
        <v>6</v>
      </c>
      <c r="G458">
        <v>77</v>
      </c>
      <c r="H458" t="s">
        <v>13</v>
      </c>
      <c r="I458" t="b">
        <f t="shared" si="7"/>
        <v>0</v>
      </c>
    </row>
    <row r="459" spans="1:9" x14ac:dyDescent="0.2">
      <c r="A459" t="s">
        <v>5257</v>
      </c>
      <c r="B459" t="s">
        <v>5258</v>
      </c>
      <c r="C459" t="s">
        <v>720</v>
      </c>
      <c r="D459" t="s">
        <v>5259</v>
      </c>
      <c r="E459" t="s">
        <v>4</v>
      </c>
      <c r="F459">
        <v>290</v>
      </c>
      <c r="G459">
        <v>298</v>
      </c>
      <c r="H459" t="s">
        <v>13</v>
      </c>
      <c r="I459" t="b">
        <f t="shared" si="7"/>
        <v>0</v>
      </c>
    </row>
    <row r="460" spans="1:9" x14ac:dyDescent="0.2">
      <c r="A460" t="s">
        <v>7257</v>
      </c>
      <c r="B460" t="s">
        <v>7258</v>
      </c>
      <c r="C460" t="s">
        <v>2263</v>
      </c>
      <c r="D460" t="s">
        <v>7259</v>
      </c>
      <c r="E460" t="s">
        <v>4</v>
      </c>
      <c r="F460">
        <v>10</v>
      </c>
      <c r="G460">
        <v>25</v>
      </c>
      <c r="H460" t="s">
        <v>13</v>
      </c>
      <c r="I460" t="b">
        <f t="shared" si="7"/>
        <v>0</v>
      </c>
    </row>
    <row r="461" spans="1:9" x14ac:dyDescent="0.2">
      <c r="A461" t="s">
        <v>1699</v>
      </c>
      <c r="B461" t="s">
        <v>1700</v>
      </c>
      <c r="C461" t="s">
        <v>1701</v>
      </c>
      <c r="D461" t="s">
        <v>3</v>
      </c>
      <c r="E461" t="s">
        <v>4</v>
      </c>
      <c r="F461">
        <v>97</v>
      </c>
      <c r="G461">
        <v>727</v>
      </c>
      <c r="H461" t="s">
        <v>13</v>
      </c>
      <c r="I461" t="b">
        <f t="shared" si="7"/>
        <v>0</v>
      </c>
    </row>
    <row r="462" spans="1:9" x14ac:dyDescent="0.2">
      <c r="A462" t="s">
        <v>5935</v>
      </c>
      <c r="B462" t="s">
        <v>5936</v>
      </c>
      <c r="C462" t="s">
        <v>5937</v>
      </c>
      <c r="D462" t="s">
        <v>5938</v>
      </c>
      <c r="E462" t="s">
        <v>4</v>
      </c>
      <c r="F462">
        <v>2484</v>
      </c>
      <c r="G462">
        <v>801</v>
      </c>
      <c r="H462" t="s">
        <v>13</v>
      </c>
      <c r="I462" t="b">
        <f t="shared" si="7"/>
        <v>0</v>
      </c>
    </row>
    <row r="463" spans="1:9" x14ac:dyDescent="0.2">
      <c r="A463" t="s">
        <v>5448</v>
      </c>
      <c r="B463" t="s">
        <v>5449</v>
      </c>
      <c r="C463" t="s">
        <v>5450</v>
      </c>
      <c r="D463" t="s">
        <v>5451</v>
      </c>
      <c r="E463" t="s">
        <v>4</v>
      </c>
      <c r="F463">
        <v>551</v>
      </c>
      <c r="G463">
        <v>351</v>
      </c>
      <c r="H463" t="s">
        <v>13</v>
      </c>
      <c r="I463" t="b">
        <f t="shared" si="7"/>
        <v>0</v>
      </c>
    </row>
    <row r="464" spans="1:9" x14ac:dyDescent="0.2">
      <c r="A464" t="s">
        <v>6530</v>
      </c>
      <c r="B464" t="s">
        <v>6531</v>
      </c>
      <c r="C464" t="s">
        <v>6532</v>
      </c>
      <c r="D464" t="s">
        <v>6533</v>
      </c>
      <c r="E464" t="s">
        <v>4</v>
      </c>
      <c r="F464">
        <v>1021</v>
      </c>
      <c r="G464">
        <v>4434</v>
      </c>
      <c r="H464" t="s">
        <v>13</v>
      </c>
      <c r="I464" t="b">
        <f t="shared" si="7"/>
        <v>0</v>
      </c>
    </row>
    <row r="465" spans="1:9" x14ac:dyDescent="0.2">
      <c r="A465" t="s">
        <v>3444</v>
      </c>
      <c r="B465" t="s">
        <v>3445</v>
      </c>
      <c r="C465" t="s">
        <v>1328</v>
      </c>
      <c r="D465" t="s">
        <v>663</v>
      </c>
      <c r="E465" t="s">
        <v>4</v>
      </c>
      <c r="F465">
        <v>19</v>
      </c>
      <c r="G465">
        <v>112</v>
      </c>
      <c r="H465" t="s">
        <v>13</v>
      </c>
      <c r="I465" t="b">
        <f t="shared" si="7"/>
        <v>0</v>
      </c>
    </row>
    <row r="466" spans="1:9" x14ac:dyDescent="0.2">
      <c r="A466" t="s">
        <v>6332</v>
      </c>
      <c r="B466" t="s">
        <v>6333</v>
      </c>
      <c r="C466" t="s">
        <v>1994</v>
      </c>
      <c r="D466" t="s">
        <v>3</v>
      </c>
      <c r="E466" t="s">
        <v>4</v>
      </c>
      <c r="F466">
        <v>95</v>
      </c>
      <c r="G466">
        <v>924</v>
      </c>
      <c r="H466" t="s">
        <v>13</v>
      </c>
      <c r="I466" t="b">
        <f t="shared" si="7"/>
        <v>1</v>
      </c>
    </row>
    <row r="467" spans="1:9" x14ac:dyDescent="0.2">
      <c r="A467" t="s">
        <v>4715</v>
      </c>
      <c r="B467" t="s">
        <v>4716</v>
      </c>
      <c r="C467" t="s">
        <v>4709</v>
      </c>
      <c r="D467" t="s">
        <v>2403</v>
      </c>
      <c r="E467" t="s">
        <v>4</v>
      </c>
      <c r="F467">
        <v>885</v>
      </c>
      <c r="G467">
        <v>1704</v>
      </c>
      <c r="H467" t="s">
        <v>13</v>
      </c>
      <c r="I467" t="b">
        <f t="shared" si="7"/>
        <v>0</v>
      </c>
    </row>
    <row r="468" spans="1:9" x14ac:dyDescent="0.2">
      <c r="A468" t="s">
        <v>1053</v>
      </c>
      <c r="B468" t="s">
        <v>1054</v>
      </c>
      <c r="C468" t="s">
        <v>323</v>
      </c>
      <c r="D468" t="s">
        <v>1045</v>
      </c>
      <c r="E468" t="s">
        <v>4</v>
      </c>
      <c r="F468">
        <v>2638</v>
      </c>
      <c r="G468">
        <v>428</v>
      </c>
      <c r="H468" t="s">
        <v>13</v>
      </c>
      <c r="I468" t="b">
        <f t="shared" si="7"/>
        <v>0</v>
      </c>
    </row>
    <row r="469" spans="1:9" x14ac:dyDescent="0.2">
      <c r="A469" t="s">
        <v>183</v>
      </c>
      <c r="B469" t="s">
        <v>184</v>
      </c>
      <c r="C469" t="s">
        <v>185</v>
      </c>
      <c r="D469" t="s">
        <v>3</v>
      </c>
      <c r="E469" t="s">
        <v>4</v>
      </c>
      <c r="F469">
        <v>25</v>
      </c>
      <c r="G469">
        <v>257</v>
      </c>
      <c r="H469" t="s">
        <v>13</v>
      </c>
      <c r="I469" t="b">
        <f t="shared" si="7"/>
        <v>0</v>
      </c>
    </row>
    <row r="470" spans="1:9" x14ac:dyDescent="0.2">
      <c r="A470" t="s">
        <v>3858</v>
      </c>
      <c r="B470" t="s">
        <v>3859</v>
      </c>
      <c r="C470" t="s">
        <v>185</v>
      </c>
      <c r="D470" t="s">
        <v>3860</v>
      </c>
      <c r="E470" t="s">
        <v>4</v>
      </c>
      <c r="F470">
        <v>756</v>
      </c>
      <c r="G470">
        <v>745</v>
      </c>
      <c r="H470" t="s">
        <v>13</v>
      </c>
      <c r="I470" t="b">
        <f t="shared" si="7"/>
        <v>0</v>
      </c>
    </row>
    <row r="471" spans="1:9" x14ac:dyDescent="0.2">
      <c r="A471" t="s">
        <v>6978</v>
      </c>
      <c r="B471" t="s">
        <v>6979</v>
      </c>
      <c r="C471" t="s">
        <v>82</v>
      </c>
      <c r="D471" t="s">
        <v>4777</v>
      </c>
      <c r="E471" t="s">
        <v>38</v>
      </c>
      <c r="F471">
        <v>33555</v>
      </c>
      <c r="G471">
        <v>84</v>
      </c>
      <c r="H471" t="s">
        <v>13</v>
      </c>
      <c r="I471" t="b">
        <f t="shared" si="7"/>
        <v>0</v>
      </c>
    </row>
    <row r="472" spans="1:9" x14ac:dyDescent="0.2">
      <c r="A472" t="s">
        <v>718</v>
      </c>
      <c r="B472" t="s">
        <v>719</v>
      </c>
      <c r="C472" t="s">
        <v>720</v>
      </c>
      <c r="D472" t="s">
        <v>721</v>
      </c>
      <c r="E472" t="s">
        <v>4</v>
      </c>
      <c r="F472">
        <v>3968</v>
      </c>
      <c r="G472">
        <v>3419</v>
      </c>
      <c r="H472" t="s">
        <v>13</v>
      </c>
      <c r="I472" t="b">
        <f t="shared" si="7"/>
        <v>0</v>
      </c>
    </row>
    <row r="473" spans="1:9" x14ac:dyDescent="0.2">
      <c r="A473" t="s">
        <v>5574</v>
      </c>
      <c r="B473" t="s">
        <v>5575</v>
      </c>
      <c r="C473" t="s">
        <v>226</v>
      </c>
      <c r="D473" t="s">
        <v>227</v>
      </c>
      <c r="E473" t="s">
        <v>4</v>
      </c>
      <c r="F473">
        <v>9231</v>
      </c>
      <c r="G473">
        <v>7170</v>
      </c>
      <c r="H473" t="s">
        <v>13</v>
      </c>
      <c r="I473" t="b">
        <f t="shared" si="7"/>
        <v>0</v>
      </c>
    </row>
    <row r="474" spans="1:9" x14ac:dyDescent="0.2">
      <c r="A474" t="s">
        <v>1585</v>
      </c>
      <c r="B474" t="s">
        <v>1586</v>
      </c>
      <c r="C474" t="s">
        <v>1587</v>
      </c>
      <c r="D474" t="s">
        <v>1588</v>
      </c>
      <c r="E474" t="s">
        <v>4</v>
      </c>
      <c r="F474">
        <v>312</v>
      </c>
      <c r="G474">
        <v>402</v>
      </c>
      <c r="H474" t="s">
        <v>13</v>
      </c>
      <c r="I474" t="b">
        <f t="shared" si="7"/>
        <v>0</v>
      </c>
    </row>
    <row r="475" spans="1:9" x14ac:dyDescent="0.2">
      <c r="A475" t="s">
        <v>4838</v>
      </c>
      <c r="B475" t="s">
        <v>4839</v>
      </c>
      <c r="C475" t="s">
        <v>3337</v>
      </c>
      <c r="D475" t="s">
        <v>2565</v>
      </c>
      <c r="E475" t="s">
        <v>4</v>
      </c>
      <c r="F475">
        <v>2205</v>
      </c>
      <c r="G475">
        <v>1079</v>
      </c>
      <c r="H475" t="s">
        <v>13</v>
      </c>
      <c r="I475" t="b">
        <f t="shared" si="7"/>
        <v>0</v>
      </c>
    </row>
    <row r="476" spans="1:9" x14ac:dyDescent="0.2">
      <c r="A476" t="s">
        <v>3012</v>
      </c>
      <c r="B476" t="s">
        <v>3013</v>
      </c>
      <c r="C476" t="s">
        <v>1658</v>
      </c>
      <c r="D476" t="s">
        <v>1292</v>
      </c>
      <c r="E476" t="s">
        <v>4</v>
      </c>
      <c r="F476">
        <v>938</v>
      </c>
      <c r="G476">
        <v>294</v>
      </c>
      <c r="H476" t="s">
        <v>114</v>
      </c>
      <c r="I476" t="b">
        <f t="shared" si="7"/>
        <v>0</v>
      </c>
    </row>
    <row r="477" spans="1:9" x14ac:dyDescent="0.2">
      <c r="A477" t="s">
        <v>3551</v>
      </c>
      <c r="B477" t="s">
        <v>3552</v>
      </c>
      <c r="C477" t="s">
        <v>2106</v>
      </c>
      <c r="D477" t="s">
        <v>3</v>
      </c>
      <c r="E477" t="s">
        <v>4</v>
      </c>
      <c r="F477">
        <v>17</v>
      </c>
      <c r="G477">
        <v>43</v>
      </c>
      <c r="H477" t="s">
        <v>13</v>
      </c>
      <c r="I477" t="b">
        <f t="shared" si="7"/>
        <v>0</v>
      </c>
    </row>
    <row r="478" spans="1:9" x14ac:dyDescent="0.2">
      <c r="A478" t="s">
        <v>6489</v>
      </c>
      <c r="B478" t="s">
        <v>6490</v>
      </c>
      <c r="C478" t="s">
        <v>1267</v>
      </c>
      <c r="D478" t="s">
        <v>6485</v>
      </c>
      <c r="E478" t="s">
        <v>4</v>
      </c>
      <c r="F478">
        <v>469</v>
      </c>
      <c r="G478">
        <v>17</v>
      </c>
      <c r="H478" t="s">
        <v>13</v>
      </c>
      <c r="I478" t="b">
        <f t="shared" si="7"/>
        <v>0</v>
      </c>
    </row>
    <row r="479" spans="1:9" x14ac:dyDescent="0.2">
      <c r="A479" t="s">
        <v>6088</v>
      </c>
      <c r="B479" t="s">
        <v>6089</v>
      </c>
      <c r="C479" t="s">
        <v>4146</v>
      </c>
      <c r="D479" t="s">
        <v>3</v>
      </c>
      <c r="E479" t="s">
        <v>4</v>
      </c>
      <c r="F479">
        <v>3</v>
      </c>
      <c r="G479">
        <v>1</v>
      </c>
      <c r="H479" t="s">
        <v>13</v>
      </c>
      <c r="I479" t="b">
        <f t="shared" si="7"/>
        <v>0</v>
      </c>
    </row>
    <row r="480" spans="1:9" x14ac:dyDescent="0.2">
      <c r="A480" t="s">
        <v>5515</v>
      </c>
      <c r="B480" t="s">
        <v>5516</v>
      </c>
      <c r="C480" t="s">
        <v>2367</v>
      </c>
      <c r="D480" t="s">
        <v>5517</v>
      </c>
      <c r="E480" t="s">
        <v>4</v>
      </c>
      <c r="F480">
        <v>1803</v>
      </c>
      <c r="G480">
        <v>996</v>
      </c>
      <c r="H480" t="s">
        <v>13</v>
      </c>
      <c r="I480" t="b">
        <f t="shared" si="7"/>
        <v>1</v>
      </c>
    </row>
    <row r="481" spans="1:9" x14ac:dyDescent="0.2">
      <c r="A481" t="s">
        <v>4933</v>
      </c>
      <c r="B481" t="s">
        <v>4934</v>
      </c>
      <c r="C481" t="s">
        <v>319</v>
      </c>
      <c r="D481" t="s">
        <v>4935</v>
      </c>
      <c r="E481" t="s">
        <v>4</v>
      </c>
      <c r="F481">
        <v>480</v>
      </c>
      <c r="G481">
        <v>1223</v>
      </c>
      <c r="H481" t="s">
        <v>13</v>
      </c>
      <c r="I481" t="b">
        <f t="shared" si="7"/>
        <v>0</v>
      </c>
    </row>
    <row r="482" spans="1:9" x14ac:dyDescent="0.2">
      <c r="A482" t="s">
        <v>2473</v>
      </c>
      <c r="B482" t="s">
        <v>2474</v>
      </c>
      <c r="C482" t="s">
        <v>2475</v>
      </c>
      <c r="D482" t="s">
        <v>2476</v>
      </c>
      <c r="E482" t="s">
        <v>4</v>
      </c>
      <c r="F482">
        <v>110</v>
      </c>
      <c r="G482">
        <v>382</v>
      </c>
      <c r="H482" t="s">
        <v>13</v>
      </c>
      <c r="I482" t="b">
        <f t="shared" si="7"/>
        <v>0</v>
      </c>
    </row>
    <row r="483" spans="1:9" x14ac:dyDescent="0.2">
      <c r="A483" t="s">
        <v>4630</v>
      </c>
      <c r="B483" t="s">
        <v>4631</v>
      </c>
      <c r="C483" t="s">
        <v>2632</v>
      </c>
      <c r="D483" t="s">
        <v>3</v>
      </c>
      <c r="E483" t="s">
        <v>4</v>
      </c>
      <c r="F483">
        <v>22</v>
      </c>
      <c r="G483">
        <v>192</v>
      </c>
      <c r="H483" t="s">
        <v>13</v>
      </c>
      <c r="I483" t="b">
        <f t="shared" si="7"/>
        <v>0</v>
      </c>
    </row>
    <row r="484" spans="1:9" x14ac:dyDescent="0.2">
      <c r="A484" t="s">
        <v>877</v>
      </c>
      <c r="B484" t="s">
        <v>878</v>
      </c>
      <c r="C484" t="s">
        <v>879</v>
      </c>
      <c r="D484" t="s">
        <v>320</v>
      </c>
      <c r="E484" t="s">
        <v>4</v>
      </c>
      <c r="F484">
        <v>160</v>
      </c>
      <c r="G484">
        <v>279</v>
      </c>
      <c r="H484" t="s">
        <v>13</v>
      </c>
      <c r="I484" t="b">
        <f t="shared" si="7"/>
        <v>0</v>
      </c>
    </row>
    <row r="485" spans="1:9" x14ac:dyDescent="0.2">
      <c r="A485" t="s">
        <v>5631</v>
      </c>
      <c r="B485" t="s">
        <v>5632</v>
      </c>
      <c r="C485" t="s">
        <v>5633</v>
      </c>
      <c r="D485" t="s">
        <v>3</v>
      </c>
      <c r="E485" t="s">
        <v>4</v>
      </c>
      <c r="F485">
        <v>192</v>
      </c>
      <c r="G485">
        <v>552</v>
      </c>
      <c r="H485" t="s">
        <v>13</v>
      </c>
      <c r="I485" t="b">
        <f t="shared" si="7"/>
        <v>0</v>
      </c>
    </row>
    <row r="486" spans="1:9" x14ac:dyDescent="0.2">
      <c r="A486" t="s">
        <v>1199</v>
      </c>
      <c r="B486" t="s">
        <v>1200</v>
      </c>
      <c r="C486" t="s">
        <v>1201</v>
      </c>
      <c r="D486" t="s">
        <v>1202</v>
      </c>
      <c r="E486" t="s">
        <v>4</v>
      </c>
      <c r="F486">
        <v>1124</v>
      </c>
      <c r="G486">
        <v>316</v>
      </c>
      <c r="H486" t="s">
        <v>13</v>
      </c>
      <c r="I486" t="b">
        <f t="shared" si="7"/>
        <v>0</v>
      </c>
    </row>
    <row r="487" spans="1:9" x14ac:dyDescent="0.2">
      <c r="A487" t="s">
        <v>5153</v>
      </c>
      <c r="B487" t="s">
        <v>5154</v>
      </c>
      <c r="C487" t="s">
        <v>3011</v>
      </c>
      <c r="D487" t="s">
        <v>3</v>
      </c>
      <c r="E487" t="s">
        <v>4</v>
      </c>
      <c r="F487">
        <v>1</v>
      </c>
      <c r="G487">
        <v>7</v>
      </c>
      <c r="H487" t="s">
        <v>13</v>
      </c>
      <c r="I487" t="b">
        <f t="shared" si="7"/>
        <v>1</v>
      </c>
    </row>
    <row r="488" spans="1:9" x14ac:dyDescent="0.2">
      <c r="A488" t="s">
        <v>2133</v>
      </c>
      <c r="B488" t="s">
        <v>2134</v>
      </c>
      <c r="C488" t="s">
        <v>2135</v>
      </c>
      <c r="D488" t="s">
        <v>1171</v>
      </c>
      <c r="E488" t="s">
        <v>4</v>
      </c>
      <c r="F488">
        <v>6908</v>
      </c>
      <c r="G488">
        <v>549</v>
      </c>
      <c r="H488" t="s">
        <v>13</v>
      </c>
      <c r="I488" t="b">
        <f t="shared" si="7"/>
        <v>0</v>
      </c>
    </row>
    <row r="489" spans="1:9" x14ac:dyDescent="0.2">
      <c r="A489" t="s">
        <v>1036</v>
      </c>
      <c r="B489" t="s">
        <v>1037</v>
      </c>
      <c r="C489" t="s">
        <v>1038</v>
      </c>
      <c r="D489" t="s">
        <v>350</v>
      </c>
      <c r="E489" t="s">
        <v>4</v>
      </c>
      <c r="F489">
        <v>3060</v>
      </c>
      <c r="G489">
        <v>1801</v>
      </c>
      <c r="H489" t="s">
        <v>13</v>
      </c>
      <c r="I489" t="b">
        <f t="shared" si="7"/>
        <v>0</v>
      </c>
    </row>
    <row r="490" spans="1:9" x14ac:dyDescent="0.2">
      <c r="A490" t="s">
        <v>5235</v>
      </c>
      <c r="B490" t="s">
        <v>5236</v>
      </c>
      <c r="C490" t="s">
        <v>2977</v>
      </c>
      <c r="D490" t="s">
        <v>5237</v>
      </c>
      <c r="E490" t="s">
        <v>4</v>
      </c>
      <c r="F490">
        <v>659</v>
      </c>
      <c r="G490">
        <v>285</v>
      </c>
      <c r="H490" t="s">
        <v>13</v>
      </c>
      <c r="I490" t="b">
        <f t="shared" si="7"/>
        <v>0</v>
      </c>
    </row>
    <row r="491" spans="1:9" x14ac:dyDescent="0.2">
      <c r="A491" t="s">
        <v>4771</v>
      </c>
      <c r="B491" t="s">
        <v>4772</v>
      </c>
      <c r="C491" t="s">
        <v>226</v>
      </c>
      <c r="D491" t="s">
        <v>227</v>
      </c>
      <c r="E491" t="s">
        <v>4</v>
      </c>
      <c r="F491">
        <v>9228</v>
      </c>
      <c r="G491">
        <v>7170</v>
      </c>
      <c r="H491" t="s">
        <v>13</v>
      </c>
      <c r="I491" t="b">
        <f t="shared" si="7"/>
        <v>0</v>
      </c>
    </row>
    <row r="492" spans="1:9" x14ac:dyDescent="0.2">
      <c r="A492" t="s">
        <v>1840</v>
      </c>
      <c r="B492" t="s">
        <v>1841</v>
      </c>
      <c r="C492" t="s">
        <v>1842</v>
      </c>
      <c r="D492" t="s">
        <v>3</v>
      </c>
      <c r="E492" t="s">
        <v>4</v>
      </c>
      <c r="F492">
        <v>0</v>
      </c>
      <c r="G492">
        <v>2</v>
      </c>
      <c r="H492" t="s">
        <v>13</v>
      </c>
      <c r="I492" t="b">
        <f t="shared" si="7"/>
        <v>1</v>
      </c>
    </row>
    <row r="493" spans="1:9" x14ac:dyDescent="0.2">
      <c r="A493" t="s">
        <v>2958</v>
      </c>
      <c r="B493" t="s">
        <v>2959</v>
      </c>
      <c r="C493" t="s">
        <v>730</v>
      </c>
      <c r="D493" t="s">
        <v>2960</v>
      </c>
      <c r="E493" t="s">
        <v>4</v>
      </c>
      <c r="F493">
        <v>590</v>
      </c>
      <c r="G493">
        <v>2150</v>
      </c>
      <c r="H493" t="s">
        <v>13</v>
      </c>
      <c r="I493" t="b">
        <f t="shared" si="7"/>
        <v>0</v>
      </c>
    </row>
    <row r="494" spans="1:9" x14ac:dyDescent="0.2">
      <c r="A494" t="s">
        <v>2914</v>
      </c>
      <c r="B494" t="s">
        <v>2915</v>
      </c>
      <c r="C494" t="s">
        <v>591</v>
      </c>
      <c r="D494" t="s">
        <v>2916</v>
      </c>
      <c r="E494" t="s">
        <v>4</v>
      </c>
      <c r="F494">
        <v>271</v>
      </c>
      <c r="G494">
        <v>63</v>
      </c>
      <c r="H494" t="s">
        <v>13</v>
      </c>
      <c r="I494" t="b">
        <f t="shared" si="7"/>
        <v>0</v>
      </c>
    </row>
    <row r="495" spans="1:9" x14ac:dyDescent="0.2">
      <c r="A495" t="s">
        <v>2852</v>
      </c>
      <c r="B495" t="s">
        <v>2853</v>
      </c>
      <c r="C495" t="s">
        <v>2854</v>
      </c>
      <c r="D495" t="s">
        <v>64</v>
      </c>
      <c r="E495" t="s">
        <v>4</v>
      </c>
      <c r="F495">
        <v>26</v>
      </c>
      <c r="G495">
        <v>181</v>
      </c>
      <c r="H495" t="s">
        <v>13</v>
      </c>
      <c r="I495" t="b">
        <f t="shared" si="7"/>
        <v>0</v>
      </c>
    </row>
    <row r="496" spans="1:9" x14ac:dyDescent="0.2">
      <c r="A496" t="s">
        <v>3721</v>
      </c>
      <c r="B496" t="s">
        <v>3722</v>
      </c>
      <c r="C496" t="s">
        <v>1193</v>
      </c>
      <c r="D496" t="s">
        <v>1194</v>
      </c>
      <c r="E496" t="s">
        <v>4</v>
      </c>
      <c r="F496">
        <v>7992</v>
      </c>
      <c r="G496">
        <v>410</v>
      </c>
      <c r="H496" t="s">
        <v>13</v>
      </c>
      <c r="I496" t="b">
        <f t="shared" si="7"/>
        <v>0</v>
      </c>
    </row>
    <row r="497" spans="1:9" x14ac:dyDescent="0.2">
      <c r="A497" t="s">
        <v>3918</v>
      </c>
      <c r="B497" t="s">
        <v>3919</v>
      </c>
      <c r="C497" t="s">
        <v>272</v>
      </c>
      <c r="D497" t="s">
        <v>3</v>
      </c>
      <c r="E497" t="s">
        <v>4</v>
      </c>
      <c r="F497">
        <v>22</v>
      </c>
      <c r="G497">
        <v>6</v>
      </c>
      <c r="H497" t="s">
        <v>13</v>
      </c>
      <c r="I497" t="b">
        <f t="shared" si="7"/>
        <v>0</v>
      </c>
    </row>
    <row r="498" spans="1:9" x14ac:dyDescent="0.2">
      <c r="A498" t="s">
        <v>2274</v>
      </c>
      <c r="B498" t="s">
        <v>2275</v>
      </c>
      <c r="C498" t="s">
        <v>1534</v>
      </c>
      <c r="D498" t="s">
        <v>2276</v>
      </c>
      <c r="E498" t="s">
        <v>4</v>
      </c>
      <c r="F498">
        <v>307</v>
      </c>
      <c r="G498">
        <v>79</v>
      </c>
      <c r="H498" t="s">
        <v>13</v>
      </c>
      <c r="I498" t="b">
        <f t="shared" si="7"/>
        <v>0</v>
      </c>
    </row>
    <row r="499" spans="1:9" x14ac:dyDescent="0.2">
      <c r="A499" t="s">
        <v>1834</v>
      </c>
      <c r="B499" t="s">
        <v>1835</v>
      </c>
      <c r="C499" t="s">
        <v>1254</v>
      </c>
      <c r="D499" t="s">
        <v>1255</v>
      </c>
      <c r="E499" t="s">
        <v>4</v>
      </c>
      <c r="F499">
        <v>1355</v>
      </c>
      <c r="G499">
        <v>1069</v>
      </c>
      <c r="H499" t="s">
        <v>13</v>
      </c>
      <c r="I499" t="b">
        <f t="shared" si="7"/>
        <v>0</v>
      </c>
    </row>
    <row r="500" spans="1:9" x14ac:dyDescent="0.2">
      <c r="A500" t="s">
        <v>2902</v>
      </c>
      <c r="B500" t="s">
        <v>2903</v>
      </c>
      <c r="C500" t="s">
        <v>2904</v>
      </c>
      <c r="D500" t="s">
        <v>3</v>
      </c>
      <c r="E500" t="s">
        <v>4</v>
      </c>
      <c r="F500">
        <v>21</v>
      </c>
      <c r="G500">
        <v>124</v>
      </c>
      <c r="H500" t="s">
        <v>114</v>
      </c>
      <c r="I500" t="b">
        <f t="shared" si="7"/>
        <v>0</v>
      </c>
    </row>
    <row r="501" spans="1:9" x14ac:dyDescent="0.2">
      <c r="A501" t="s">
        <v>6069</v>
      </c>
      <c r="B501" t="s">
        <v>6070</v>
      </c>
      <c r="C501" t="s">
        <v>6071</v>
      </c>
      <c r="D501" t="s">
        <v>6072</v>
      </c>
      <c r="E501" t="s">
        <v>4</v>
      </c>
      <c r="F501">
        <v>27525</v>
      </c>
      <c r="G501">
        <v>1200</v>
      </c>
      <c r="H501" t="s">
        <v>13</v>
      </c>
      <c r="I501" t="b">
        <f t="shared" si="7"/>
        <v>0</v>
      </c>
    </row>
    <row r="502" spans="1:9" x14ac:dyDescent="0.2">
      <c r="A502" t="s">
        <v>3827</v>
      </c>
      <c r="B502" t="s">
        <v>3828</v>
      </c>
      <c r="C502" t="s">
        <v>2146</v>
      </c>
      <c r="D502" t="s">
        <v>3829</v>
      </c>
      <c r="E502" t="s">
        <v>4</v>
      </c>
      <c r="F502">
        <v>332</v>
      </c>
      <c r="G502">
        <v>153</v>
      </c>
      <c r="H502" t="s">
        <v>13</v>
      </c>
      <c r="I502" t="b">
        <f t="shared" si="7"/>
        <v>0</v>
      </c>
    </row>
    <row r="503" spans="1:9" x14ac:dyDescent="0.2">
      <c r="A503" t="s">
        <v>6457</v>
      </c>
      <c r="B503" t="s">
        <v>6460</v>
      </c>
      <c r="C503" t="s">
        <v>3608</v>
      </c>
      <c r="D503" t="s">
        <v>6461</v>
      </c>
      <c r="E503" t="s">
        <v>4</v>
      </c>
      <c r="F503">
        <v>594</v>
      </c>
      <c r="G503">
        <v>439</v>
      </c>
      <c r="H503" t="s">
        <v>13</v>
      </c>
      <c r="I503" t="b">
        <f t="shared" si="7"/>
        <v>0</v>
      </c>
    </row>
    <row r="504" spans="1:9" x14ac:dyDescent="0.2">
      <c r="A504" t="s">
        <v>3329</v>
      </c>
      <c r="B504" t="s">
        <v>3330</v>
      </c>
      <c r="C504" t="s">
        <v>1565</v>
      </c>
      <c r="D504" t="s">
        <v>422</v>
      </c>
      <c r="E504" t="s">
        <v>4</v>
      </c>
      <c r="F504">
        <v>4727</v>
      </c>
      <c r="G504">
        <v>134</v>
      </c>
      <c r="H504" t="s">
        <v>13</v>
      </c>
      <c r="I504" t="b">
        <f t="shared" si="7"/>
        <v>0</v>
      </c>
    </row>
    <row r="505" spans="1:9" x14ac:dyDescent="0.2">
      <c r="A505" t="s">
        <v>7157</v>
      </c>
      <c r="B505" t="s">
        <v>7158</v>
      </c>
      <c r="C505" t="s">
        <v>4880</v>
      </c>
      <c r="D505" t="s">
        <v>3</v>
      </c>
      <c r="E505" t="s">
        <v>4</v>
      </c>
      <c r="F505">
        <v>35</v>
      </c>
      <c r="G505">
        <v>4</v>
      </c>
      <c r="H505" t="s">
        <v>13</v>
      </c>
      <c r="I505" t="b">
        <f t="shared" si="7"/>
        <v>0</v>
      </c>
    </row>
    <row r="506" spans="1:9" x14ac:dyDescent="0.2">
      <c r="A506" t="s">
        <v>173</v>
      </c>
      <c r="B506" t="s">
        <v>174</v>
      </c>
      <c r="C506" t="s">
        <v>97</v>
      </c>
      <c r="D506" t="s">
        <v>3</v>
      </c>
      <c r="E506" t="s">
        <v>4</v>
      </c>
      <c r="F506">
        <v>720</v>
      </c>
      <c r="G506">
        <v>502</v>
      </c>
      <c r="H506" t="s">
        <v>13</v>
      </c>
      <c r="I506" t="b">
        <f t="shared" si="7"/>
        <v>0</v>
      </c>
    </row>
    <row r="507" spans="1:9" x14ac:dyDescent="0.2">
      <c r="A507" t="s">
        <v>3613</v>
      </c>
      <c r="B507" t="s">
        <v>3614</v>
      </c>
      <c r="C507" t="s">
        <v>2259</v>
      </c>
      <c r="D507" t="s">
        <v>216</v>
      </c>
      <c r="E507" t="s">
        <v>4</v>
      </c>
      <c r="F507">
        <v>153</v>
      </c>
      <c r="G507">
        <v>151</v>
      </c>
      <c r="H507" t="s">
        <v>13</v>
      </c>
      <c r="I507" t="b">
        <f t="shared" si="7"/>
        <v>0</v>
      </c>
    </row>
    <row r="508" spans="1:9" x14ac:dyDescent="0.2">
      <c r="A508" t="s">
        <v>5346</v>
      </c>
      <c r="B508" t="s">
        <v>5347</v>
      </c>
      <c r="C508" t="s">
        <v>3277</v>
      </c>
      <c r="D508" t="s">
        <v>3</v>
      </c>
      <c r="E508" t="s">
        <v>4</v>
      </c>
      <c r="F508">
        <v>13</v>
      </c>
      <c r="G508">
        <v>126</v>
      </c>
      <c r="H508" t="s">
        <v>13</v>
      </c>
      <c r="I508" t="b">
        <f t="shared" si="7"/>
        <v>0</v>
      </c>
    </row>
    <row r="509" spans="1:9" x14ac:dyDescent="0.2">
      <c r="A509" t="s">
        <v>3166</v>
      </c>
      <c r="B509" t="s">
        <v>3167</v>
      </c>
      <c r="C509" t="s">
        <v>3168</v>
      </c>
      <c r="D509" t="s">
        <v>3</v>
      </c>
      <c r="E509" t="s">
        <v>4</v>
      </c>
      <c r="F509">
        <v>100</v>
      </c>
      <c r="G509">
        <v>938</v>
      </c>
      <c r="H509" t="s">
        <v>13</v>
      </c>
      <c r="I509" t="b">
        <f t="shared" si="7"/>
        <v>1</v>
      </c>
    </row>
    <row r="510" spans="1:9" x14ac:dyDescent="0.2">
      <c r="A510" t="s">
        <v>3104</v>
      </c>
      <c r="B510" t="s">
        <v>3105</v>
      </c>
      <c r="C510" t="s">
        <v>3106</v>
      </c>
      <c r="D510" t="s">
        <v>3107</v>
      </c>
      <c r="E510" t="s">
        <v>4</v>
      </c>
      <c r="F510">
        <v>1290</v>
      </c>
      <c r="G510">
        <v>2062</v>
      </c>
      <c r="H510" t="s">
        <v>114</v>
      </c>
      <c r="I510" t="b">
        <f t="shared" si="7"/>
        <v>0</v>
      </c>
    </row>
    <row r="511" spans="1:9" x14ac:dyDescent="0.2">
      <c r="A511" t="s">
        <v>4393</v>
      </c>
      <c r="B511" t="s">
        <v>4394</v>
      </c>
      <c r="C511" t="s">
        <v>1870</v>
      </c>
      <c r="D511" t="s">
        <v>3</v>
      </c>
      <c r="E511" t="s">
        <v>4</v>
      </c>
      <c r="F511">
        <v>1050</v>
      </c>
      <c r="G511">
        <v>862</v>
      </c>
      <c r="H511" t="s">
        <v>13</v>
      </c>
      <c r="I511" t="b">
        <f t="shared" si="7"/>
        <v>0</v>
      </c>
    </row>
    <row r="512" spans="1:9" x14ac:dyDescent="0.2">
      <c r="A512" t="s">
        <v>6865</v>
      </c>
      <c r="B512" t="s">
        <v>6866</v>
      </c>
      <c r="C512" t="s">
        <v>1873</v>
      </c>
      <c r="D512" t="s">
        <v>3</v>
      </c>
      <c r="E512" t="s">
        <v>4</v>
      </c>
      <c r="F512">
        <v>252</v>
      </c>
      <c r="G512">
        <v>87</v>
      </c>
      <c r="H512" t="s">
        <v>13</v>
      </c>
      <c r="I512" t="b">
        <f t="shared" si="7"/>
        <v>1</v>
      </c>
    </row>
    <row r="513" spans="1:9" x14ac:dyDescent="0.2">
      <c r="A513" t="s">
        <v>2059</v>
      </c>
      <c r="B513" t="s">
        <v>2061</v>
      </c>
      <c r="C513" t="s">
        <v>2062</v>
      </c>
      <c r="D513" t="s">
        <v>3</v>
      </c>
      <c r="E513" t="s">
        <v>4</v>
      </c>
      <c r="F513">
        <v>1530</v>
      </c>
      <c r="G513">
        <v>3256</v>
      </c>
      <c r="H513" t="s">
        <v>13</v>
      </c>
      <c r="I513" t="b">
        <f t="shared" si="7"/>
        <v>0</v>
      </c>
    </row>
    <row r="514" spans="1:9" x14ac:dyDescent="0.2">
      <c r="A514" t="s">
        <v>4249</v>
      </c>
      <c r="B514" t="s">
        <v>4250</v>
      </c>
      <c r="C514" t="s">
        <v>3857</v>
      </c>
      <c r="D514" t="s">
        <v>3</v>
      </c>
      <c r="E514" t="s">
        <v>4</v>
      </c>
      <c r="F514">
        <v>54</v>
      </c>
      <c r="G514">
        <v>436</v>
      </c>
      <c r="H514" t="s">
        <v>13</v>
      </c>
      <c r="I514" t="b">
        <f t="shared" si="7"/>
        <v>0</v>
      </c>
    </row>
    <row r="515" spans="1:9" x14ac:dyDescent="0.2">
      <c r="A515" t="s">
        <v>3236</v>
      </c>
      <c r="B515" t="s">
        <v>3237</v>
      </c>
      <c r="C515" t="s">
        <v>3238</v>
      </c>
      <c r="D515" t="s">
        <v>1372</v>
      </c>
      <c r="E515" t="s">
        <v>4</v>
      </c>
      <c r="F515">
        <v>785</v>
      </c>
      <c r="G515">
        <v>1340</v>
      </c>
      <c r="H515" t="s">
        <v>13</v>
      </c>
      <c r="I515" t="b">
        <f t="shared" ref="I515:I578" si="8">isDup(B515, B516, 0.7)</f>
        <v>0</v>
      </c>
    </row>
    <row r="516" spans="1:9" x14ac:dyDescent="0.2">
      <c r="A516" t="s">
        <v>5971</v>
      </c>
      <c r="B516" t="s">
        <v>5972</v>
      </c>
      <c r="C516" t="s">
        <v>1602</v>
      </c>
      <c r="D516" t="s">
        <v>5973</v>
      </c>
      <c r="E516" t="s">
        <v>4</v>
      </c>
      <c r="F516">
        <v>627</v>
      </c>
      <c r="G516">
        <v>674</v>
      </c>
      <c r="H516" t="s">
        <v>13</v>
      </c>
      <c r="I516" t="b">
        <f t="shared" si="8"/>
        <v>0</v>
      </c>
    </row>
    <row r="517" spans="1:9" x14ac:dyDescent="0.2">
      <c r="A517" t="s">
        <v>191</v>
      </c>
      <c r="B517" t="s">
        <v>192</v>
      </c>
      <c r="C517" t="s">
        <v>193</v>
      </c>
      <c r="D517" t="s">
        <v>194</v>
      </c>
      <c r="E517" t="s">
        <v>4</v>
      </c>
      <c r="F517">
        <v>1181</v>
      </c>
      <c r="G517">
        <v>767</v>
      </c>
      <c r="H517" t="s">
        <v>13</v>
      </c>
      <c r="I517" t="b">
        <f t="shared" si="8"/>
        <v>1</v>
      </c>
    </row>
    <row r="518" spans="1:9" x14ac:dyDescent="0.2">
      <c r="A518" t="s">
        <v>6464</v>
      </c>
      <c r="B518" t="s">
        <v>6465</v>
      </c>
      <c r="C518" t="s">
        <v>358</v>
      </c>
      <c r="D518" t="s">
        <v>6466</v>
      </c>
      <c r="E518" t="s">
        <v>4</v>
      </c>
      <c r="F518">
        <v>1554</v>
      </c>
      <c r="G518">
        <v>390</v>
      </c>
      <c r="H518" t="s">
        <v>13</v>
      </c>
      <c r="I518" t="b">
        <f t="shared" si="8"/>
        <v>0</v>
      </c>
    </row>
    <row r="519" spans="1:9" x14ac:dyDescent="0.2">
      <c r="A519" t="s">
        <v>5968</v>
      </c>
      <c r="B519" t="s">
        <v>5969</v>
      </c>
      <c r="C519" t="s">
        <v>5970</v>
      </c>
      <c r="D519" t="s">
        <v>3</v>
      </c>
      <c r="E519" t="s">
        <v>4</v>
      </c>
      <c r="F519">
        <v>47</v>
      </c>
      <c r="G519">
        <v>50</v>
      </c>
      <c r="H519" t="s">
        <v>13</v>
      </c>
      <c r="I519" t="b">
        <f t="shared" si="8"/>
        <v>1</v>
      </c>
    </row>
    <row r="520" spans="1:9" x14ac:dyDescent="0.2">
      <c r="A520" t="s">
        <v>3892</v>
      </c>
      <c r="B520" t="s">
        <v>3893</v>
      </c>
      <c r="C520" t="s">
        <v>1413</v>
      </c>
      <c r="D520" t="s">
        <v>3</v>
      </c>
      <c r="E520" t="s">
        <v>4</v>
      </c>
      <c r="F520">
        <v>212</v>
      </c>
      <c r="G520">
        <v>306</v>
      </c>
      <c r="H520" t="s">
        <v>50</v>
      </c>
      <c r="I520" t="b">
        <f t="shared" si="8"/>
        <v>0</v>
      </c>
    </row>
    <row r="521" spans="1:9" x14ac:dyDescent="0.2">
      <c r="A521" t="s">
        <v>1607</v>
      </c>
      <c r="B521" t="s">
        <v>1608</v>
      </c>
      <c r="C521" t="s">
        <v>1609</v>
      </c>
      <c r="D521" t="s">
        <v>3</v>
      </c>
      <c r="E521" t="s">
        <v>4</v>
      </c>
      <c r="F521">
        <v>1039</v>
      </c>
      <c r="G521">
        <v>638</v>
      </c>
      <c r="H521" t="s">
        <v>13</v>
      </c>
      <c r="I521" t="b">
        <f t="shared" si="8"/>
        <v>0</v>
      </c>
    </row>
    <row r="522" spans="1:9" x14ac:dyDescent="0.2">
      <c r="A522" t="s">
        <v>4710</v>
      </c>
      <c r="B522" t="s">
        <v>4711</v>
      </c>
      <c r="C522" t="s">
        <v>4659</v>
      </c>
      <c r="D522" t="s">
        <v>4660</v>
      </c>
      <c r="E522" t="s">
        <v>4</v>
      </c>
      <c r="F522">
        <v>5169</v>
      </c>
      <c r="G522">
        <v>2709</v>
      </c>
      <c r="H522" t="s">
        <v>13</v>
      </c>
      <c r="I522" t="b">
        <f t="shared" si="8"/>
        <v>0</v>
      </c>
    </row>
    <row r="523" spans="1:9" x14ac:dyDescent="0.2">
      <c r="A523" t="s">
        <v>102</v>
      </c>
      <c r="B523" t="s">
        <v>103</v>
      </c>
      <c r="C523" t="s">
        <v>104</v>
      </c>
      <c r="D523" t="s">
        <v>105</v>
      </c>
      <c r="E523" t="s">
        <v>4</v>
      </c>
      <c r="F523">
        <v>4</v>
      </c>
      <c r="G523">
        <v>54</v>
      </c>
      <c r="H523" t="s">
        <v>13</v>
      </c>
      <c r="I523" t="b">
        <f t="shared" si="8"/>
        <v>0</v>
      </c>
    </row>
    <row r="524" spans="1:9" x14ac:dyDescent="0.2">
      <c r="A524" t="s">
        <v>4166</v>
      </c>
      <c r="B524" t="s">
        <v>4167</v>
      </c>
      <c r="C524" t="s">
        <v>283</v>
      </c>
      <c r="D524" t="s">
        <v>4168</v>
      </c>
      <c r="E524" t="s">
        <v>4</v>
      </c>
      <c r="F524">
        <v>443</v>
      </c>
      <c r="G524">
        <v>944</v>
      </c>
      <c r="H524" t="s">
        <v>13</v>
      </c>
      <c r="I524" t="b">
        <f t="shared" si="8"/>
        <v>0</v>
      </c>
    </row>
    <row r="525" spans="1:9" x14ac:dyDescent="0.2">
      <c r="A525" t="s">
        <v>6322</v>
      </c>
      <c r="B525" t="s">
        <v>6323</v>
      </c>
      <c r="C525" t="s">
        <v>565</v>
      </c>
      <c r="D525" t="s">
        <v>6324</v>
      </c>
      <c r="E525" t="s">
        <v>4</v>
      </c>
      <c r="F525">
        <v>182</v>
      </c>
      <c r="G525">
        <v>932</v>
      </c>
      <c r="H525" t="s">
        <v>13</v>
      </c>
      <c r="I525" t="b">
        <f t="shared" si="8"/>
        <v>0</v>
      </c>
    </row>
    <row r="526" spans="1:9" x14ac:dyDescent="0.2">
      <c r="A526" t="s">
        <v>4199</v>
      </c>
      <c r="B526" t="s">
        <v>4200</v>
      </c>
      <c r="C526" t="s">
        <v>4201</v>
      </c>
      <c r="D526" t="s">
        <v>3847</v>
      </c>
      <c r="E526" t="s">
        <v>4</v>
      </c>
      <c r="F526">
        <v>135</v>
      </c>
      <c r="G526">
        <v>65</v>
      </c>
      <c r="H526" t="s">
        <v>13</v>
      </c>
      <c r="I526" t="b">
        <f t="shared" si="8"/>
        <v>0</v>
      </c>
    </row>
    <row r="527" spans="1:9" x14ac:dyDescent="0.2">
      <c r="A527" t="s">
        <v>270</v>
      </c>
      <c r="B527" t="s">
        <v>271</v>
      </c>
      <c r="C527" t="s">
        <v>272</v>
      </c>
      <c r="D527" t="s">
        <v>3</v>
      </c>
      <c r="E527" t="s">
        <v>4</v>
      </c>
      <c r="F527">
        <v>22</v>
      </c>
      <c r="G527">
        <v>6</v>
      </c>
      <c r="H527" t="s">
        <v>13</v>
      </c>
      <c r="I527" t="b">
        <f t="shared" si="8"/>
        <v>1</v>
      </c>
    </row>
    <row r="528" spans="1:9" x14ac:dyDescent="0.2">
      <c r="A528" t="s">
        <v>6241</v>
      </c>
      <c r="B528" t="s">
        <v>6242</v>
      </c>
      <c r="C528" t="s">
        <v>6243</v>
      </c>
      <c r="D528" t="s">
        <v>6244</v>
      </c>
      <c r="E528" t="s">
        <v>4</v>
      </c>
      <c r="F528">
        <v>362</v>
      </c>
      <c r="G528">
        <v>131</v>
      </c>
      <c r="H528" t="s">
        <v>13</v>
      </c>
      <c r="I528" t="b">
        <f t="shared" si="8"/>
        <v>0</v>
      </c>
    </row>
    <row r="529" spans="1:9" x14ac:dyDescent="0.2">
      <c r="A529" t="s">
        <v>3832</v>
      </c>
      <c r="B529" t="s">
        <v>3833</v>
      </c>
      <c r="C529" t="s">
        <v>1012</v>
      </c>
      <c r="D529" t="s">
        <v>3834</v>
      </c>
      <c r="E529" t="s">
        <v>4</v>
      </c>
      <c r="F529">
        <v>35</v>
      </c>
      <c r="G529">
        <v>285</v>
      </c>
      <c r="H529" t="s">
        <v>50</v>
      </c>
      <c r="I529" t="b">
        <f t="shared" si="8"/>
        <v>1</v>
      </c>
    </row>
    <row r="530" spans="1:9" x14ac:dyDescent="0.2">
      <c r="A530" t="s">
        <v>3735</v>
      </c>
      <c r="B530" t="s">
        <v>3736</v>
      </c>
      <c r="C530" t="s">
        <v>3737</v>
      </c>
      <c r="D530" t="s">
        <v>3738</v>
      </c>
      <c r="E530" t="s">
        <v>4</v>
      </c>
      <c r="F530">
        <v>508</v>
      </c>
      <c r="G530">
        <v>1189</v>
      </c>
      <c r="H530" t="s">
        <v>13</v>
      </c>
      <c r="I530" t="b">
        <f t="shared" si="8"/>
        <v>1</v>
      </c>
    </row>
    <row r="531" spans="1:9" x14ac:dyDescent="0.2">
      <c r="A531" t="s">
        <v>3745</v>
      </c>
      <c r="B531" t="s">
        <v>3746</v>
      </c>
      <c r="C531" t="s">
        <v>3737</v>
      </c>
      <c r="D531" t="s">
        <v>3738</v>
      </c>
      <c r="E531" t="s">
        <v>4</v>
      </c>
      <c r="F531">
        <v>508</v>
      </c>
      <c r="G531">
        <v>1189</v>
      </c>
      <c r="H531" t="s">
        <v>13</v>
      </c>
      <c r="I531" t="b">
        <f t="shared" si="8"/>
        <v>0</v>
      </c>
    </row>
    <row r="532" spans="1:9" x14ac:dyDescent="0.2">
      <c r="A532" t="s">
        <v>2151</v>
      </c>
      <c r="B532" t="s">
        <v>2152</v>
      </c>
      <c r="C532" t="s">
        <v>1701</v>
      </c>
      <c r="D532" t="s">
        <v>3</v>
      </c>
      <c r="E532" t="s">
        <v>4</v>
      </c>
      <c r="F532">
        <v>97</v>
      </c>
      <c r="G532">
        <v>727</v>
      </c>
      <c r="H532" t="s">
        <v>13</v>
      </c>
      <c r="I532" t="b">
        <f t="shared" si="8"/>
        <v>0</v>
      </c>
    </row>
    <row r="533" spans="1:9" x14ac:dyDescent="0.2">
      <c r="A533" t="s">
        <v>6136</v>
      </c>
      <c r="B533" t="s">
        <v>6137</v>
      </c>
      <c r="C533" t="s">
        <v>5622</v>
      </c>
      <c r="D533" t="s">
        <v>6138</v>
      </c>
      <c r="E533" t="s">
        <v>4</v>
      </c>
      <c r="F533">
        <v>1532</v>
      </c>
      <c r="G533">
        <v>296</v>
      </c>
      <c r="H533" t="s">
        <v>13</v>
      </c>
      <c r="I533" t="b">
        <f t="shared" si="8"/>
        <v>0</v>
      </c>
    </row>
    <row r="534" spans="1:9" x14ac:dyDescent="0.2">
      <c r="A534" t="s">
        <v>145</v>
      </c>
      <c r="B534" t="s">
        <v>146</v>
      </c>
      <c r="C534" t="s">
        <v>147</v>
      </c>
      <c r="D534" t="s">
        <v>148</v>
      </c>
      <c r="E534" t="s">
        <v>4</v>
      </c>
      <c r="F534">
        <v>42</v>
      </c>
      <c r="G534">
        <v>192</v>
      </c>
      <c r="H534" t="s">
        <v>13</v>
      </c>
      <c r="I534" t="b">
        <f t="shared" si="8"/>
        <v>1</v>
      </c>
    </row>
    <row r="535" spans="1:9" x14ac:dyDescent="0.2">
      <c r="A535" t="s">
        <v>726</v>
      </c>
      <c r="B535" t="s">
        <v>727</v>
      </c>
      <c r="C535" t="s">
        <v>353</v>
      </c>
      <c r="D535" t="s">
        <v>3</v>
      </c>
      <c r="E535" t="s">
        <v>4</v>
      </c>
      <c r="F535">
        <v>6</v>
      </c>
      <c r="G535">
        <v>77</v>
      </c>
      <c r="H535" t="s">
        <v>13</v>
      </c>
      <c r="I535" t="b">
        <f t="shared" si="8"/>
        <v>0</v>
      </c>
    </row>
    <row r="536" spans="1:9" x14ac:dyDescent="0.2">
      <c r="A536" t="s">
        <v>3776</v>
      </c>
      <c r="B536" t="s">
        <v>3777</v>
      </c>
      <c r="C536" t="s">
        <v>3778</v>
      </c>
      <c r="D536" t="s">
        <v>1640</v>
      </c>
      <c r="E536" t="s">
        <v>4</v>
      </c>
      <c r="F536">
        <v>79</v>
      </c>
      <c r="G536">
        <v>569</v>
      </c>
      <c r="H536" t="s">
        <v>13</v>
      </c>
      <c r="I536" t="b">
        <f t="shared" si="8"/>
        <v>0</v>
      </c>
    </row>
    <row r="537" spans="1:9" x14ac:dyDescent="0.2">
      <c r="A537" t="s">
        <v>7043</v>
      </c>
      <c r="B537" t="s">
        <v>7044</v>
      </c>
      <c r="C537" t="s">
        <v>279</v>
      </c>
      <c r="D537" t="s">
        <v>569</v>
      </c>
      <c r="E537" t="s">
        <v>4</v>
      </c>
      <c r="F537">
        <v>298</v>
      </c>
      <c r="G537">
        <v>310</v>
      </c>
      <c r="H537" t="s">
        <v>13</v>
      </c>
      <c r="I537" t="b">
        <f t="shared" si="8"/>
        <v>0</v>
      </c>
    </row>
    <row r="538" spans="1:9" x14ac:dyDescent="0.2">
      <c r="A538" t="s">
        <v>3840</v>
      </c>
      <c r="B538" t="s">
        <v>3841</v>
      </c>
      <c r="C538" t="s">
        <v>1548</v>
      </c>
      <c r="D538" t="s">
        <v>101</v>
      </c>
      <c r="E538" t="s">
        <v>4</v>
      </c>
      <c r="F538">
        <v>310</v>
      </c>
      <c r="G538">
        <v>378</v>
      </c>
      <c r="H538" t="s">
        <v>33</v>
      </c>
      <c r="I538" t="b">
        <f t="shared" si="8"/>
        <v>0</v>
      </c>
    </row>
    <row r="539" spans="1:9" x14ac:dyDescent="0.2">
      <c r="A539" t="s">
        <v>1849</v>
      </c>
      <c r="B539" t="s">
        <v>1850</v>
      </c>
      <c r="C539" t="s">
        <v>1851</v>
      </c>
      <c r="D539" t="s">
        <v>1852</v>
      </c>
      <c r="E539" t="s">
        <v>4</v>
      </c>
      <c r="F539">
        <v>25</v>
      </c>
      <c r="G539">
        <v>78</v>
      </c>
      <c r="H539" t="s">
        <v>50</v>
      </c>
      <c r="I539" t="b">
        <f t="shared" si="8"/>
        <v>0</v>
      </c>
    </row>
    <row r="540" spans="1:9" x14ac:dyDescent="0.2">
      <c r="A540" t="s">
        <v>22</v>
      </c>
      <c r="B540" t="s">
        <v>23</v>
      </c>
      <c r="C540" t="s">
        <v>24</v>
      </c>
      <c r="D540" t="s">
        <v>25</v>
      </c>
      <c r="E540" t="s">
        <v>4</v>
      </c>
      <c r="F540">
        <v>28</v>
      </c>
      <c r="G540">
        <v>12</v>
      </c>
      <c r="H540" t="s">
        <v>13</v>
      </c>
      <c r="I540" t="b">
        <f t="shared" si="8"/>
        <v>0</v>
      </c>
    </row>
    <row r="541" spans="1:9" x14ac:dyDescent="0.2">
      <c r="A541" t="s">
        <v>3920</v>
      </c>
      <c r="B541" t="s">
        <v>3921</v>
      </c>
      <c r="C541" t="s">
        <v>2646</v>
      </c>
      <c r="D541" t="s">
        <v>3690</v>
      </c>
      <c r="E541" t="s">
        <v>4</v>
      </c>
      <c r="F541">
        <v>39272</v>
      </c>
      <c r="G541">
        <v>193</v>
      </c>
      <c r="H541" t="s">
        <v>13</v>
      </c>
      <c r="I541" t="b">
        <f t="shared" si="8"/>
        <v>0</v>
      </c>
    </row>
    <row r="542" spans="1:9" x14ac:dyDescent="0.2">
      <c r="A542" t="s">
        <v>4202</v>
      </c>
      <c r="B542" t="s">
        <v>4203</v>
      </c>
      <c r="C542" t="s">
        <v>4204</v>
      </c>
      <c r="D542" t="s">
        <v>4205</v>
      </c>
      <c r="E542" t="s">
        <v>4</v>
      </c>
      <c r="F542">
        <v>16</v>
      </c>
      <c r="G542">
        <v>269</v>
      </c>
      <c r="H542" t="s">
        <v>13</v>
      </c>
      <c r="I542" t="b">
        <f t="shared" si="8"/>
        <v>0</v>
      </c>
    </row>
    <row r="543" spans="1:9" x14ac:dyDescent="0.2">
      <c r="A543" t="s">
        <v>4341</v>
      </c>
      <c r="B543" t="s">
        <v>4342</v>
      </c>
      <c r="C543" t="s">
        <v>151</v>
      </c>
      <c r="D543" t="s">
        <v>3</v>
      </c>
      <c r="E543" t="s">
        <v>4</v>
      </c>
      <c r="F543">
        <v>39</v>
      </c>
      <c r="G543">
        <v>114</v>
      </c>
      <c r="H543" t="s">
        <v>13</v>
      </c>
      <c r="I543" t="b">
        <f t="shared" si="8"/>
        <v>0</v>
      </c>
    </row>
    <row r="544" spans="1:9" x14ac:dyDescent="0.2">
      <c r="A544" t="s">
        <v>919</v>
      </c>
      <c r="B544" t="s">
        <v>920</v>
      </c>
      <c r="C544" t="s">
        <v>921</v>
      </c>
      <c r="D544" t="s">
        <v>734</v>
      </c>
      <c r="E544" t="s">
        <v>4</v>
      </c>
      <c r="F544">
        <v>144</v>
      </c>
      <c r="G544">
        <v>303</v>
      </c>
      <c r="H544" t="s">
        <v>13</v>
      </c>
      <c r="I544" t="b">
        <f t="shared" si="8"/>
        <v>0</v>
      </c>
    </row>
    <row r="545" spans="1:9" x14ac:dyDescent="0.2">
      <c r="A545" t="s">
        <v>1237</v>
      </c>
      <c r="B545" t="s">
        <v>1238</v>
      </c>
      <c r="C545" t="s">
        <v>1230</v>
      </c>
      <c r="D545" t="s">
        <v>1231</v>
      </c>
      <c r="E545" t="s">
        <v>4</v>
      </c>
      <c r="F545">
        <v>425</v>
      </c>
      <c r="G545">
        <v>768</v>
      </c>
      <c r="H545" t="s">
        <v>13</v>
      </c>
      <c r="I545" t="b">
        <f t="shared" si="8"/>
        <v>1</v>
      </c>
    </row>
    <row r="546" spans="1:9" x14ac:dyDescent="0.2">
      <c r="A546" t="s">
        <v>3182</v>
      </c>
      <c r="B546" t="s">
        <v>3183</v>
      </c>
      <c r="C546" t="s">
        <v>3184</v>
      </c>
      <c r="D546" t="s">
        <v>3185</v>
      </c>
      <c r="E546" t="s">
        <v>4</v>
      </c>
      <c r="F546">
        <v>61</v>
      </c>
      <c r="G546">
        <v>246</v>
      </c>
      <c r="H546" t="s">
        <v>13</v>
      </c>
      <c r="I546" t="b">
        <f t="shared" si="8"/>
        <v>0</v>
      </c>
    </row>
    <row r="547" spans="1:9" x14ac:dyDescent="0.2">
      <c r="A547" t="s">
        <v>4997</v>
      </c>
      <c r="B547" t="s">
        <v>4998</v>
      </c>
      <c r="C547" t="s">
        <v>3164</v>
      </c>
      <c r="D547" t="s">
        <v>4999</v>
      </c>
      <c r="E547" t="s">
        <v>4</v>
      </c>
      <c r="F547">
        <v>336</v>
      </c>
      <c r="G547">
        <v>158</v>
      </c>
      <c r="H547" t="s">
        <v>13</v>
      </c>
      <c r="I547" t="b">
        <f t="shared" si="8"/>
        <v>0</v>
      </c>
    </row>
    <row r="548" spans="1:9" x14ac:dyDescent="0.2">
      <c r="A548" t="s">
        <v>4537</v>
      </c>
      <c r="B548" t="s">
        <v>4538</v>
      </c>
      <c r="C548" t="s">
        <v>1596</v>
      </c>
      <c r="D548" t="s">
        <v>1597</v>
      </c>
      <c r="E548" t="s">
        <v>4</v>
      </c>
      <c r="F548">
        <v>4</v>
      </c>
      <c r="G548">
        <v>0</v>
      </c>
      <c r="H548" t="s">
        <v>13</v>
      </c>
      <c r="I548" t="b">
        <f t="shared" si="8"/>
        <v>0</v>
      </c>
    </row>
    <row r="549" spans="1:9" x14ac:dyDescent="0.2">
      <c r="A549" t="s">
        <v>4148</v>
      </c>
      <c r="B549" t="s">
        <v>4149</v>
      </c>
      <c r="C549" t="s">
        <v>177</v>
      </c>
      <c r="D549" t="s">
        <v>3</v>
      </c>
      <c r="E549" t="s">
        <v>4</v>
      </c>
      <c r="F549">
        <v>19</v>
      </c>
      <c r="G549">
        <v>51</v>
      </c>
      <c r="H549" t="s">
        <v>13</v>
      </c>
      <c r="I549" t="b">
        <f t="shared" si="8"/>
        <v>0</v>
      </c>
    </row>
    <row r="550" spans="1:9" x14ac:dyDescent="0.2">
      <c r="A550" t="s">
        <v>3591</v>
      </c>
      <c r="B550" t="s">
        <v>3592</v>
      </c>
      <c r="C550" t="s">
        <v>104</v>
      </c>
      <c r="D550" t="s">
        <v>3593</v>
      </c>
      <c r="E550" t="s">
        <v>4</v>
      </c>
      <c r="F550">
        <v>154</v>
      </c>
      <c r="G550">
        <v>288</v>
      </c>
      <c r="H550" t="s">
        <v>13</v>
      </c>
      <c r="I550" t="b">
        <f t="shared" si="8"/>
        <v>0</v>
      </c>
    </row>
    <row r="551" spans="1:9" x14ac:dyDescent="0.2">
      <c r="A551" t="s">
        <v>3310</v>
      </c>
      <c r="B551" t="s">
        <v>3311</v>
      </c>
      <c r="C551" t="s">
        <v>305</v>
      </c>
      <c r="D551" t="s">
        <v>306</v>
      </c>
      <c r="E551" t="s">
        <v>4</v>
      </c>
      <c r="F551">
        <v>459</v>
      </c>
      <c r="G551">
        <v>133</v>
      </c>
      <c r="H551" t="s">
        <v>13</v>
      </c>
      <c r="I551" t="b">
        <f t="shared" si="8"/>
        <v>0</v>
      </c>
    </row>
    <row r="552" spans="1:9" x14ac:dyDescent="0.2">
      <c r="A552" t="s">
        <v>4308</v>
      </c>
      <c r="B552" t="s">
        <v>4309</v>
      </c>
      <c r="C552" t="s">
        <v>3293</v>
      </c>
      <c r="D552" t="s">
        <v>3</v>
      </c>
      <c r="E552" t="s">
        <v>4</v>
      </c>
      <c r="F552">
        <v>12</v>
      </c>
      <c r="G552">
        <v>35</v>
      </c>
      <c r="H552" t="s">
        <v>13</v>
      </c>
      <c r="I552" t="b">
        <f t="shared" si="8"/>
        <v>0</v>
      </c>
    </row>
    <row r="553" spans="1:9" x14ac:dyDescent="0.2">
      <c r="A553" t="s">
        <v>5400</v>
      </c>
      <c r="B553" t="s">
        <v>5401</v>
      </c>
      <c r="C553" t="s">
        <v>3968</v>
      </c>
      <c r="D553" t="s">
        <v>113</v>
      </c>
      <c r="E553" t="s">
        <v>4</v>
      </c>
      <c r="F553">
        <v>71</v>
      </c>
      <c r="G553">
        <v>179</v>
      </c>
      <c r="H553" t="s">
        <v>13</v>
      </c>
      <c r="I553" t="b">
        <f t="shared" si="8"/>
        <v>1</v>
      </c>
    </row>
    <row r="554" spans="1:9" x14ac:dyDescent="0.2">
      <c r="A554" t="s">
        <v>5332</v>
      </c>
      <c r="B554" t="s">
        <v>5333</v>
      </c>
      <c r="C554" t="s">
        <v>279</v>
      </c>
      <c r="D554" t="s">
        <v>569</v>
      </c>
      <c r="E554" t="s">
        <v>4</v>
      </c>
      <c r="F554">
        <v>299</v>
      </c>
      <c r="G554">
        <v>310</v>
      </c>
      <c r="H554" t="s">
        <v>13</v>
      </c>
      <c r="I554" t="b">
        <f t="shared" si="8"/>
        <v>0</v>
      </c>
    </row>
    <row r="555" spans="1:9" x14ac:dyDescent="0.2">
      <c r="A555" t="s">
        <v>2031</v>
      </c>
      <c r="B555" t="s">
        <v>2032</v>
      </c>
      <c r="C555" t="s">
        <v>2033</v>
      </c>
      <c r="D555" t="s">
        <v>113</v>
      </c>
      <c r="E555" t="s">
        <v>4</v>
      </c>
      <c r="F555">
        <v>648</v>
      </c>
      <c r="G555">
        <v>45</v>
      </c>
      <c r="H555" t="s">
        <v>13</v>
      </c>
      <c r="I555" t="b">
        <f t="shared" si="8"/>
        <v>0</v>
      </c>
    </row>
    <row r="556" spans="1:9" x14ac:dyDescent="0.2">
      <c r="A556" t="s">
        <v>6278</v>
      </c>
      <c r="B556" t="s">
        <v>6279</v>
      </c>
      <c r="C556" t="s">
        <v>6280</v>
      </c>
      <c r="D556" t="s">
        <v>6281</v>
      </c>
      <c r="E556" t="s">
        <v>4</v>
      </c>
      <c r="F556">
        <v>12</v>
      </c>
      <c r="G556">
        <v>54</v>
      </c>
      <c r="H556" t="s">
        <v>342</v>
      </c>
      <c r="I556" t="b">
        <f t="shared" si="8"/>
        <v>0</v>
      </c>
    </row>
    <row r="557" spans="1:9" x14ac:dyDescent="0.2">
      <c r="A557" t="s">
        <v>3251</v>
      </c>
      <c r="B557" t="s">
        <v>3255</v>
      </c>
      <c r="C557" t="s">
        <v>818</v>
      </c>
      <c r="D557" t="s">
        <v>3256</v>
      </c>
      <c r="E557" t="s">
        <v>4</v>
      </c>
      <c r="F557">
        <v>719</v>
      </c>
      <c r="G557">
        <v>733</v>
      </c>
      <c r="H557" t="s">
        <v>13</v>
      </c>
      <c r="I557" t="b">
        <f t="shared" si="8"/>
        <v>0</v>
      </c>
    </row>
    <row r="558" spans="1:9" x14ac:dyDescent="0.2">
      <c r="A558" t="s">
        <v>2575</v>
      </c>
      <c r="B558" t="s">
        <v>2576</v>
      </c>
      <c r="C558" t="s">
        <v>2577</v>
      </c>
      <c r="D558" t="s">
        <v>2578</v>
      </c>
      <c r="E558" t="s">
        <v>4</v>
      </c>
      <c r="F558">
        <v>67</v>
      </c>
      <c r="G558">
        <v>152</v>
      </c>
      <c r="H558" t="s">
        <v>13</v>
      </c>
      <c r="I558" t="b">
        <f t="shared" si="8"/>
        <v>0</v>
      </c>
    </row>
    <row r="559" spans="1:9" x14ac:dyDescent="0.2">
      <c r="A559" t="s">
        <v>1767</v>
      </c>
      <c r="B559" t="s">
        <v>1768</v>
      </c>
      <c r="C559" t="s">
        <v>353</v>
      </c>
      <c r="D559" t="s">
        <v>3</v>
      </c>
      <c r="E559" t="s">
        <v>4</v>
      </c>
      <c r="F559">
        <v>6</v>
      </c>
      <c r="G559">
        <v>77</v>
      </c>
      <c r="H559" t="s">
        <v>13</v>
      </c>
      <c r="I559" t="b">
        <f t="shared" si="8"/>
        <v>0</v>
      </c>
    </row>
    <row r="560" spans="1:9" x14ac:dyDescent="0.2">
      <c r="A560" t="s">
        <v>6740</v>
      </c>
      <c r="B560" t="s">
        <v>6744</v>
      </c>
      <c r="C560" t="s">
        <v>1249</v>
      </c>
      <c r="D560" t="s">
        <v>2276</v>
      </c>
      <c r="E560" t="s">
        <v>4</v>
      </c>
      <c r="F560">
        <v>14</v>
      </c>
      <c r="G560">
        <v>157</v>
      </c>
      <c r="H560" t="s">
        <v>13</v>
      </c>
      <c r="I560" t="b">
        <f t="shared" si="8"/>
        <v>0</v>
      </c>
    </row>
    <row r="561" spans="1:9" x14ac:dyDescent="0.2">
      <c r="A561" t="s">
        <v>1388</v>
      </c>
      <c r="B561" t="s">
        <v>1389</v>
      </c>
      <c r="C561" t="s">
        <v>758</v>
      </c>
      <c r="D561" t="s">
        <v>3</v>
      </c>
      <c r="E561" t="s">
        <v>4</v>
      </c>
      <c r="F561">
        <v>697</v>
      </c>
      <c r="G561">
        <v>411</v>
      </c>
      <c r="H561" t="s">
        <v>13</v>
      </c>
      <c r="I561" t="b">
        <f t="shared" si="8"/>
        <v>0</v>
      </c>
    </row>
    <row r="562" spans="1:9" x14ac:dyDescent="0.2">
      <c r="A562" t="s">
        <v>1711</v>
      </c>
      <c r="B562" t="s">
        <v>1712</v>
      </c>
      <c r="C562" t="s">
        <v>377</v>
      </c>
      <c r="D562" t="s">
        <v>3</v>
      </c>
      <c r="E562" t="s">
        <v>4</v>
      </c>
      <c r="F562">
        <v>1438</v>
      </c>
      <c r="G562">
        <v>29</v>
      </c>
      <c r="H562" t="s">
        <v>50</v>
      </c>
      <c r="I562" t="b">
        <f t="shared" si="8"/>
        <v>1</v>
      </c>
    </row>
    <row r="563" spans="1:9" x14ac:dyDescent="0.2">
      <c r="A563" t="s">
        <v>3249</v>
      </c>
      <c r="B563" t="s">
        <v>3250</v>
      </c>
      <c r="C563" t="s">
        <v>377</v>
      </c>
      <c r="D563" t="s">
        <v>3</v>
      </c>
      <c r="E563" t="s">
        <v>4</v>
      </c>
      <c r="F563">
        <v>1438</v>
      </c>
      <c r="G563">
        <v>29</v>
      </c>
      <c r="H563" t="s">
        <v>50</v>
      </c>
      <c r="I563" t="b">
        <f t="shared" si="8"/>
        <v>1</v>
      </c>
    </row>
    <row r="564" spans="1:9" x14ac:dyDescent="0.2">
      <c r="A564" t="s">
        <v>6175</v>
      </c>
      <c r="B564" t="s">
        <v>6176</v>
      </c>
      <c r="C564" t="s">
        <v>377</v>
      </c>
      <c r="D564" t="s">
        <v>3</v>
      </c>
      <c r="E564" t="s">
        <v>4</v>
      </c>
      <c r="F564">
        <v>1441</v>
      </c>
      <c r="G564">
        <v>29</v>
      </c>
      <c r="H564" t="s">
        <v>50</v>
      </c>
      <c r="I564" t="b">
        <f t="shared" si="8"/>
        <v>1</v>
      </c>
    </row>
    <row r="565" spans="1:9" x14ac:dyDescent="0.2">
      <c r="A565" t="s">
        <v>4792</v>
      </c>
      <c r="B565" t="s">
        <v>4793</v>
      </c>
      <c r="C565" t="s">
        <v>377</v>
      </c>
      <c r="D565" t="s">
        <v>3</v>
      </c>
      <c r="E565" t="s">
        <v>4</v>
      </c>
      <c r="F565">
        <v>1438</v>
      </c>
      <c r="G565">
        <v>29</v>
      </c>
      <c r="H565" t="s">
        <v>50</v>
      </c>
      <c r="I565" t="b">
        <f t="shared" si="8"/>
        <v>1</v>
      </c>
    </row>
    <row r="566" spans="1:9" x14ac:dyDescent="0.2">
      <c r="A566" t="s">
        <v>375</v>
      </c>
      <c r="B566" t="s">
        <v>376</v>
      </c>
      <c r="C566" t="s">
        <v>377</v>
      </c>
      <c r="D566" t="s">
        <v>3</v>
      </c>
      <c r="E566" t="s">
        <v>4</v>
      </c>
      <c r="F566">
        <v>1438</v>
      </c>
      <c r="G566">
        <v>29</v>
      </c>
      <c r="H566" t="s">
        <v>50</v>
      </c>
      <c r="I566" t="b">
        <f t="shared" si="8"/>
        <v>0</v>
      </c>
    </row>
    <row r="567" spans="1:9" x14ac:dyDescent="0.2">
      <c r="A567" t="s">
        <v>5093</v>
      </c>
      <c r="B567" t="s">
        <v>5097</v>
      </c>
      <c r="C567" t="s">
        <v>2304</v>
      </c>
      <c r="D567" t="s">
        <v>101</v>
      </c>
      <c r="E567" t="s">
        <v>4</v>
      </c>
      <c r="F567">
        <v>548</v>
      </c>
      <c r="G567">
        <v>932</v>
      </c>
      <c r="H567" t="s">
        <v>33</v>
      </c>
      <c r="I567" t="b">
        <f t="shared" si="8"/>
        <v>0</v>
      </c>
    </row>
    <row r="568" spans="1:9" x14ac:dyDescent="0.2">
      <c r="A568" t="s">
        <v>356</v>
      </c>
      <c r="B568" t="s">
        <v>357</v>
      </c>
      <c r="C568" t="s">
        <v>358</v>
      </c>
      <c r="D568" t="s">
        <v>359</v>
      </c>
      <c r="E568" t="s">
        <v>4</v>
      </c>
      <c r="F568">
        <v>9948</v>
      </c>
      <c r="G568">
        <v>389</v>
      </c>
      <c r="H568" t="s">
        <v>13</v>
      </c>
      <c r="I568" t="b">
        <f t="shared" si="8"/>
        <v>0</v>
      </c>
    </row>
    <row r="569" spans="1:9" x14ac:dyDescent="0.2">
      <c r="A569" t="s">
        <v>7137</v>
      </c>
      <c r="B569" t="s">
        <v>7138</v>
      </c>
      <c r="C569" t="s">
        <v>7139</v>
      </c>
      <c r="D569" t="s">
        <v>3</v>
      </c>
      <c r="E569" t="s">
        <v>4</v>
      </c>
      <c r="F569">
        <v>3764</v>
      </c>
      <c r="G569">
        <v>508</v>
      </c>
      <c r="H569" t="s">
        <v>13</v>
      </c>
      <c r="I569" t="b">
        <f t="shared" si="8"/>
        <v>0</v>
      </c>
    </row>
    <row r="570" spans="1:9" x14ac:dyDescent="0.2">
      <c r="A570" t="s">
        <v>3667</v>
      </c>
      <c r="B570" t="s">
        <v>3668</v>
      </c>
      <c r="C570" t="s">
        <v>3669</v>
      </c>
      <c r="D570" t="s">
        <v>3670</v>
      </c>
      <c r="E570" t="s">
        <v>4</v>
      </c>
      <c r="F570">
        <v>116</v>
      </c>
      <c r="G570">
        <v>250</v>
      </c>
      <c r="H570" t="s">
        <v>114</v>
      </c>
      <c r="I570" t="b">
        <f t="shared" si="8"/>
        <v>0</v>
      </c>
    </row>
    <row r="571" spans="1:9" x14ac:dyDescent="0.2">
      <c r="A571" t="s">
        <v>760</v>
      </c>
      <c r="B571" t="s">
        <v>761</v>
      </c>
      <c r="C571" t="s">
        <v>608</v>
      </c>
      <c r="D571" t="s">
        <v>3</v>
      </c>
      <c r="E571" t="s">
        <v>4</v>
      </c>
      <c r="F571">
        <v>428</v>
      </c>
      <c r="G571">
        <v>599</v>
      </c>
      <c r="H571" t="s">
        <v>13</v>
      </c>
      <c r="I571" t="b">
        <f t="shared" si="8"/>
        <v>0</v>
      </c>
    </row>
    <row r="572" spans="1:9" x14ac:dyDescent="0.2">
      <c r="A572" t="s">
        <v>768</v>
      </c>
      <c r="B572" t="s">
        <v>769</v>
      </c>
      <c r="C572" t="s">
        <v>770</v>
      </c>
      <c r="D572" t="s">
        <v>3</v>
      </c>
      <c r="E572" t="s">
        <v>4</v>
      </c>
      <c r="F572">
        <v>141</v>
      </c>
      <c r="G572">
        <v>292</v>
      </c>
      <c r="H572" t="s">
        <v>13</v>
      </c>
      <c r="I572" t="b">
        <f t="shared" si="8"/>
        <v>0</v>
      </c>
    </row>
    <row r="573" spans="1:9" x14ac:dyDescent="0.2">
      <c r="A573" t="s">
        <v>3406</v>
      </c>
      <c r="B573" t="s">
        <v>3407</v>
      </c>
      <c r="C573" t="s">
        <v>3408</v>
      </c>
      <c r="D573" t="s">
        <v>1427</v>
      </c>
      <c r="E573" t="s">
        <v>4</v>
      </c>
      <c r="F573">
        <v>27</v>
      </c>
      <c r="G573">
        <v>141</v>
      </c>
      <c r="H573" t="s">
        <v>86</v>
      </c>
      <c r="I573" t="b">
        <f t="shared" si="8"/>
        <v>0</v>
      </c>
    </row>
    <row r="574" spans="1:9" x14ac:dyDescent="0.2">
      <c r="A574" t="s">
        <v>6833</v>
      </c>
      <c r="B574" t="s">
        <v>6834</v>
      </c>
      <c r="C574" t="s">
        <v>2942</v>
      </c>
      <c r="D574" t="s">
        <v>6835</v>
      </c>
      <c r="E574" t="s">
        <v>4</v>
      </c>
      <c r="F574">
        <v>2725</v>
      </c>
      <c r="G574">
        <v>3875</v>
      </c>
      <c r="H574" t="s">
        <v>13</v>
      </c>
      <c r="I574" t="b">
        <f t="shared" si="8"/>
        <v>0</v>
      </c>
    </row>
    <row r="575" spans="1:9" x14ac:dyDescent="0.2">
      <c r="A575" t="s">
        <v>4645</v>
      </c>
      <c r="B575" t="s">
        <v>4646</v>
      </c>
      <c r="C575" t="s">
        <v>4647</v>
      </c>
      <c r="D575" t="s">
        <v>3</v>
      </c>
      <c r="E575" t="s">
        <v>4</v>
      </c>
      <c r="F575">
        <v>3795</v>
      </c>
      <c r="G575">
        <v>95</v>
      </c>
      <c r="H575" t="s">
        <v>50</v>
      </c>
      <c r="I575" t="b">
        <f t="shared" si="8"/>
        <v>0</v>
      </c>
    </row>
    <row r="576" spans="1:9" x14ac:dyDescent="0.2">
      <c r="A576" t="s">
        <v>5284</v>
      </c>
      <c r="B576" t="s">
        <v>5285</v>
      </c>
      <c r="C576" t="s">
        <v>1324</v>
      </c>
      <c r="D576" t="s">
        <v>3</v>
      </c>
      <c r="E576" t="s">
        <v>4</v>
      </c>
      <c r="F576">
        <v>1</v>
      </c>
      <c r="G576">
        <v>42</v>
      </c>
      <c r="H576" t="s">
        <v>13</v>
      </c>
      <c r="I576" t="b">
        <f t="shared" si="8"/>
        <v>0</v>
      </c>
    </row>
    <row r="577" spans="1:9" x14ac:dyDescent="0.2">
      <c r="A577" t="s">
        <v>3624</v>
      </c>
      <c r="B577" t="s">
        <v>3625</v>
      </c>
      <c r="C577" t="s">
        <v>487</v>
      </c>
      <c r="D577" t="s">
        <v>3</v>
      </c>
      <c r="E577" t="s">
        <v>4</v>
      </c>
      <c r="F577">
        <v>14</v>
      </c>
      <c r="G577">
        <v>5</v>
      </c>
      <c r="H577" t="s">
        <v>13</v>
      </c>
      <c r="I577" t="b">
        <f t="shared" si="8"/>
        <v>0</v>
      </c>
    </row>
    <row r="578" spans="1:9" x14ac:dyDescent="0.2">
      <c r="A578" t="s">
        <v>7140</v>
      </c>
      <c r="B578" t="s">
        <v>7141</v>
      </c>
      <c r="C578" t="s">
        <v>293</v>
      </c>
      <c r="D578" t="s">
        <v>3</v>
      </c>
      <c r="E578" t="s">
        <v>4</v>
      </c>
      <c r="F578">
        <v>3637</v>
      </c>
      <c r="G578">
        <v>3735</v>
      </c>
      <c r="H578" t="s">
        <v>13</v>
      </c>
      <c r="I578" t="b">
        <f t="shared" si="8"/>
        <v>0</v>
      </c>
    </row>
    <row r="579" spans="1:9" x14ac:dyDescent="0.2">
      <c r="A579" t="s">
        <v>2889</v>
      </c>
      <c r="B579" t="s">
        <v>2890</v>
      </c>
      <c r="C579" t="s">
        <v>2028</v>
      </c>
      <c r="D579" t="s">
        <v>2771</v>
      </c>
      <c r="E579" t="s">
        <v>4</v>
      </c>
      <c r="F579">
        <v>1322</v>
      </c>
      <c r="G579">
        <v>1009</v>
      </c>
      <c r="H579" t="s">
        <v>13</v>
      </c>
      <c r="I579" t="b">
        <f t="shared" ref="I579:I642" si="9">isDup(B579, B580, 0.7)</f>
        <v>0</v>
      </c>
    </row>
    <row r="580" spans="1:9" x14ac:dyDescent="0.2">
      <c r="A580" t="s">
        <v>589</v>
      </c>
      <c r="B580" t="s">
        <v>590</v>
      </c>
      <c r="C580" t="s">
        <v>591</v>
      </c>
      <c r="D580" t="s">
        <v>592</v>
      </c>
      <c r="E580" t="s">
        <v>4</v>
      </c>
      <c r="F580">
        <v>1</v>
      </c>
      <c r="G580">
        <v>0</v>
      </c>
      <c r="H580" t="s">
        <v>13</v>
      </c>
      <c r="I580" t="b">
        <f t="shared" si="9"/>
        <v>0</v>
      </c>
    </row>
    <row r="581" spans="1:9" x14ac:dyDescent="0.2">
      <c r="A581" t="s">
        <v>1786</v>
      </c>
      <c r="B581" t="s">
        <v>1787</v>
      </c>
      <c r="C581" t="s">
        <v>1788</v>
      </c>
      <c r="D581" t="s">
        <v>3</v>
      </c>
      <c r="E581" t="s">
        <v>4</v>
      </c>
      <c r="F581">
        <v>619</v>
      </c>
      <c r="G581">
        <v>1376</v>
      </c>
      <c r="H581" t="s">
        <v>13</v>
      </c>
      <c r="I581" t="b">
        <f t="shared" si="9"/>
        <v>0</v>
      </c>
    </row>
    <row r="582" spans="1:9" x14ac:dyDescent="0.2">
      <c r="A582" t="s">
        <v>1191</v>
      </c>
      <c r="B582" t="s">
        <v>1192</v>
      </c>
      <c r="C582" t="s">
        <v>1193</v>
      </c>
      <c r="D582" t="s">
        <v>1194</v>
      </c>
      <c r="E582" t="s">
        <v>4</v>
      </c>
      <c r="F582">
        <v>7993</v>
      </c>
      <c r="G582">
        <v>410</v>
      </c>
      <c r="H582" t="s">
        <v>13</v>
      </c>
      <c r="I582" t="b">
        <f t="shared" si="9"/>
        <v>0</v>
      </c>
    </row>
    <row r="583" spans="1:9" x14ac:dyDescent="0.2">
      <c r="A583" t="s">
        <v>7012</v>
      </c>
      <c r="B583" t="s">
        <v>7013</v>
      </c>
      <c r="C583" t="s">
        <v>97</v>
      </c>
      <c r="D583" t="s">
        <v>7014</v>
      </c>
      <c r="E583" t="s">
        <v>4</v>
      </c>
      <c r="F583">
        <v>360</v>
      </c>
      <c r="G583">
        <v>1610</v>
      </c>
      <c r="H583" t="s">
        <v>50</v>
      </c>
      <c r="I583" t="b">
        <f t="shared" si="9"/>
        <v>0</v>
      </c>
    </row>
    <row r="584" spans="1:9" x14ac:dyDescent="0.2">
      <c r="A584" t="s">
        <v>5826</v>
      </c>
      <c r="B584" t="s">
        <v>5827</v>
      </c>
      <c r="C584" t="s">
        <v>640</v>
      </c>
      <c r="D584" t="s">
        <v>3</v>
      </c>
      <c r="E584" t="s">
        <v>4</v>
      </c>
      <c r="F584">
        <v>3087</v>
      </c>
      <c r="G584">
        <v>553</v>
      </c>
      <c r="H584" t="s">
        <v>13</v>
      </c>
      <c r="I584" t="b">
        <f t="shared" si="9"/>
        <v>0</v>
      </c>
    </row>
    <row r="585" spans="1:9" x14ac:dyDescent="0.2">
      <c r="A585" t="s">
        <v>3861</v>
      </c>
      <c r="B585" t="s">
        <v>3862</v>
      </c>
      <c r="C585" t="s">
        <v>3863</v>
      </c>
      <c r="D585" t="s">
        <v>3864</v>
      </c>
      <c r="E585" t="s">
        <v>4</v>
      </c>
      <c r="F585">
        <v>800</v>
      </c>
      <c r="G585">
        <v>975</v>
      </c>
      <c r="H585" t="s">
        <v>1584</v>
      </c>
      <c r="I585" t="b">
        <f t="shared" si="9"/>
        <v>1</v>
      </c>
    </row>
    <row r="586" spans="1:9" x14ac:dyDescent="0.2">
      <c r="A586" t="s">
        <v>3801</v>
      </c>
      <c r="B586" t="s">
        <v>3802</v>
      </c>
      <c r="C586" t="s">
        <v>2102</v>
      </c>
      <c r="D586" t="s">
        <v>57</v>
      </c>
      <c r="E586" t="s">
        <v>38</v>
      </c>
      <c r="F586">
        <v>149787</v>
      </c>
      <c r="G586">
        <v>949</v>
      </c>
      <c r="H586" t="s">
        <v>5</v>
      </c>
      <c r="I586" t="b">
        <f t="shared" si="9"/>
        <v>0</v>
      </c>
    </row>
    <row r="587" spans="1:9" x14ac:dyDescent="0.2">
      <c r="A587" t="s">
        <v>2967</v>
      </c>
      <c r="B587" t="s">
        <v>2968</v>
      </c>
      <c r="C587" t="s">
        <v>293</v>
      </c>
      <c r="D587" t="s">
        <v>3</v>
      </c>
      <c r="E587" t="s">
        <v>4</v>
      </c>
      <c r="F587">
        <v>3635</v>
      </c>
      <c r="G587">
        <v>3732</v>
      </c>
      <c r="H587" t="s">
        <v>13</v>
      </c>
      <c r="I587" t="b">
        <f t="shared" si="9"/>
        <v>0</v>
      </c>
    </row>
    <row r="588" spans="1:9" x14ac:dyDescent="0.2">
      <c r="A588" t="s">
        <v>4809</v>
      </c>
      <c r="B588" t="s">
        <v>4810</v>
      </c>
      <c r="C588" t="s">
        <v>1892</v>
      </c>
      <c r="D588" t="s">
        <v>4811</v>
      </c>
      <c r="E588" t="s">
        <v>4</v>
      </c>
      <c r="F588">
        <v>425</v>
      </c>
      <c r="G588">
        <v>330</v>
      </c>
      <c r="H588" t="s">
        <v>13</v>
      </c>
      <c r="I588" t="b">
        <f t="shared" si="9"/>
        <v>0</v>
      </c>
    </row>
    <row r="589" spans="1:9" x14ac:dyDescent="0.2">
      <c r="A589" t="s">
        <v>5390</v>
      </c>
      <c r="B589" t="s">
        <v>5391</v>
      </c>
      <c r="C589" t="s">
        <v>4541</v>
      </c>
      <c r="D589" t="s">
        <v>2720</v>
      </c>
      <c r="E589" t="s">
        <v>4</v>
      </c>
      <c r="F589">
        <v>5788</v>
      </c>
      <c r="G589">
        <v>6216</v>
      </c>
      <c r="H589" t="s">
        <v>13</v>
      </c>
      <c r="I589" t="b">
        <f t="shared" si="9"/>
        <v>0</v>
      </c>
    </row>
    <row r="590" spans="1:9" x14ac:dyDescent="0.2">
      <c r="A590" t="s">
        <v>4861</v>
      </c>
      <c r="B590" t="s">
        <v>4862</v>
      </c>
      <c r="C590" t="s">
        <v>4754</v>
      </c>
      <c r="D590" t="s">
        <v>3</v>
      </c>
      <c r="E590" t="s">
        <v>4</v>
      </c>
      <c r="F590">
        <v>18</v>
      </c>
      <c r="G590">
        <v>107</v>
      </c>
      <c r="H590" t="s">
        <v>13</v>
      </c>
      <c r="I590" t="b">
        <f t="shared" si="9"/>
        <v>0</v>
      </c>
    </row>
    <row r="591" spans="1:9" x14ac:dyDescent="0.2">
      <c r="A591" t="s">
        <v>4731</v>
      </c>
      <c r="B591" t="s">
        <v>4732</v>
      </c>
      <c r="C591" t="s">
        <v>1230</v>
      </c>
      <c r="D591" t="s">
        <v>320</v>
      </c>
      <c r="E591" t="s">
        <v>4</v>
      </c>
      <c r="F591">
        <v>595</v>
      </c>
      <c r="G591">
        <v>141</v>
      </c>
      <c r="H591" t="s">
        <v>13</v>
      </c>
      <c r="I591" t="b">
        <f t="shared" si="9"/>
        <v>0</v>
      </c>
    </row>
    <row r="592" spans="1:9" x14ac:dyDescent="0.2">
      <c r="A592" t="s">
        <v>953</v>
      </c>
      <c r="B592" t="s">
        <v>954</v>
      </c>
      <c r="C592" t="s">
        <v>955</v>
      </c>
      <c r="D592" t="s">
        <v>956</v>
      </c>
      <c r="E592" t="s">
        <v>4</v>
      </c>
      <c r="F592">
        <v>393</v>
      </c>
      <c r="G592">
        <v>888</v>
      </c>
      <c r="H592" t="s">
        <v>13</v>
      </c>
      <c r="I592" t="b">
        <f t="shared" si="9"/>
        <v>0</v>
      </c>
    </row>
    <row r="593" spans="1:9" x14ac:dyDescent="0.2">
      <c r="A593" t="s">
        <v>4388</v>
      </c>
      <c r="B593" t="s">
        <v>4389</v>
      </c>
      <c r="C593" t="s">
        <v>212</v>
      </c>
      <c r="D593" t="s">
        <v>3</v>
      </c>
      <c r="E593" t="s">
        <v>4</v>
      </c>
      <c r="F593">
        <v>17687</v>
      </c>
      <c r="G593">
        <v>14204</v>
      </c>
      <c r="H593" t="s">
        <v>13</v>
      </c>
      <c r="I593" t="b">
        <f t="shared" si="9"/>
        <v>0</v>
      </c>
    </row>
    <row r="594" spans="1:9" x14ac:dyDescent="0.2">
      <c r="A594" t="s">
        <v>1303</v>
      </c>
      <c r="B594" t="s">
        <v>1304</v>
      </c>
      <c r="C594" t="s">
        <v>1305</v>
      </c>
      <c r="D594" t="s">
        <v>3</v>
      </c>
      <c r="E594" t="s">
        <v>4</v>
      </c>
      <c r="F594">
        <v>22</v>
      </c>
      <c r="G594">
        <v>118</v>
      </c>
      <c r="H594" t="s">
        <v>13</v>
      </c>
      <c r="I594" t="b">
        <f t="shared" si="9"/>
        <v>1</v>
      </c>
    </row>
    <row r="595" spans="1:9" x14ac:dyDescent="0.2">
      <c r="A595" t="s">
        <v>5594</v>
      </c>
      <c r="B595" t="s">
        <v>5595</v>
      </c>
      <c r="C595" t="s">
        <v>1701</v>
      </c>
      <c r="D595" t="s">
        <v>705</v>
      </c>
      <c r="E595" t="s">
        <v>4</v>
      </c>
      <c r="F595">
        <v>24</v>
      </c>
      <c r="G595">
        <v>74</v>
      </c>
      <c r="H595" t="s">
        <v>13</v>
      </c>
      <c r="I595" t="b">
        <f t="shared" si="9"/>
        <v>0</v>
      </c>
    </row>
    <row r="596" spans="1:9" x14ac:dyDescent="0.2">
      <c r="A596" t="s">
        <v>5180</v>
      </c>
      <c r="B596" t="s">
        <v>5181</v>
      </c>
      <c r="C596" t="s">
        <v>4267</v>
      </c>
      <c r="D596" t="s">
        <v>5182</v>
      </c>
      <c r="E596" t="s">
        <v>4</v>
      </c>
      <c r="F596">
        <v>164</v>
      </c>
      <c r="G596">
        <v>77</v>
      </c>
      <c r="H596" t="s">
        <v>13</v>
      </c>
      <c r="I596" t="b">
        <f t="shared" si="9"/>
        <v>0</v>
      </c>
    </row>
    <row r="597" spans="1:9" x14ac:dyDescent="0.2">
      <c r="A597" t="s">
        <v>6100</v>
      </c>
      <c r="B597" t="s">
        <v>6101</v>
      </c>
      <c r="C597" t="s">
        <v>2230</v>
      </c>
      <c r="D597" t="s">
        <v>4473</v>
      </c>
      <c r="E597" t="s">
        <v>4</v>
      </c>
      <c r="F597">
        <v>1953</v>
      </c>
      <c r="G597">
        <v>2435</v>
      </c>
      <c r="H597" t="s">
        <v>13</v>
      </c>
      <c r="I597" t="b">
        <f t="shared" si="9"/>
        <v>0</v>
      </c>
    </row>
    <row r="598" spans="1:9" x14ac:dyDescent="0.2">
      <c r="A598" t="s">
        <v>4278</v>
      </c>
      <c r="B598" t="s">
        <v>4280</v>
      </c>
      <c r="C598" t="s">
        <v>4281</v>
      </c>
      <c r="D598" t="s">
        <v>4282</v>
      </c>
      <c r="E598" t="s">
        <v>4</v>
      </c>
      <c r="F598">
        <v>244</v>
      </c>
      <c r="G598">
        <v>240</v>
      </c>
      <c r="H598" t="s">
        <v>13</v>
      </c>
      <c r="I598" t="b">
        <f t="shared" si="9"/>
        <v>0</v>
      </c>
    </row>
    <row r="599" spans="1:9" x14ac:dyDescent="0.2">
      <c r="A599" t="s">
        <v>6067</v>
      </c>
      <c r="B599" t="s">
        <v>6068</v>
      </c>
      <c r="C599" t="s">
        <v>1201</v>
      </c>
      <c r="D599" t="s">
        <v>3</v>
      </c>
      <c r="E599" t="s">
        <v>4</v>
      </c>
      <c r="F599">
        <v>9</v>
      </c>
      <c r="G599">
        <v>232</v>
      </c>
      <c r="H599" t="s">
        <v>374</v>
      </c>
      <c r="I599" t="b">
        <f t="shared" si="9"/>
        <v>0</v>
      </c>
    </row>
    <row r="600" spans="1:9" x14ac:dyDescent="0.2">
      <c r="A600" t="s">
        <v>5790</v>
      </c>
      <c r="B600" t="s">
        <v>5791</v>
      </c>
      <c r="C600" t="s">
        <v>3041</v>
      </c>
      <c r="D600" t="s">
        <v>5792</v>
      </c>
      <c r="E600" t="s">
        <v>4</v>
      </c>
      <c r="F600">
        <v>11</v>
      </c>
      <c r="G600">
        <v>32</v>
      </c>
      <c r="H600" t="s">
        <v>13</v>
      </c>
      <c r="I600" t="b">
        <f t="shared" si="9"/>
        <v>0</v>
      </c>
    </row>
    <row r="601" spans="1:9" x14ac:dyDescent="0.2">
      <c r="A601" t="s">
        <v>4803</v>
      </c>
      <c r="B601" t="s">
        <v>4804</v>
      </c>
      <c r="C601" t="s">
        <v>161</v>
      </c>
      <c r="D601" t="s">
        <v>3</v>
      </c>
      <c r="E601" t="s">
        <v>4</v>
      </c>
      <c r="F601">
        <v>276</v>
      </c>
      <c r="G601">
        <v>503</v>
      </c>
      <c r="H601" t="s">
        <v>13</v>
      </c>
      <c r="I601" t="b">
        <f t="shared" si="9"/>
        <v>0</v>
      </c>
    </row>
    <row r="602" spans="1:9" x14ac:dyDescent="0.2">
      <c r="A602" t="s">
        <v>5912</v>
      </c>
      <c r="B602" t="s">
        <v>5913</v>
      </c>
      <c r="C602" t="s">
        <v>161</v>
      </c>
      <c r="D602" t="s">
        <v>3</v>
      </c>
      <c r="E602" t="s">
        <v>4</v>
      </c>
      <c r="F602">
        <v>276</v>
      </c>
      <c r="G602">
        <v>503</v>
      </c>
      <c r="H602" t="s">
        <v>13</v>
      </c>
      <c r="I602" t="b">
        <f t="shared" si="9"/>
        <v>0</v>
      </c>
    </row>
    <row r="603" spans="1:9" x14ac:dyDescent="0.2">
      <c r="A603" t="s">
        <v>521</v>
      </c>
      <c r="B603" t="s">
        <v>522</v>
      </c>
      <c r="C603" t="s">
        <v>171</v>
      </c>
      <c r="D603" t="s">
        <v>523</v>
      </c>
      <c r="E603" t="s">
        <v>4</v>
      </c>
      <c r="F603">
        <v>680</v>
      </c>
      <c r="G603">
        <v>30</v>
      </c>
      <c r="H603" t="s">
        <v>13</v>
      </c>
      <c r="I603" t="b">
        <f t="shared" si="9"/>
        <v>0</v>
      </c>
    </row>
    <row r="604" spans="1:9" x14ac:dyDescent="0.2">
      <c r="A604" t="s">
        <v>754</v>
      </c>
      <c r="B604" t="s">
        <v>755</v>
      </c>
      <c r="C604" t="s">
        <v>353</v>
      </c>
      <c r="D604" t="s">
        <v>3</v>
      </c>
      <c r="E604" t="s">
        <v>4</v>
      </c>
      <c r="F604">
        <v>6</v>
      </c>
      <c r="G604">
        <v>77</v>
      </c>
      <c r="H604" t="s">
        <v>13</v>
      </c>
      <c r="I604" t="b">
        <f t="shared" si="9"/>
        <v>0</v>
      </c>
    </row>
    <row r="605" spans="1:9" x14ac:dyDescent="0.2">
      <c r="A605" t="s">
        <v>6869</v>
      </c>
      <c r="B605" t="s">
        <v>6870</v>
      </c>
      <c r="C605" t="s">
        <v>4735</v>
      </c>
      <c r="D605" t="s">
        <v>6871</v>
      </c>
      <c r="E605" t="s">
        <v>4</v>
      </c>
      <c r="F605">
        <v>764</v>
      </c>
      <c r="G605">
        <v>479</v>
      </c>
      <c r="H605" t="s">
        <v>1692</v>
      </c>
      <c r="I605" t="b">
        <f t="shared" si="9"/>
        <v>0</v>
      </c>
    </row>
    <row r="606" spans="1:9" x14ac:dyDescent="0.2">
      <c r="A606" t="s">
        <v>3231</v>
      </c>
      <c r="B606" t="s">
        <v>3233</v>
      </c>
      <c r="C606" t="s">
        <v>3234</v>
      </c>
      <c r="D606" t="s">
        <v>3235</v>
      </c>
      <c r="E606" t="s">
        <v>4</v>
      </c>
      <c r="F606">
        <v>272</v>
      </c>
      <c r="G606">
        <v>376</v>
      </c>
      <c r="H606" t="s">
        <v>363</v>
      </c>
      <c r="I606" t="b">
        <f t="shared" si="9"/>
        <v>1</v>
      </c>
    </row>
    <row r="607" spans="1:9" x14ac:dyDescent="0.2">
      <c r="A607" t="s">
        <v>646</v>
      </c>
      <c r="B607" t="s">
        <v>647</v>
      </c>
      <c r="C607" t="s">
        <v>648</v>
      </c>
      <c r="D607" t="s">
        <v>3</v>
      </c>
      <c r="E607" t="s">
        <v>4</v>
      </c>
      <c r="F607">
        <v>31241</v>
      </c>
      <c r="G607">
        <v>146</v>
      </c>
      <c r="H607" t="s">
        <v>266</v>
      </c>
      <c r="I607" t="b">
        <f t="shared" si="9"/>
        <v>0</v>
      </c>
    </row>
    <row r="608" spans="1:9" x14ac:dyDescent="0.2">
      <c r="A608" t="s">
        <v>6577</v>
      </c>
      <c r="B608" t="s">
        <v>6578</v>
      </c>
      <c r="C608" t="s">
        <v>800</v>
      </c>
      <c r="D608" t="s">
        <v>2692</v>
      </c>
      <c r="E608" t="s">
        <v>4</v>
      </c>
      <c r="F608">
        <v>13</v>
      </c>
      <c r="G608">
        <v>27</v>
      </c>
      <c r="H608" t="s">
        <v>13</v>
      </c>
      <c r="I608" t="b">
        <f t="shared" si="9"/>
        <v>0</v>
      </c>
    </row>
    <row r="609" spans="1:9" x14ac:dyDescent="0.2">
      <c r="A609" t="s">
        <v>4568</v>
      </c>
      <c r="B609" t="s">
        <v>4569</v>
      </c>
      <c r="C609" t="s">
        <v>41</v>
      </c>
      <c r="D609" t="s">
        <v>3</v>
      </c>
      <c r="E609" t="s">
        <v>4</v>
      </c>
      <c r="F609">
        <v>5</v>
      </c>
      <c r="G609">
        <v>66</v>
      </c>
      <c r="H609" t="s">
        <v>13</v>
      </c>
      <c r="I609" t="b">
        <f t="shared" si="9"/>
        <v>0</v>
      </c>
    </row>
    <row r="610" spans="1:9" x14ac:dyDescent="0.2">
      <c r="A610" t="s">
        <v>5945</v>
      </c>
      <c r="B610" t="s">
        <v>5946</v>
      </c>
      <c r="C610" t="s">
        <v>5947</v>
      </c>
      <c r="D610" t="s">
        <v>5948</v>
      </c>
      <c r="E610" t="s">
        <v>4</v>
      </c>
      <c r="F610">
        <v>91</v>
      </c>
      <c r="G610">
        <v>129</v>
      </c>
      <c r="H610" t="s">
        <v>13</v>
      </c>
      <c r="I610" t="b">
        <f t="shared" si="9"/>
        <v>0</v>
      </c>
    </row>
    <row r="611" spans="1:9" x14ac:dyDescent="0.2">
      <c r="A611" t="s">
        <v>5993</v>
      </c>
      <c r="B611" t="s">
        <v>5994</v>
      </c>
      <c r="C611" t="s">
        <v>4911</v>
      </c>
      <c r="D611" t="s">
        <v>5995</v>
      </c>
      <c r="E611" t="s">
        <v>4</v>
      </c>
      <c r="F611">
        <v>516</v>
      </c>
      <c r="G611">
        <v>493</v>
      </c>
      <c r="H611" t="s">
        <v>13</v>
      </c>
      <c r="I611" t="b">
        <f t="shared" si="9"/>
        <v>0</v>
      </c>
    </row>
    <row r="612" spans="1:9" x14ac:dyDescent="0.2">
      <c r="A612" t="s">
        <v>6702</v>
      </c>
      <c r="B612" t="s">
        <v>6703</v>
      </c>
      <c r="C612" t="s">
        <v>2665</v>
      </c>
      <c r="D612" t="s">
        <v>64</v>
      </c>
      <c r="E612" t="s">
        <v>4</v>
      </c>
      <c r="F612">
        <v>96</v>
      </c>
      <c r="G612">
        <v>78</v>
      </c>
      <c r="H612" t="s">
        <v>13</v>
      </c>
      <c r="I612" t="b">
        <f t="shared" si="9"/>
        <v>0</v>
      </c>
    </row>
    <row r="613" spans="1:9" x14ac:dyDescent="0.2">
      <c r="A613" t="s">
        <v>1377</v>
      </c>
      <c r="B613" t="s">
        <v>1378</v>
      </c>
      <c r="C613" t="s">
        <v>329</v>
      </c>
      <c r="D613" t="s">
        <v>1379</v>
      </c>
      <c r="E613" t="s">
        <v>4</v>
      </c>
      <c r="F613">
        <v>54</v>
      </c>
      <c r="G613">
        <v>11</v>
      </c>
      <c r="H613" t="s">
        <v>363</v>
      </c>
      <c r="I613" t="b">
        <f t="shared" si="9"/>
        <v>0</v>
      </c>
    </row>
    <row r="614" spans="1:9" x14ac:dyDescent="0.2">
      <c r="A614" t="s">
        <v>2775</v>
      </c>
      <c r="B614" t="s">
        <v>2776</v>
      </c>
      <c r="C614" t="s">
        <v>279</v>
      </c>
      <c r="D614" t="s">
        <v>3</v>
      </c>
      <c r="E614" t="s">
        <v>4</v>
      </c>
      <c r="F614">
        <v>256</v>
      </c>
      <c r="G614">
        <v>149</v>
      </c>
      <c r="H614" t="s">
        <v>50</v>
      </c>
      <c r="I614" t="b">
        <f t="shared" si="9"/>
        <v>0</v>
      </c>
    </row>
    <row r="615" spans="1:9" x14ac:dyDescent="0.2">
      <c r="A615" t="s">
        <v>1594</v>
      </c>
      <c r="B615" t="s">
        <v>1595</v>
      </c>
      <c r="C615" t="s">
        <v>1596</v>
      </c>
      <c r="D615" t="s">
        <v>1597</v>
      </c>
      <c r="E615" t="s">
        <v>4</v>
      </c>
      <c r="F615">
        <v>4</v>
      </c>
      <c r="G615">
        <v>0</v>
      </c>
      <c r="H615" t="s">
        <v>13</v>
      </c>
      <c r="I615" t="b">
        <f t="shared" si="9"/>
        <v>0</v>
      </c>
    </row>
    <row r="616" spans="1:9" x14ac:dyDescent="0.2">
      <c r="A616" t="s">
        <v>224</v>
      </c>
      <c r="B616" t="s">
        <v>225</v>
      </c>
      <c r="C616" t="s">
        <v>226</v>
      </c>
      <c r="D616" t="s">
        <v>227</v>
      </c>
      <c r="E616" t="s">
        <v>4</v>
      </c>
      <c r="F616">
        <v>9221</v>
      </c>
      <c r="G616">
        <v>7169</v>
      </c>
      <c r="H616" t="s">
        <v>13</v>
      </c>
      <c r="I616" t="b">
        <f t="shared" si="9"/>
        <v>0</v>
      </c>
    </row>
    <row r="617" spans="1:9" x14ac:dyDescent="0.2">
      <c r="A617" t="s">
        <v>1553</v>
      </c>
      <c r="B617" t="s">
        <v>1554</v>
      </c>
      <c r="C617" t="s">
        <v>1555</v>
      </c>
      <c r="D617" t="s">
        <v>1556</v>
      </c>
      <c r="E617" t="s">
        <v>4</v>
      </c>
      <c r="F617">
        <v>3944</v>
      </c>
      <c r="G617">
        <v>848</v>
      </c>
      <c r="H617" t="s">
        <v>13</v>
      </c>
      <c r="I617" t="b">
        <f t="shared" si="9"/>
        <v>0</v>
      </c>
    </row>
    <row r="618" spans="1:9" x14ac:dyDescent="0.2">
      <c r="A618" t="s">
        <v>4489</v>
      </c>
      <c r="B618" t="s">
        <v>4490</v>
      </c>
      <c r="C618" t="s">
        <v>2520</v>
      </c>
      <c r="D618" t="s">
        <v>3</v>
      </c>
      <c r="E618" t="s">
        <v>4</v>
      </c>
      <c r="F618">
        <v>143</v>
      </c>
      <c r="G618">
        <v>166</v>
      </c>
      <c r="H618" t="s">
        <v>645</v>
      </c>
      <c r="I618" t="b">
        <f t="shared" si="9"/>
        <v>0</v>
      </c>
    </row>
    <row r="619" spans="1:9" x14ac:dyDescent="0.2">
      <c r="A619" t="s">
        <v>6680</v>
      </c>
      <c r="B619" t="s">
        <v>6681</v>
      </c>
      <c r="C619" t="s">
        <v>2220</v>
      </c>
      <c r="D619" t="s">
        <v>101</v>
      </c>
      <c r="E619" t="s">
        <v>4</v>
      </c>
      <c r="F619">
        <v>10</v>
      </c>
      <c r="G619">
        <v>59</v>
      </c>
      <c r="H619" t="s">
        <v>1692</v>
      </c>
      <c r="I619" t="b">
        <f t="shared" si="9"/>
        <v>0</v>
      </c>
    </row>
    <row r="620" spans="1:9" x14ac:dyDescent="0.2">
      <c r="A620" t="s">
        <v>3739</v>
      </c>
      <c r="B620" t="s">
        <v>3740</v>
      </c>
      <c r="C620" t="s">
        <v>3741</v>
      </c>
      <c r="D620" t="s">
        <v>3742</v>
      </c>
      <c r="E620" t="s">
        <v>4</v>
      </c>
      <c r="F620">
        <v>80</v>
      </c>
      <c r="G620">
        <v>266</v>
      </c>
      <c r="H620" t="s">
        <v>645</v>
      </c>
      <c r="I620" t="b">
        <f t="shared" si="9"/>
        <v>0</v>
      </c>
    </row>
    <row r="621" spans="1:9" x14ac:dyDescent="0.2">
      <c r="A621" t="s">
        <v>4101</v>
      </c>
      <c r="B621" t="s">
        <v>4102</v>
      </c>
      <c r="C621" t="s">
        <v>3286</v>
      </c>
      <c r="D621" t="s">
        <v>3287</v>
      </c>
      <c r="E621" t="s">
        <v>4</v>
      </c>
      <c r="F621">
        <v>1977</v>
      </c>
      <c r="G621">
        <v>964</v>
      </c>
      <c r="H621" t="s">
        <v>13</v>
      </c>
      <c r="I621" t="b">
        <f t="shared" si="9"/>
        <v>0</v>
      </c>
    </row>
    <row r="622" spans="1:9" x14ac:dyDescent="0.2">
      <c r="A622" t="s">
        <v>3135</v>
      </c>
      <c r="B622" t="s">
        <v>3136</v>
      </c>
      <c r="C622" t="s">
        <v>1602</v>
      </c>
      <c r="D622" t="s">
        <v>3137</v>
      </c>
      <c r="E622" t="s">
        <v>4</v>
      </c>
      <c r="F622">
        <v>312</v>
      </c>
      <c r="G622">
        <v>1283</v>
      </c>
      <c r="H622" t="s">
        <v>13</v>
      </c>
      <c r="I622" t="b">
        <f t="shared" si="9"/>
        <v>0</v>
      </c>
    </row>
    <row r="623" spans="1:9" x14ac:dyDescent="0.2">
      <c r="A623" t="s">
        <v>2194</v>
      </c>
      <c r="B623" t="s">
        <v>2195</v>
      </c>
      <c r="C623" t="s">
        <v>1116</v>
      </c>
      <c r="D623" t="s">
        <v>2017</v>
      </c>
      <c r="E623" t="s">
        <v>4</v>
      </c>
      <c r="F623">
        <v>1605</v>
      </c>
      <c r="G623">
        <v>288</v>
      </c>
      <c r="H623" t="s">
        <v>13</v>
      </c>
      <c r="I623" t="b">
        <f t="shared" si="9"/>
        <v>0</v>
      </c>
    </row>
    <row r="624" spans="1:9" x14ac:dyDescent="0.2">
      <c r="A624" t="s">
        <v>524</v>
      </c>
      <c r="B624" t="s">
        <v>525</v>
      </c>
      <c r="C624" t="s">
        <v>526</v>
      </c>
      <c r="D624" t="s">
        <v>527</v>
      </c>
      <c r="E624" t="s">
        <v>4</v>
      </c>
      <c r="F624">
        <v>1431</v>
      </c>
      <c r="G624">
        <v>1784</v>
      </c>
      <c r="H624" t="s">
        <v>13</v>
      </c>
      <c r="I624" t="b">
        <f t="shared" si="9"/>
        <v>0</v>
      </c>
    </row>
    <row r="625" spans="1:9" x14ac:dyDescent="0.2">
      <c r="A625" t="s">
        <v>7100</v>
      </c>
      <c r="B625" t="s">
        <v>7101</v>
      </c>
      <c r="C625" t="s">
        <v>5036</v>
      </c>
      <c r="D625" t="s">
        <v>491</v>
      </c>
      <c r="E625" t="s">
        <v>4</v>
      </c>
      <c r="F625">
        <v>285</v>
      </c>
      <c r="G625">
        <v>355</v>
      </c>
      <c r="H625" t="s">
        <v>13</v>
      </c>
      <c r="I625" t="b">
        <f t="shared" si="9"/>
        <v>0</v>
      </c>
    </row>
    <row r="626" spans="1:9" x14ac:dyDescent="0.2">
      <c r="A626" t="s">
        <v>935</v>
      </c>
      <c r="B626" t="s">
        <v>936</v>
      </c>
      <c r="C626" t="s">
        <v>417</v>
      </c>
      <c r="D626" t="s">
        <v>3</v>
      </c>
      <c r="E626" t="s">
        <v>4</v>
      </c>
      <c r="F626">
        <v>300</v>
      </c>
      <c r="G626">
        <v>321</v>
      </c>
      <c r="H626" t="s">
        <v>13</v>
      </c>
      <c r="I626" t="b">
        <f t="shared" si="9"/>
        <v>0</v>
      </c>
    </row>
    <row r="627" spans="1:9" x14ac:dyDescent="0.2">
      <c r="A627" t="s">
        <v>4295</v>
      </c>
      <c r="B627" t="s">
        <v>4296</v>
      </c>
      <c r="C627" t="s">
        <v>4297</v>
      </c>
      <c r="D627" t="s">
        <v>3</v>
      </c>
      <c r="E627" t="s">
        <v>4</v>
      </c>
      <c r="F627">
        <v>57</v>
      </c>
      <c r="G627">
        <v>102</v>
      </c>
      <c r="H627" t="s">
        <v>13</v>
      </c>
      <c r="I627" t="b">
        <f t="shared" si="9"/>
        <v>0</v>
      </c>
    </row>
    <row r="628" spans="1:9" x14ac:dyDescent="0.2">
      <c r="A628" t="s">
        <v>6340</v>
      </c>
      <c r="B628" t="s">
        <v>6341</v>
      </c>
      <c r="C628" t="s">
        <v>28</v>
      </c>
      <c r="D628" t="s">
        <v>6342</v>
      </c>
      <c r="E628" t="s">
        <v>4</v>
      </c>
      <c r="F628">
        <v>668</v>
      </c>
      <c r="G628">
        <v>784</v>
      </c>
      <c r="H628" t="s">
        <v>13</v>
      </c>
      <c r="I628" t="b">
        <f t="shared" si="9"/>
        <v>0</v>
      </c>
    </row>
    <row r="629" spans="1:9" x14ac:dyDescent="0.2">
      <c r="A629" t="s">
        <v>1913</v>
      </c>
      <c r="B629" t="s">
        <v>1914</v>
      </c>
      <c r="C629" t="s">
        <v>1877</v>
      </c>
      <c r="D629" t="s">
        <v>3</v>
      </c>
      <c r="E629" t="s">
        <v>4</v>
      </c>
      <c r="F629">
        <v>14</v>
      </c>
      <c r="G629">
        <v>65</v>
      </c>
      <c r="H629" t="s">
        <v>13</v>
      </c>
      <c r="I629" t="b">
        <f t="shared" si="9"/>
        <v>0</v>
      </c>
    </row>
    <row r="630" spans="1:9" x14ac:dyDescent="0.2">
      <c r="A630" t="s">
        <v>2160</v>
      </c>
      <c r="B630" t="s">
        <v>2161</v>
      </c>
      <c r="C630" t="s">
        <v>28</v>
      </c>
      <c r="D630" t="s">
        <v>3</v>
      </c>
      <c r="E630" t="s">
        <v>4</v>
      </c>
      <c r="F630">
        <v>3</v>
      </c>
      <c r="G630">
        <v>1</v>
      </c>
      <c r="H630" t="s">
        <v>13</v>
      </c>
      <c r="I630" t="b">
        <f t="shared" si="9"/>
        <v>0</v>
      </c>
    </row>
    <row r="631" spans="1:9" x14ac:dyDescent="0.2">
      <c r="A631" t="s">
        <v>5460</v>
      </c>
      <c r="B631" t="s">
        <v>5461</v>
      </c>
      <c r="C631" t="s">
        <v>2091</v>
      </c>
      <c r="D631" t="s">
        <v>3</v>
      </c>
      <c r="E631" t="s">
        <v>4</v>
      </c>
      <c r="F631">
        <v>8</v>
      </c>
      <c r="G631">
        <v>79</v>
      </c>
      <c r="H631" t="s">
        <v>13</v>
      </c>
      <c r="I631" t="b">
        <f t="shared" si="9"/>
        <v>0</v>
      </c>
    </row>
    <row r="632" spans="1:9" x14ac:dyDescent="0.2">
      <c r="A632" t="s">
        <v>3693</v>
      </c>
      <c r="B632" t="s">
        <v>3694</v>
      </c>
      <c r="C632" t="s">
        <v>1510</v>
      </c>
      <c r="D632" t="s">
        <v>3</v>
      </c>
      <c r="E632" t="s">
        <v>4</v>
      </c>
      <c r="F632">
        <v>0</v>
      </c>
      <c r="G632">
        <v>5</v>
      </c>
      <c r="H632" t="s">
        <v>13</v>
      </c>
      <c r="I632" t="b">
        <f t="shared" si="9"/>
        <v>0</v>
      </c>
    </row>
    <row r="633" spans="1:9" x14ac:dyDescent="0.2">
      <c r="A633" t="s">
        <v>6771</v>
      </c>
      <c r="B633" t="s">
        <v>6772</v>
      </c>
      <c r="C633" t="s">
        <v>6773</v>
      </c>
      <c r="D633" t="s">
        <v>6774</v>
      </c>
      <c r="E633" t="s">
        <v>4</v>
      </c>
      <c r="F633">
        <v>2105</v>
      </c>
      <c r="G633">
        <v>3280</v>
      </c>
      <c r="H633" t="s">
        <v>13</v>
      </c>
      <c r="I633" t="b">
        <f t="shared" si="9"/>
        <v>0</v>
      </c>
    </row>
    <row r="634" spans="1:9" x14ac:dyDescent="0.2">
      <c r="A634" t="s">
        <v>826</v>
      </c>
      <c r="B634" t="s">
        <v>827</v>
      </c>
      <c r="C634" t="s">
        <v>828</v>
      </c>
      <c r="D634" t="s">
        <v>829</v>
      </c>
      <c r="E634" t="s">
        <v>4</v>
      </c>
      <c r="F634">
        <v>505</v>
      </c>
      <c r="G634">
        <v>82</v>
      </c>
      <c r="H634" t="s">
        <v>645</v>
      </c>
      <c r="I634" t="b">
        <f t="shared" si="9"/>
        <v>0</v>
      </c>
    </row>
    <row r="635" spans="1:9" x14ac:dyDescent="0.2">
      <c r="A635" t="s">
        <v>2935</v>
      </c>
      <c r="B635" t="s">
        <v>2936</v>
      </c>
      <c r="C635" t="s">
        <v>1656</v>
      </c>
      <c r="D635" t="s">
        <v>2937</v>
      </c>
      <c r="E635" t="s">
        <v>4</v>
      </c>
      <c r="F635">
        <v>438</v>
      </c>
      <c r="G635">
        <v>134</v>
      </c>
      <c r="H635" t="s">
        <v>13</v>
      </c>
      <c r="I635" t="b">
        <f t="shared" si="9"/>
        <v>0</v>
      </c>
    </row>
    <row r="636" spans="1:9" x14ac:dyDescent="0.2">
      <c r="A636" t="s">
        <v>287</v>
      </c>
      <c r="B636" t="s">
        <v>288</v>
      </c>
      <c r="C636" t="s">
        <v>289</v>
      </c>
      <c r="D636" t="s">
        <v>290</v>
      </c>
      <c r="E636" t="s">
        <v>4</v>
      </c>
      <c r="F636">
        <v>228</v>
      </c>
      <c r="G636">
        <v>1</v>
      </c>
      <c r="H636" t="s">
        <v>13</v>
      </c>
      <c r="I636" t="b">
        <f t="shared" si="9"/>
        <v>0</v>
      </c>
    </row>
    <row r="637" spans="1:9" x14ac:dyDescent="0.2">
      <c r="A637" t="s">
        <v>572</v>
      </c>
      <c r="B637" t="s">
        <v>573</v>
      </c>
      <c r="C637" t="s">
        <v>289</v>
      </c>
      <c r="D637" t="s">
        <v>290</v>
      </c>
      <c r="E637" t="s">
        <v>4</v>
      </c>
      <c r="F637">
        <v>228</v>
      </c>
      <c r="G637">
        <v>1</v>
      </c>
      <c r="H637" t="s">
        <v>13</v>
      </c>
      <c r="I637" t="b">
        <f t="shared" si="9"/>
        <v>0</v>
      </c>
    </row>
    <row r="638" spans="1:9" x14ac:dyDescent="0.2">
      <c r="A638" t="s">
        <v>888</v>
      </c>
      <c r="B638" t="s">
        <v>889</v>
      </c>
      <c r="C638" t="s">
        <v>289</v>
      </c>
      <c r="D638" t="s">
        <v>290</v>
      </c>
      <c r="E638" t="s">
        <v>4</v>
      </c>
      <c r="F638">
        <v>228</v>
      </c>
      <c r="G638">
        <v>1</v>
      </c>
      <c r="H638" t="s">
        <v>13</v>
      </c>
      <c r="I638" t="b">
        <f t="shared" si="9"/>
        <v>0</v>
      </c>
    </row>
    <row r="639" spans="1:9" x14ac:dyDescent="0.2">
      <c r="A639" t="s">
        <v>1557</v>
      </c>
      <c r="B639" t="s">
        <v>1558</v>
      </c>
      <c r="C639" t="s">
        <v>289</v>
      </c>
      <c r="D639" t="s">
        <v>290</v>
      </c>
      <c r="E639" t="s">
        <v>4</v>
      </c>
      <c r="F639">
        <v>228</v>
      </c>
      <c r="G639">
        <v>1</v>
      </c>
      <c r="H639" t="s">
        <v>13</v>
      </c>
      <c r="I639" t="b">
        <f t="shared" si="9"/>
        <v>0</v>
      </c>
    </row>
    <row r="640" spans="1:9" x14ac:dyDescent="0.2">
      <c r="A640" t="s">
        <v>1180</v>
      </c>
      <c r="B640" t="s">
        <v>1183</v>
      </c>
      <c r="C640" t="s">
        <v>289</v>
      </c>
      <c r="D640" t="s">
        <v>290</v>
      </c>
      <c r="E640" t="s">
        <v>4</v>
      </c>
      <c r="F640">
        <v>228</v>
      </c>
      <c r="G640">
        <v>1</v>
      </c>
      <c r="H640" t="s">
        <v>13</v>
      </c>
      <c r="I640" t="b">
        <f t="shared" si="9"/>
        <v>0</v>
      </c>
    </row>
    <row r="641" spans="1:9" x14ac:dyDescent="0.2">
      <c r="A641" t="s">
        <v>3894</v>
      </c>
      <c r="B641" t="s">
        <v>3895</v>
      </c>
      <c r="C641" t="s">
        <v>289</v>
      </c>
      <c r="D641" t="s">
        <v>290</v>
      </c>
      <c r="E641" t="s">
        <v>4</v>
      </c>
      <c r="F641">
        <v>228</v>
      </c>
      <c r="G641">
        <v>1</v>
      </c>
      <c r="H641" t="s">
        <v>13</v>
      </c>
      <c r="I641" t="b">
        <f t="shared" si="9"/>
        <v>0</v>
      </c>
    </row>
    <row r="642" spans="1:9" x14ac:dyDescent="0.2">
      <c r="A642" t="s">
        <v>5328</v>
      </c>
      <c r="B642" t="s">
        <v>5329</v>
      </c>
      <c r="C642" t="s">
        <v>289</v>
      </c>
      <c r="D642" t="s">
        <v>290</v>
      </c>
      <c r="E642" t="s">
        <v>4</v>
      </c>
      <c r="F642">
        <v>227</v>
      </c>
      <c r="G642">
        <v>1</v>
      </c>
      <c r="H642" t="s">
        <v>13</v>
      </c>
      <c r="I642" t="b">
        <f t="shared" si="9"/>
        <v>0</v>
      </c>
    </row>
    <row r="643" spans="1:9" x14ac:dyDescent="0.2">
      <c r="A643" t="s">
        <v>4972</v>
      </c>
      <c r="B643" t="s">
        <v>4978</v>
      </c>
      <c r="C643" t="s">
        <v>289</v>
      </c>
      <c r="D643" t="s">
        <v>290</v>
      </c>
      <c r="E643" t="s">
        <v>4</v>
      </c>
      <c r="F643">
        <v>227</v>
      </c>
      <c r="G643">
        <v>1</v>
      </c>
      <c r="H643" t="s">
        <v>13</v>
      </c>
      <c r="I643" t="b">
        <f t="shared" ref="I643:I706" si="10">isDup(B643, B644, 0.7)</f>
        <v>0</v>
      </c>
    </row>
    <row r="644" spans="1:9" x14ac:dyDescent="0.2">
      <c r="A644" t="s">
        <v>1917</v>
      </c>
      <c r="B644" t="s">
        <v>1920</v>
      </c>
      <c r="C644" t="s">
        <v>289</v>
      </c>
      <c r="D644" t="s">
        <v>290</v>
      </c>
      <c r="E644" t="s">
        <v>4</v>
      </c>
      <c r="F644">
        <v>228</v>
      </c>
      <c r="G644">
        <v>1</v>
      </c>
      <c r="H644" t="s">
        <v>13</v>
      </c>
      <c r="I644" t="b">
        <f t="shared" si="10"/>
        <v>0</v>
      </c>
    </row>
    <row r="645" spans="1:9" x14ac:dyDescent="0.2">
      <c r="A645" t="s">
        <v>3500</v>
      </c>
      <c r="B645" t="s">
        <v>3503</v>
      </c>
      <c r="C645" t="s">
        <v>289</v>
      </c>
      <c r="D645" t="s">
        <v>290</v>
      </c>
      <c r="E645" t="s">
        <v>4</v>
      </c>
      <c r="F645">
        <v>228</v>
      </c>
      <c r="G645">
        <v>1</v>
      </c>
      <c r="H645" t="s">
        <v>13</v>
      </c>
      <c r="I645" t="b">
        <f t="shared" si="10"/>
        <v>0</v>
      </c>
    </row>
    <row r="646" spans="1:9" x14ac:dyDescent="0.2">
      <c r="A646" t="s">
        <v>4259</v>
      </c>
      <c r="B646" t="s">
        <v>4262</v>
      </c>
      <c r="C646" t="s">
        <v>289</v>
      </c>
      <c r="D646" t="s">
        <v>290</v>
      </c>
      <c r="E646" t="s">
        <v>4</v>
      </c>
      <c r="F646">
        <v>228</v>
      </c>
      <c r="G646">
        <v>1</v>
      </c>
      <c r="H646" t="s">
        <v>13</v>
      </c>
      <c r="I646" t="b">
        <f t="shared" si="10"/>
        <v>0</v>
      </c>
    </row>
    <row r="647" spans="1:9" x14ac:dyDescent="0.2">
      <c r="A647" t="s">
        <v>4639</v>
      </c>
      <c r="B647" t="s">
        <v>4641</v>
      </c>
      <c r="C647" t="s">
        <v>289</v>
      </c>
      <c r="D647" t="s">
        <v>290</v>
      </c>
      <c r="E647" t="s">
        <v>4</v>
      </c>
      <c r="F647">
        <v>228</v>
      </c>
      <c r="G647">
        <v>1</v>
      </c>
      <c r="H647" t="s">
        <v>13</v>
      </c>
      <c r="I647" t="b">
        <f t="shared" si="10"/>
        <v>0</v>
      </c>
    </row>
    <row r="648" spans="1:9" x14ac:dyDescent="0.2">
      <c r="A648" t="s">
        <v>5614</v>
      </c>
      <c r="B648" t="s">
        <v>5615</v>
      </c>
      <c r="C648" t="s">
        <v>289</v>
      </c>
      <c r="D648" t="s">
        <v>290</v>
      </c>
      <c r="E648" t="s">
        <v>4</v>
      </c>
      <c r="F648">
        <v>227</v>
      </c>
      <c r="G648">
        <v>1</v>
      </c>
      <c r="H648" t="s">
        <v>13</v>
      </c>
      <c r="I648" t="b">
        <f t="shared" si="10"/>
        <v>0</v>
      </c>
    </row>
    <row r="649" spans="1:9" x14ac:dyDescent="0.2">
      <c r="A649" t="s">
        <v>6419</v>
      </c>
      <c r="B649" t="s">
        <v>6420</v>
      </c>
      <c r="C649" t="s">
        <v>289</v>
      </c>
      <c r="D649" t="s">
        <v>290</v>
      </c>
      <c r="E649" t="s">
        <v>4</v>
      </c>
      <c r="F649">
        <v>227</v>
      </c>
      <c r="G649">
        <v>1</v>
      </c>
      <c r="H649" t="s">
        <v>13</v>
      </c>
      <c r="I649" t="b">
        <f t="shared" si="10"/>
        <v>0</v>
      </c>
    </row>
    <row r="650" spans="1:9" x14ac:dyDescent="0.2">
      <c r="A650" t="s">
        <v>7054</v>
      </c>
      <c r="B650" t="s">
        <v>7056</v>
      </c>
      <c r="C650" t="s">
        <v>289</v>
      </c>
      <c r="D650" t="s">
        <v>290</v>
      </c>
      <c r="E650" t="s">
        <v>4</v>
      </c>
      <c r="F650">
        <v>227</v>
      </c>
      <c r="G650">
        <v>1</v>
      </c>
      <c r="H650" t="s">
        <v>13</v>
      </c>
      <c r="I650" t="b">
        <f t="shared" si="10"/>
        <v>0</v>
      </c>
    </row>
    <row r="651" spans="1:9" x14ac:dyDescent="0.2">
      <c r="A651" t="s">
        <v>2316</v>
      </c>
      <c r="B651" t="s">
        <v>2317</v>
      </c>
      <c r="C651" t="s">
        <v>289</v>
      </c>
      <c r="D651" t="s">
        <v>290</v>
      </c>
      <c r="E651" t="s">
        <v>4</v>
      </c>
      <c r="F651">
        <v>228</v>
      </c>
      <c r="G651">
        <v>1</v>
      </c>
      <c r="H651" t="s">
        <v>13</v>
      </c>
      <c r="I651" t="b">
        <f t="shared" si="10"/>
        <v>0</v>
      </c>
    </row>
    <row r="652" spans="1:9" x14ac:dyDescent="0.2">
      <c r="A652" t="s">
        <v>6014</v>
      </c>
      <c r="B652" t="s">
        <v>6017</v>
      </c>
      <c r="C652" t="s">
        <v>289</v>
      </c>
      <c r="D652" t="s">
        <v>290</v>
      </c>
      <c r="E652" t="s">
        <v>4</v>
      </c>
      <c r="F652">
        <v>227</v>
      </c>
      <c r="G652">
        <v>1</v>
      </c>
      <c r="H652" t="s">
        <v>13</v>
      </c>
      <c r="I652" t="b">
        <f t="shared" si="10"/>
        <v>0</v>
      </c>
    </row>
    <row r="653" spans="1:9" x14ac:dyDescent="0.2">
      <c r="A653" t="s">
        <v>2670</v>
      </c>
      <c r="B653" t="s">
        <v>2672</v>
      </c>
      <c r="C653" t="s">
        <v>289</v>
      </c>
      <c r="D653" t="s">
        <v>290</v>
      </c>
      <c r="E653" t="s">
        <v>4</v>
      </c>
      <c r="F653">
        <v>227</v>
      </c>
      <c r="G653">
        <v>1</v>
      </c>
      <c r="H653" t="s">
        <v>13</v>
      </c>
      <c r="I653" t="b">
        <f t="shared" si="10"/>
        <v>0</v>
      </c>
    </row>
    <row r="654" spans="1:9" x14ac:dyDescent="0.2">
      <c r="A654" t="s">
        <v>3091</v>
      </c>
      <c r="B654" t="s">
        <v>3092</v>
      </c>
      <c r="C654" t="s">
        <v>289</v>
      </c>
      <c r="D654" t="s">
        <v>290</v>
      </c>
      <c r="E654" t="s">
        <v>4</v>
      </c>
      <c r="F654">
        <v>228</v>
      </c>
      <c r="G654">
        <v>1</v>
      </c>
      <c r="H654" t="s">
        <v>13</v>
      </c>
      <c r="I654" t="b">
        <f t="shared" si="10"/>
        <v>0</v>
      </c>
    </row>
    <row r="655" spans="1:9" x14ac:dyDescent="0.2">
      <c r="A655" t="s">
        <v>6777</v>
      </c>
      <c r="B655" t="s">
        <v>6779</v>
      </c>
      <c r="C655" t="s">
        <v>289</v>
      </c>
      <c r="D655" t="s">
        <v>290</v>
      </c>
      <c r="E655" t="s">
        <v>4</v>
      </c>
      <c r="F655">
        <v>227</v>
      </c>
      <c r="G655">
        <v>1</v>
      </c>
      <c r="H655" t="s">
        <v>13</v>
      </c>
      <c r="I655" t="b">
        <f t="shared" si="10"/>
        <v>0</v>
      </c>
    </row>
    <row r="656" spans="1:9" x14ac:dyDescent="0.2">
      <c r="A656" t="s">
        <v>6632</v>
      </c>
      <c r="B656" t="s">
        <v>6633</v>
      </c>
      <c r="C656" t="s">
        <v>2520</v>
      </c>
      <c r="D656" t="s">
        <v>6634</v>
      </c>
      <c r="E656" t="s">
        <v>4</v>
      </c>
      <c r="F656">
        <v>79</v>
      </c>
      <c r="G656">
        <v>235</v>
      </c>
      <c r="H656" t="s">
        <v>13</v>
      </c>
      <c r="I656" t="b">
        <f t="shared" si="10"/>
        <v>0</v>
      </c>
    </row>
    <row r="657" spans="1:9" x14ac:dyDescent="0.2">
      <c r="A657" t="s">
        <v>1017</v>
      </c>
      <c r="B657" t="s">
        <v>1018</v>
      </c>
      <c r="C657" t="s">
        <v>1019</v>
      </c>
      <c r="D657" t="s">
        <v>3</v>
      </c>
      <c r="E657" t="s">
        <v>4</v>
      </c>
      <c r="F657">
        <v>1104</v>
      </c>
      <c r="G657">
        <v>1998</v>
      </c>
      <c r="H657" t="s">
        <v>13</v>
      </c>
      <c r="I657" t="b">
        <f t="shared" si="10"/>
        <v>0</v>
      </c>
    </row>
    <row r="658" spans="1:9" x14ac:dyDescent="0.2">
      <c r="A658" t="s">
        <v>5049</v>
      </c>
      <c r="B658" t="s">
        <v>5050</v>
      </c>
      <c r="C658" t="s">
        <v>653</v>
      </c>
      <c r="D658" t="s">
        <v>3</v>
      </c>
      <c r="E658" t="s">
        <v>4</v>
      </c>
      <c r="F658">
        <v>38</v>
      </c>
      <c r="G658">
        <v>14</v>
      </c>
      <c r="H658" t="s">
        <v>33</v>
      </c>
      <c r="I658" t="b">
        <f t="shared" si="10"/>
        <v>0</v>
      </c>
    </row>
    <row r="659" spans="1:9" x14ac:dyDescent="0.2">
      <c r="A659" t="s">
        <v>3676</v>
      </c>
      <c r="B659" t="s">
        <v>3677</v>
      </c>
      <c r="C659" t="s">
        <v>1210</v>
      </c>
      <c r="D659" t="s">
        <v>3</v>
      </c>
      <c r="E659" t="s">
        <v>4</v>
      </c>
      <c r="F659">
        <v>217</v>
      </c>
      <c r="G659">
        <v>238</v>
      </c>
      <c r="H659" t="s">
        <v>13</v>
      </c>
      <c r="I659" t="b">
        <f t="shared" si="10"/>
        <v>0</v>
      </c>
    </row>
    <row r="660" spans="1:9" x14ac:dyDescent="0.2">
      <c r="A660" t="s">
        <v>3872</v>
      </c>
      <c r="B660" t="s">
        <v>3873</v>
      </c>
      <c r="C660" t="s">
        <v>3874</v>
      </c>
      <c r="D660" t="s">
        <v>3</v>
      </c>
      <c r="E660" t="s">
        <v>4</v>
      </c>
      <c r="F660">
        <v>56</v>
      </c>
      <c r="G660">
        <v>314</v>
      </c>
      <c r="H660" t="s">
        <v>13</v>
      </c>
      <c r="I660" t="b">
        <f t="shared" si="10"/>
        <v>0</v>
      </c>
    </row>
    <row r="661" spans="1:9" x14ac:dyDescent="0.2">
      <c r="A661" t="s">
        <v>7008</v>
      </c>
      <c r="B661" t="s">
        <v>7009</v>
      </c>
      <c r="C661" t="s">
        <v>7010</v>
      </c>
      <c r="D661" t="s">
        <v>7011</v>
      </c>
      <c r="E661" t="s">
        <v>4</v>
      </c>
      <c r="F661">
        <v>28</v>
      </c>
      <c r="G661">
        <v>56</v>
      </c>
      <c r="H661" t="s">
        <v>13</v>
      </c>
      <c r="I661" t="b">
        <f t="shared" si="10"/>
        <v>0</v>
      </c>
    </row>
    <row r="662" spans="1:9" x14ac:dyDescent="0.2">
      <c r="A662" t="s">
        <v>4019</v>
      </c>
      <c r="B662" t="s">
        <v>4020</v>
      </c>
      <c r="C662" t="s">
        <v>4003</v>
      </c>
      <c r="D662" t="s">
        <v>4004</v>
      </c>
      <c r="E662" t="s">
        <v>4</v>
      </c>
      <c r="F662">
        <v>2396</v>
      </c>
      <c r="G662">
        <v>500</v>
      </c>
      <c r="H662" t="s">
        <v>13</v>
      </c>
      <c r="I662" t="b">
        <f t="shared" si="10"/>
        <v>0</v>
      </c>
    </row>
    <row r="663" spans="1:9" x14ac:dyDescent="0.2">
      <c r="A663" t="s">
        <v>5743</v>
      </c>
      <c r="B663" t="s">
        <v>5744</v>
      </c>
      <c r="C663" t="s">
        <v>219</v>
      </c>
      <c r="D663" t="s">
        <v>5745</v>
      </c>
      <c r="E663" t="s">
        <v>4</v>
      </c>
      <c r="F663">
        <v>465</v>
      </c>
      <c r="G663">
        <v>111</v>
      </c>
      <c r="H663" t="s">
        <v>13</v>
      </c>
      <c r="I663" t="b">
        <f t="shared" si="10"/>
        <v>0</v>
      </c>
    </row>
    <row r="664" spans="1:9" x14ac:dyDescent="0.2">
      <c r="A664" t="s">
        <v>6251</v>
      </c>
      <c r="B664" t="s">
        <v>6252</v>
      </c>
      <c r="C664" t="s">
        <v>6253</v>
      </c>
      <c r="D664" t="s">
        <v>3</v>
      </c>
      <c r="E664" t="s">
        <v>4</v>
      </c>
      <c r="F664">
        <v>1306</v>
      </c>
      <c r="G664">
        <v>1716</v>
      </c>
      <c r="H664" t="s">
        <v>13</v>
      </c>
      <c r="I664" t="b">
        <f t="shared" si="10"/>
        <v>0</v>
      </c>
    </row>
    <row r="665" spans="1:9" x14ac:dyDescent="0.2">
      <c r="A665" t="s">
        <v>3176</v>
      </c>
      <c r="B665" t="s">
        <v>3177</v>
      </c>
      <c r="C665" t="s">
        <v>476</v>
      </c>
      <c r="D665" t="s">
        <v>477</v>
      </c>
      <c r="E665" t="s">
        <v>4</v>
      </c>
      <c r="F665">
        <v>292</v>
      </c>
      <c r="G665">
        <v>0</v>
      </c>
      <c r="H665" t="s">
        <v>114</v>
      </c>
      <c r="I665" t="b">
        <f t="shared" si="10"/>
        <v>0</v>
      </c>
    </row>
    <row r="666" spans="1:9" x14ac:dyDescent="0.2">
      <c r="A666" t="s">
        <v>3278</v>
      </c>
      <c r="B666" t="s">
        <v>3279</v>
      </c>
      <c r="C666" t="s">
        <v>293</v>
      </c>
      <c r="D666" t="s">
        <v>3</v>
      </c>
      <c r="E666" t="s">
        <v>4</v>
      </c>
      <c r="F666">
        <v>3634</v>
      </c>
      <c r="G666">
        <v>3732</v>
      </c>
      <c r="H666" t="s">
        <v>13</v>
      </c>
      <c r="I666" t="b">
        <f t="shared" si="10"/>
        <v>0</v>
      </c>
    </row>
    <row r="667" spans="1:9" x14ac:dyDescent="0.2">
      <c r="A667" t="s">
        <v>4413</v>
      </c>
      <c r="B667" t="s">
        <v>4414</v>
      </c>
      <c r="C667" t="s">
        <v>4415</v>
      </c>
      <c r="D667" t="s">
        <v>4416</v>
      </c>
      <c r="E667" t="s">
        <v>4</v>
      </c>
      <c r="F667">
        <v>648</v>
      </c>
      <c r="G667">
        <v>784</v>
      </c>
      <c r="H667" t="s">
        <v>4417</v>
      </c>
      <c r="I667" t="b">
        <f t="shared" si="10"/>
        <v>0</v>
      </c>
    </row>
    <row r="668" spans="1:9" x14ac:dyDescent="0.2">
      <c r="A668" t="s">
        <v>2038</v>
      </c>
      <c r="B668" t="s">
        <v>2039</v>
      </c>
      <c r="C668" t="s">
        <v>2040</v>
      </c>
      <c r="D668" t="s">
        <v>3</v>
      </c>
      <c r="E668" t="s">
        <v>4</v>
      </c>
      <c r="F668">
        <v>27</v>
      </c>
      <c r="G668">
        <v>168</v>
      </c>
      <c r="H668" t="s">
        <v>1092</v>
      </c>
      <c r="I668" t="b">
        <f t="shared" si="10"/>
        <v>0</v>
      </c>
    </row>
    <row r="669" spans="1:9" x14ac:dyDescent="0.2">
      <c r="A669" t="s">
        <v>3539</v>
      </c>
      <c r="B669" t="s">
        <v>3540</v>
      </c>
      <c r="C669" t="s">
        <v>1230</v>
      </c>
      <c r="D669" t="s">
        <v>1231</v>
      </c>
      <c r="E669" t="s">
        <v>4</v>
      </c>
      <c r="F669">
        <v>427</v>
      </c>
      <c r="G669">
        <v>768</v>
      </c>
      <c r="H669" t="s">
        <v>13</v>
      </c>
      <c r="I669" t="b">
        <f t="shared" si="10"/>
        <v>1</v>
      </c>
    </row>
    <row r="670" spans="1:9" x14ac:dyDescent="0.2">
      <c r="A670" t="s">
        <v>4723</v>
      </c>
      <c r="B670" t="s">
        <v>4724</v>
      </c>
      <c r="C670" t="s">
        <v>3968</v>
      </c>
      <c r="D670" t="s">
        <v>113</v>
      </c>
      <c r="E670" t="s">
        <v>4</v>
      </c>
      <c r="F670">
        <v>71</v>
      </c>
      <c r="G670">
        <v>179</v>
      </c>
      <c r="H670" t="s">
        <v>13</v>
      </c>
      <c r="I670" t="b">
        <f t="shared" si="10"/>
        <v>0</v>
      </c>
    </row>
    <row r="671" spans="1:9" x14ac:dyDescent="0.2">
      <c r="A671" t="s">
        <v>5168</v>
      </c>
      <c r="B671" t="s">
        <v>5169</v>
      </c>
      <c r="C671" t="s">
        <v>5170</v>
      </c>
      <c r="D671" t="s">
        <v>5171</v>
      </c>
      <c r="E671" t="s">
        <v>4</v>
      </c>
      <c r="F671">
        <v>5153</v>
      </c>
      <c r="G671">
        <v>508</v>
      </c>
      <c r="H671" t="s">
        <v>5</v>
      </c>
      <c r="I671" t="b">
        <f t="shared" si="10"/>
        <v>0</v>
      </c>
    </row>
    <row r="672" spans="1:9" x14ac:dyDescent="0.2">
      <c r="A672" t="s">
        <v>6780</v>
      </c>
      <c r="B672" t="s">
        <v>6781</v>
      </c>
      <c r="C672" t="s">
        <v>6782</v>
      </c>
      <c r="D672" t="s">
        <v>1817</v>
      </c>
      <c r="E672" t="s">
        <v>4</v>
      </c>
      <c r="F672">
        <v>3752</v>
      </c>
      <c r="G672">
        <v>1</v>
      </c>
      <c r="H672" t="s">
        <v>13</v>
      </c>
      <c r="I672" t="b">
        <f t="shared" si="10"/>
        <v>0</v>
      </c>
    </row>
    <row r="673" spans="1:9" x14ac:dyDescent="0.2">
      <c r="A673" t="s">
        <v>294</v>
      </c>
      <c r="B673" t="s">
        <v>295</v>
      </c>
      <c r="C673" t="s">
        <v>296</v>
      </c>
      <c r="D673" t="s">
        <v>3</v>
      </c>
      <c r="E673" t="s">
        <v>4</v>
      </c>
      <c r="F673">
        <v>27</v>
      </c>
      <c r="G673">
        <v>23</v>
      </c>
      <c r="H673" t="s">
        <v>13</v>
      </c>
      <c r="I673" t="b">
        <f t="shared" si="10"/>
        <v>0</v>
      </c>
    </row>
    <row r="674" spans="1:9" x14ac:dyDescent="0.2">
      <c r="A674" t="s">
        <v>4418</v>
      </c>
      <c r="B674" t="s">
        <v>4419</v>
      </c>
      <c r="C674" t="s">
        <v>4420</v>
      </c>
      <c r="D674" t="s">
        <v>4421</v>
      </c>
      <c r="E674" t="s">
        <v>4</v>
      </c>
      <c r="F674">
        <v>240</v>
      </c>
      <c r="G674">
        <v>154</v>
      </c>
      <c r="H674" t="s">
        <v>13</v>
      </c>
      <c r="I674" t="b">
        <f t="shared" si="10"/>
        <v>0</v>
      </c>
    </row>
    <row r="675" spans="1:9" x14ac:dyDescent="0.2">
      <c r="A675" t="s">
        <v>5369</v>
      </c>
      <c r="B675" t="s">
        <v>5370</v>
      </c>
      <c r="C675" t="s">
        <v>177</v>
      </c>
      <c r="D675" t="s">
        <v>3</v>
      </c>
      <c r="E675" t="s">
        <v>4</v>
      </c>
      <c r="F675">
        <v>517</v>
      </c>
      <c r="G675">
        <v>411</v>
      </c>
      <c r="H675" t="s">
        <v>13</v>
      </c>
      <c r="I675" t="b">
        <f t="shared" si="10"/>
        <v>0</v>
      </c>
    </row>
    <row r="676" spans="1:9" x14ac:dyDescent="0.2">
      <c r="A676" t="s">
        <v>4549</v>
      </c>
      <c r="B676" t="s">
        <v>4550</v>
      </c>
      <c r="C676" t="s">
        <v>1009</v>
      </c>
      <c r="D676" t="s">
        <v>4551</v>
      </c>
      <c r="E676" t="s">
        <v>4</v>
      </c>
      <c r="F676">
        <v>713</v>
      </c>
      <c r="G676">
        <v>798</v>
      </c>
      <c r="H676" t="s">
        <v>13</v>
      </c>
      <c r="I676" t="b">
        <f t="shared" si="10"/>
        <v>0</v>
      </c>
    </row>
    <row r="677" spans="1:9" x14ac:dyDescent="0.2">
      <c r="A677" t="s">
        <v>444</v>
      </c>
      <c r="B677" t="s">
        <v>445</v>
      </c>
      <c r="C677" t="s">
        <v>446</v>
      </c>
      <c r="D677" t="s">
        <v>447</v>
      </c>
      <c r="E677" t="s">
        <v>4</v>
      </c>
      <c r="F677">
        <v>6122</v>
      </c>
      <c r="G677">
        <v>384</v>
      </c>
      <c r="H677" t="s">
        <v>13</v>
      </c>
      <c r="I677" t="b">
        <f t="shared" si="10"/>
        <v>0</v>
      </c>
    </row>
    <row r="678" spans="1:9" x14ac:dyDescent="0.2">
      <c r="A678" t="s">
        <v>5828</v>
      </c>
      <c r="B678" t="s">
        <v>5829</v>
      </c>
      <c r="C678" t="s">
        <v>4363</v>
      </c>
      <c r="D678" t="s">
        <v>3</v>
      </c>
      <c r="E678" t="s">
        <v>4</v>
      </c>
      <c r="F678">
        <v>83</v>
      </c>
      <c r="G678">
        <v>149</v>
      </c>
      <c r="H678" t="s">
        <v>13</v>
      </c>
      <c r="I678" t="b">
        <f t="shared" si="10"/>
        <v>0</v>
      </c>
    </row>
    <row r="679" spans="1:9" x14ac:dyDescent="0.2">
      <c r="A679" t="s">
        <v>933</v>
      </c>
      <c r="B679" t="s">
        <v>934</v>
      </c>
      <c r="C679" t="s">
        <v>895</v>
      </c>
      <c r="D679" t="s">
        <v>3</v>
      </c>
      <c r="E679" t="s">
        <v>4</v>
      </c>
      <c r="F679">
        <v>1564</v>
      </c>
      <c r="G679">
        <v>5000</v>
      </c>
      <c r="H679" t="s">
        <v>13</v>
      </c>
      <c r="I679" t="b">
        <f t="shared" si="10"/>
        <v>0</v>
      </c>
    </row>
    <row r="680" spans="1:9" x14ac:dyDescent="0.2">
      <c r="A680" t="s">
        <v>4383</v>
      </c>
      <c r="B680" t="s">
        <v>4384</v>
      </c>
      <c r="C680" t="s">
        <v>1138</v>
      </c>
      <c r="D680" t="s">
        <v>3</v>
      </c>
      <c r="E680" t="s">
        <v>4</v>
      </c>
      <c r="F680">
        <v>4537</v>
      </c>
      <c r="G680">
        <v>398</v>
      </c>
      <c r="H680" t="s">
        <v>13</v>
      </c>
      <c r="I680" t="b">
        <f t="shared" si="10"/>
        <v>0</v>
      </c>
    </row>
    <row r="681" spans="1:9" x14ac:dyDescent="0.2">
      <c r="A681" t="s">
        <v>600</v>
      </c>
      <c r="B681" t="s">
        <v>601</v>
      </c>
      <c r="C681" t="s">
        <v>568</v>
      </c>
      <c r="D681" t="s">
        <v>3</v>
      </c>
      <c r="E681" t="s">
        <v>4</v>
      </c>
      <c r="F681">
        <v>93</v>
      </c>
      <c r="G681">
        <v>2</v>
      </c>
      <c r="H681" t="s">
        <v>76</v>
      </c>
      <c r="I681" t="b">
        <f t="shared" si="10"/>
        <v>1</v>
      </c>
    </row>
    <row r="682" spans="1:9" x14ac:dyDescent="0.2">
      <c r="A682" t="s">
        <v>1203</v>
      </c>
      <c r="B682" t="s">
        <v>1204</v>
      </c>
      <c r="C682" t="s">
        <v>568</v>
      </c>
      <c r="D682" t="s">
        <v>3</v>
      </c>
      <c r="E682" t="s">
        <v>4</v>
      </c>
      <c r="F682">
        <v>93</v>
      </c>
      <c r="G682">
        <v>2</v>
      </c>
      <c r="H682" t="s">
        <v>76</v>
      </c>
      <c r="I682" t="b">
        <f t="shared" si="10"/>
        <v>1</v>
      </c>
    </row>
    <row r="683" spans="1:9" x14ac:dyDescent="0.2">
      <c r="A683" t="s">
        <v>3514</v>
      </c>
      <c r="B683" t="s">
        <v>3515</v>
      </c>
      <c r="C683" t="s">
        <v>568</v>
      </c>
      <c r="D683" t="s">
        <v>3</v>
      </c>
      <c r="E683" t="s">
        <v>4</v>
      </c>
      <c r="F683">
        <v>93</v>
      </c>
      <c r="G683">
        <v>2</v>
      </c>
      <c r="H683" t="s">
        <v>76</v>
      </c>
      <c r="I683" t="b">
        <f t="shared" si="10"/>
        <v>1</v>
      </c>
    </row>
    <row r="684" spans="1:9" x14ac:dyDescent="0.2">
      <c r="A684" t="s">
        <v>5000</v>
      </c>
      <c r="B684" t="s">
        <v>5001</v>
      </c>
      <c r="C684" t="s">
        <v>568</v>
      </c>
      <c r="D684" t="s">
        <v>3</v>
      </c>
      <c r="E684" t="s">
        <v>4</v>
      </c>
      <c r="F684">
        <v>93</v>
      </c>
      <c r="G684">
        <v>2</v>
      </c>
      <c r="H684" t="s">
        <v>76</v>
      </c>
      <c r="I684" t="b">
        <f t="shared" si="10"/>
        <v>1</v>
      </c>
    </row>
    <row r="685" spans="1:9" x14ac:dyDescent="0.2">
      <c r="A685" t="s">
        <v>7069</v>
      </c>
      <c r="B685" t="s">
        <v>7070</v>
      </c>
      <c r="C685" t="s">
        <v>568</v>
      </c>
      <c r="D685" t="s">
        <v>3</v>
      </c>
      <c r="E685" t="s">
        <v>4</v>
      </c>
      <c r="F685">
        <v>93</v>
      </c>
      <c r="G685">
        <v>2</v>
      </c>
      <c r="H685" t="s">
        <v>76</v>
      </c>
      <c r="I685" t="b">
        <f t="shared" si="10"/>
        <v>1</v>
      </c>
    </row>
    <row r="686" spans="1:9" x14ac:dyDescent="0.2">
      <c r="A686" t="s">
        <v>1931</v>
      </c>
      <c r="B686" t="s">
        <v>1932</v>
      </c>
      <c r="C686" t="s">
        <v>568</v>
      </c>
      <c r="D686" t="s">
        <v>3</v>
      </c>
      <c r="E686" t="s">
        <v>4</v>
      </c>
      <c r="F686">
        <v>93</v>
      </c>
      <c r="G686">
        <v>2</v>
      </c>
      <c r="H686" t="s">
        <v>76</v>
      </c>
      <c r="I686" t="b">
        <f t="shared" si="10"/>
        <v>1</v>
      </c>
    </row>
    <row r="687" spans="1:9" x14ac:dyDescent="0.2">
      <c r="A687" t="s">
        <v>4274</v>
      </c>
      <c r="B687" t="s">
        <v>4275</v>
      </c>
      <c r="C687" t="s">
        <v>568</v>
      </c>
      <c r="D687" t="s">
        <v>3</v>
      </c>
      <c r="E687" t="s">
        <v>4</v>
      </c>
      <c r="F687">
        <v>93</v>
      </c>
      <c r="G687">
        <v>2</v>
      </c>
      <c r="H687" t="s">
        <v>76</v>
      </c>
      <c r="I687" t="b">
        <f t="shared" si="10"/>
        <v>1</v>
      </c>
    </row>
    <row r="688" spans="1:9" x14ac:dyDescent="0.2">
      <c r="A688" t="s">
        <v>6436</v>
      </c>
      <c r="B688" t="s">
        <v>6437</v>
      </c>
      <c r="C688" t="s">
        <v>568</v>
      </c>
      <c r="D688" t="s">
        <v>3</v>
      </c>
      <c r="E688" t="s">
        <v>4</v>
      </c>
      <c r="F688">
        <v>93</v>
      </c>
      <c r="G688">
        <v>2</v>
      </c>
      <c r="H688" t="s">
        <v>76</v>
      </c>
      <c r="I688" t="b">
        <f t="shared" si="10"/>
        <v>1</v>
      </c>
    </row>
    <row r="689" spans="1:9" x14ac:dyDescent="0.2">
      <c r="A689" t="s">
        <v>5629</v>
      </c>
      <c r="B689" t="s">
        <v>5630</v>
      </c>
      <c r="C689" t="s">
        <v>568</v>
      </c>
      <c r="D689" t="s">
        <v>3</v>
      </c>
      <c r="E689" t="s">
        <v>4</v>
      </c>
      <c r="F689">
        <v>93</v>
      </c>
      <c r="G689">
        <v>2</v>
      </c>
      <c r="H689" t="s">
        <v>76</v>
      </c>
      <c r="I689" t="b">
        <f t="shared" si="10"/>
        <v>1</v>
      </c>
    </row>
    <row r="690" spans="1:9" x14ac:dyDescent="0.2">
      <c r="A690" t="s">
        <v>2685</v>
      </c>
      <c r="B690" t="s">
        <v>2686</v>
      </c>
      <c r="C690" t="s">
        <v>568</v>
      </c>
      <c r="D690" t="s">
        <v>3</v>
      </c>
      <c r="E690" t="s">
        <v>4</v>
      </c>
      <c r="F690">
        <v>93</v>
      </c>
      <c r="G690">
        <v>2</v>
      </c>
      <c r="H690" t="s">
        <v>76</v>
      </c>
      <c r="I690" t="b">
        <f t="shared" si="10"/>
        <v>0</v>
      </c>
    </row>
    <row r="691" spans="1:9" x14ac:dyDescent="0.2">
      <c r="A691" t="s">
        <v>6188</v>
      </c>
      <c r="B691" t="s">
        <v>6189</v>
      </c>
      <c r="C691" t="s">
        <v>6190</v>
      </c>
      <c r="D691" t="s">
        <v>6191</v>
      </c>
      <c r="E691" t="s">
        <v>4</v>
      </c>
      <c r="F691">
        <v>2604</v>
      </c>
      <c r="G691">
        <v>370</v>
      </c>
      <c r="H691" t="s">
        <v>13</v>
      </c>
      <c r="I691" t="b">
        <f t="shared" si="10"/>
        <v>0</v>
      </c>
    </row>
    <row r="692" spans="1:9" x14ac:dyDescent="0.2">
      <c r="A692" t="s">
        <v>5078</v>
      </c>
      <c r="B692" t="s">
        <v>5079</v>
      </c>
      <c r="C692" t="s">
        <v>1618</v>
      </c>
      <c r="D692" t="s">
        <v>3</v>
      </c>
      <c r="E692" t="s">
        <v>4</v>
      </c>
      <c r="F692">
        <v>15</v>
      </c>
      <c r="G692">
        <v>0</v>
      </c>
      <c r="H692" t="s">
        <v>33</v>
      </c>
      <c r="I692" t="b">
        <f t="shared" si="10"/>
        <v>1</v>
      </c>
    </row>
    <row r="693" spans="1:9" x14ac:dyDescent="0.2">
      <c r="A693" t="s">
        <v>6507</v>
      </c>
      <c r="B693" t="s">
        <v>6508</v>
      </c>
      <c r="C693" t="s">
        <v>1618</v>
      </c>
      <c r="D693" t="s">
        <v>3</v>
      </c>
      <c r="E693" t="s">
        <v>4</v>
      </c>
      <c r="F693">
        <v>15</v>
      </c>
      <c r="G693">
        <v>0</v>
      </c>
      <c r="H693" t="s">
        <v>33</v>
      </c>
      <c r="I693" t="b">
        <f t="shared" si="10"/>
        <v>0</v>
      </c>
    </row>
    <row r="694" spans="1:9" x14ac:dyDescent="0.2">
      <c r="A694" t="s">
        <v>7021</v>
      </c>
      <c r="B694" t="s">
        <v>7022</v>
      </c>
      <c r="C694" t="s">
        <v>568</v>
      </c>
      <c r="D694" t="s">
        <v>3</v>
      </c>
      <c r="E694" t="s">
        <v>4</v>
      </c>
      <c r="F694">
        <v>19</v>
      </c>
      <c r="G694">
        <v>184</v>
      </c>
      <c r="H694" t="s">
        <v>645</v>
      </c>
      <c r="I694" t="b">
        <f t="shared" si="10"/>
        <v>0</v>
      </c>
    </row>
    <row r="695" spans="1:9" x14ac:dyDescent="0.2">
      <c r="A695" t="s">
        <v>6956</v>
      </c>
      <c r="B695" t="s">
        <v>6957</v>
      </c>
      <c r="C695" t="s">
        <v>293</v>
      </c>
      <c r="D695" t="s">
        <v>569</v>
      </c>
      <c r="E695" t="s">
        <v>4</v>
      </c>
      <c r="F695">
        <v>1032</v>
      </c>
      <c r="G695">
        <v>189</v>
      </c>
      <c r="H695" t="s">
        <v>13</v>
      </c>
      <c r="I695" t="b">
        <f t="shared" si="10"/>
        <v>0</v>
      </c>
    </row>
    <row r="696" spans="1:9" x14ac:dyDescent="0.2">
      <c r="A696" t="s">
        <v>5537</v>
      </c>
      <c r="B696" t="s">
        <v>5538</v>
      </c>
      <c r="C696" t="s">
        <v>293</v>
      </c>
      <c r="D696" t="s">
        <v>569</v>
      </c>
      <c r="E696" t="s">
        <v>4</v>
      </c>
      <c r="F696">
        <v>1032</v>
      </c>
      <c r="G696">
        <v>189</v>
      </c>
      <c r="H696" t="s">
        <v>13</v>
      </c>
      <c r="I696" t="b">
        <f t="shared" si="10"/>
        <v>0</v>
      </c>
    </row>
    <row r="697" spans="1:9" x14ac:dyDescent="0.2">
      <c r="A697" t="s">
        <v>2205</v>
      </c>
      <c r="B697" t="s">
        <v>2206</v>
      </c>
      <c r="C697" t="s">
        <v>293</v>
      </c>
      <c r="D697" t="s">
        <v>569</v>
      </c>
      <c r="E697" t="s">
        <v>4</v>
      </c>
      <c r="F697">
        <v>1032</v>
      </c>
      <c r="G697">
        <v>189</v>
      </c>
      <c r="H697" t="s">
        <v>13</v>
      </c>
      <c r="I697" t="b">
        <f t="shared" si="10"/>
        <v>0</v>
      </c>
    </row>
    <row r="698" spans="1:9" x14ac:dyDescent="0.2">
      <c r="A698" t="s">
        <v>5770</v>
      </c>
      <c r="B698" t="s">
        <v>5771</v>
      </c>
      <c r="C698" t="s">
        <v>293</v>
      </c>
      <c r="D698" t="s">
        <v>569</v>
      </c>
      <c r="E698" t="s">
        <v>4</v>
      </c>
      <c r="F698">
        <v>1032</v>
      </c>
      <c r="G698">
        <v>189</v>
      </c>
      <c r="H698" t="s">
        <v>13</v>
      </c>
      <c r="I698" t="b">
        <f t="shared" si="10"/>
        <v>0</v>
      </c>
    </row>
    <row r="699" spans="1:9" x14ac:dyDescent="0.2">
      <c r="A699" t="s">
        <v>6777</v>
      </c>
      <c r="B699" t="s">
        <v>6778</v>
      </c>
      <c r="C699" t="s">
        <v>293</v>
      </c>
      <c r="D699" t="s">
        <v>569</v>
      </c>
      <c r="E699" t="s">
        <v>4</v>
      </c>
      <c r="F699">
        <v>1032</v>
      </c>
      <c r="G699">
        <v>189</v>
      </c>
      <c r="H699" t="s">
        <v>13</v>
      </c>
      <c r="I699" t="b">
        <f t="shared" si="10"/>
        <v>0</v>
      </c>
    </row>
    <row r="700" spans="1:9" x14ac:dyDescent="0.2">
      <c r="A700" t="s">
        <v>811</v>
      </c>
      <c r="B700" t="s">
        <v>812</v>
      </c>
      <c r="C700" t="s">
        <v>293</v>
      </c>
      <c r="D700" t="s">
        <v>569</v>
      </c>
      <c r="E700" t="s">
        <v>4</v>
      </c>
      <c r="F700">
        <v>1031</v>
      </c>
      <c r="G700">
        <v>189</v>
      </c>
      <c r="H700" t="s">
        <v>13</v>
      </c>
      <c r="I700" t="b">
        <f t="shared" si="10"/>
        <v>0</v>
      </c>
    </row>
    <row r="701" spans="1:9" x14ac:dyDescent="0.2">
      <c r="A701" t="s">
        <v>3500</v>
      </c>
      <c r="B701" t="s">
        <v>3501</v>
      </c>
      <c r="C701" t="s">
        <v>293</v>
      </c>
      <c r="D701" t="s">
        <v>569</v>
      </c>
      <c r="E701" t="s">
        <v>4</v>
      </c>
      <c r="F701">
        <v>1031</v>
      </c>
      <c r="G701">
        <v>189</v>
      </c>
      <c r="H701" t="s">
        <v>13</v>
      </c>
      <c r="I701" t="b">
        <f t="shared" si="10"/>
        <v>0</v>
      </c>
    </row>
    <row r="702" spans="1:9" x14ac:dyDescent="0.2">
      <c r="A702" t="s">
        <v>1495</v>
      </c>
      <c r="B702" t="s">
        <v>1496</v>
      </c>
      <c r="C702" t="s">
        <v>53</v>
      </c>
      <c r="D702" t="s">
        <v>54</v>
      </c>
      <c r="E702" t="s">
        <v>4</v>
      </c>
      <c r="F702">
        <v>629</v>
      </c>
      <c r="G702">
        <v>139</v>
      </c>
      <c r="H702" t="s">
        <v>13</v>
      </c>
      <c r="I702" t="b">
        <f t="shared" si="10"/>
        <v>0</v>
      </c>
    </row>
    <row r="703" spans="1:9" x14ac:dyDescent="0.2">
      <c r="A703" t="s">
        <v>5877</v>
      </c>
      <c r="B703" t="s">
        <v>5878</v>
      </c>
      <c r="C703" t="s">
        <v>3435</v>
      </c>
      <c r="D703" t="s">
        <v>3</v>
      </c>
      <c r="E703" t="s">
        <v>4</v>
      </c>
      <c r="F703">
        <v>19</v>
      </c>
      <c r="G703">
        <v>57</v>
      </c>
      <c r="H703" t="s">
        <v>13</v>
      </c>
      <c r="I703" t="b">
        <f t="shared" si="10"/>
        <v>0</v>
      </c>
    </row>
    <row r="704" spans="1:9" x14ac:dyDescent="0.2">
      <c r="A704" t="s">
        <v>2991</v>
      </c>
      <c r="B704" t="s">
        <v>2992</v>
      </c>
      <c r="C704" t="s">
        <v>2020</v>
      </c>
      <c r="D704" t="s">
        <v>3</v>
      </c>
      <c r="E704" t="s">
        <v>4</v>
      </c>
      <c r="F704">
        <v>7</v>
      </c>
      <c r="G704">
        <v>88</v>
      </c>
      <c r="H704" t="s">
        <v>13</v>
      </c>
      <c r="I704" t="b">
        <f t="shared" si="10"/>
        <v>0</v>
      </c>
    </row>
    <row r="705" spans="1:9" x14ac:dyDescent="0.2">
      <c r="A705" t="s">
        <v>1860</v>
      </c>
      <c r="B705" t="s">
        <v>1861</v>
      </c>
      <c r="C705" t="s">
        <v>1862</v>
      </c>
      <c r="D705" t="s">
        <v>1863</v>
      </c>
      <c r="E705" t="s">
        <v>4</v>
      </c>
      <c r="F705">
        <v>339</v>
      </c>
      <c r="G705">
        <v>430</v>
      </c>
      <c r="H705" t="s">
        <v>13</v>
      </c>
      <c r="I705" t="b">
        <f t="shared" si="10"/>
        <v>0</v>
      </c>
    </row>
    <row r="706" spans="1:9" x14ac:dyDescent="0.2">
      <c r="A706" t="s">
        <v>3202</v>
      </c>
      <c r="B706" t="s">
        <v>3203</v>
      </c>
      <c r="C706" t="s">
        <v>3204</v>
      </c>
      <c r="D706" t="s">
        <v>3</v>
      </c>
      <c r="E706" t="s">
        <v>4</v>
      </c>
      <c r="F706">
        <v>474</v>
      </c>
      <c r="G706">
        <v>247</v>
      </c>
      <c r="H706" t="s">
        <v>13</v>
      </c>
      <c r="I706" t="b">
        <f t="shared" si="10"/>
        <v>0</v>
      </c>
    </row>
    <row r="707" spans="1:9" x14ac:dyDescent="0.2">
      <c r="A707" t="s">
        <v>5843</v>
      </c>
      <c r="B707" t="s">
        <v>5844</v>
      </c>
      <c r="C707" t="s">
        <v>5845</v>
      </c>
      <c r="D707" t="s">
        <v>5846</v>
      </c>
      <c r="E707" t="s">
        <v>4</v>
      </c>
      <c r="F707">
        <v>474</v>
      </c>
      <c r="G707">
        <v>626</v>
      </c>
      <c r="H707" t="s">
        <v>13</v>
      </c>
      <c r="I707" t="b">
        <f t="shared" ref="I707:I770" si="11">isDup(B707, B708, 0.7)</f>
        <v>0</v>
      </c>
    </row>
    <row r="708" spans="1:9" x14ac:dyDescent="0.2">
      <c r="A708" t="s">
        <v>1864</v>
      </c>
      <c r="B708" t="s">
        <v>1865</v>
      </c>
      <c r="C708" t="s">
        <v>1866</v>
      </c>
      <c r="D708" t="s">
        <v>1867</v>
      </c>
      <c r="E708" t="s">
        <v>4</v>
      </c>
      <c r="F708">
        <v>463</v>
      </c>
      <c r="G708">
        <v>222</v>
      </c>
      <c r="H708" t="s">
        <v>13</v>
      </c>
      <c r="I708" t="b">
        <f t="shared" si="11"/>
        <v>0</v>
      </c>
    </row>
    <row r="709" spans="1:9" x14ac:dyDescent="0.2">
      <c r="A709" t="s">
        <v>5365</v>
      </c>
      <c r="B709" t="s">
        <v>5366</v>
      </c>
      <c r="C709" t="s">
        <v>520</v>
      </c>
      <c r="D709" t="s">
        <v>1848</v>
      </c>
      <c r="E709" t="s">
        <v>4</v>
      </c>
      <c r="F709">
        <v>239</v>
      </c>
      <c r="G709">
        <v>226</v>
      </c>
      <c r="H709" t="s">
        <v>13</v>
      </c>
      <c r="I709" t="b">
        <f t="shared" si="11"/>
        <v>0</v>
      </c>
    </row>
    <row r="710" spans="1:9" x14ac:dyDescent="0.2">
      <c r="A710" t="s">
        <v>6053</v>
      </c>
      <c r="B710" t="s">
        <v>6054</v>
      </c>
      <c r="C710" t="s">
        <v>2425</v>
      </c>
      <c r="D710" t="s">
        <v>6055</v>
      </c>
      <c r="E710" t="s">
        <v>4</v>
      </c>
      <c r="F710">
        <v>1055</v>
      </c>
      <c r="G710">
        <v>1475</v>
      </c>
      <c r="H710" t="s">
        <v>13</v>
      </c>
      <c r="I710" t="b">
        <f t="shared" si="11"/>
        <v>0</v>
      </c>
    </row>
    <row r="711" spans="1:9" x14ac:dyDescent="0.2">
      <c r="A711" t="s">
        <v>6014</v>
      </c>
      <c r="B711" t="s">
        <v>6015</v>
      </c>
      <c r="C711" t="s">
        <v>476</v>
      </c>
      <c r="D711" t="s">
        <v>5523</v>
      </c>
      <c r="E711" t="s">
        <v>4</v>
      </c>
      <c r="F711">
        <v>241</v>
      </c>
      <c r="G711">
        <v>317</v>
      </c>
      <c r="H711" t="s">
        <v>13</v>
      </c>
      <c r="I711" t="b">
        <f t="shared" si="11"/>
        <v>0</v>
      </c>
    </row>
    <row r="712" spans="1:9" x14ac:dyDescent="0.2">
      <c r="A712" t="s">
        <v>5815</v>
      </c>
      <c r="B712" t="s">
        <v>5816</v>
      </c>
      <c r="C712" t="s">
        <v>828</v>
      </c>
      <c r="D712" t="s">
        <v>3</v>
      </c>
      <c r="E712" t="s">
        <v>4</v>
      </c>
      <c r="F712">
        <v>204</v>
      </c>
      <c r="G712">
        <v>328</v>
      </c>
      <c r="H712" t="s">
        <v>13</v>
      </c>
      <c r="I712" t="b">
        <f t="shared" si="11"/>
        <v>0</v>
      </c>
    </row>
    <row r="713" spans="1:9" x14ac:dyDescent="0.2">
      <c r="A713" t="s">
        <v>5068</v>
      </c>
      <c r="B713" t="s">
        <v>5069</v>
      </c>
      <c r="C713" t="s">
        <v>5070</v>
      </c>
      <c r="D713" t="s">
        <v>5071</v>
      </c>
      <c r="E713" t="s">
        <v>4</v>
      </c>
      <c r="F713">
        <v>392</v>
      </c>
      <c r="G713">
        <v>408</v>
      </c>
      <c r="H713" t="s">
        <v>13</v>
      </c>
      <c r="I713" t="b">
        <f t="shared" si="11"/>
        <v>0</v>
      </c>
    </row>
    <row r="714" spans="1:9" x14ac:dyDescent="0.2">
      <c r="A714" t="s">
        <v>5803</v>
      </c>
      <c r="B714" t="s">
        <v>5804</v>
      </c>
      <c r="C714" t="s">
        <v>5805</v>
      </c>
      <c r="D714" t="s">
        <v>3471</v>
      </c>
      <c r="E714" t="s">
        <v>4</v>
      </c>
      <c r="F714">
        <v>4091</v>
      </c>
      <c r="G714">
        <v>2393</v>
      </c>
      <c r="H714" t="s">
        <v>13</v>
      </c>
      <c r="I714" t="b">
        <f t="shared" si="11"/>
        <v>0</v>
      </c>
    </row>
    <row r="715" spans="1:9" x14ac:dyDescent="0.2">
      <c r="A715" t="s">
        <v>5307</v>
      </c>
      <c r="B715" t="s">
        <v>5308</v>
      </c>
      <c r="C715" t="s">
        <v>226</v>
      </c>
      <c r="D715" t="s">
        <v>3</v>
      </c>
      <c r="E715" t="s">
        <v>4</v>
      </c>
      <c r="F715">
        <v>741</v>
      </c>
      <c r="G715">
        <v>848</v>
      </c>
      <c r="H715" t="s">
        <v>13</v>
      </c>
      <c r="I715" t="b">
        <f t="shared" si="11"/>
        <v>0</v>
      </c>
    </row>
    <row r="716" spans="1:9" x14ac:dyDescent="0.2">
      <c r="A716" t="s">
        <v>6549</v>
      </c>
      <c r="B716" t="s">
        <v>6550</v>
      </c>
      <c r="C716" t="s">
        <v>1572</v>
      </c>
      <c r="D716" t="s">
        <v>3453</v>
      </c>
      <c r="E716" t="s">
        <v>4</v>
      </c>
      <c r="F716">
        <v>187</v>
      </c>
      <c r="G716">
        <v>361</v>
      </c>
      <c r="H716" t="s">
        <v>13</v>
      </c>
      <c r="I716" t="b">
        <f t="shared" si="11"/>
        <v>1</v>
      </c>
    </row>
    <row r="717" spans="1:9" x14ac:dyDescent="0.2">
      <c r="A717" t="s">
        <v>3102</v>
      </c>
      <c r="B717" t="s">
        <v>3103</v>
      </c>
      <c r="C717" t="s">
        <v>417</v>
      </c>
      <c r="D717" t="s">
        <v>481</v>
      </c>
      <c r="E717" t="s">
        <v>4</v>
      </c>
      <c r="F717">
        <v>888</v>
      </c>
      <c r="G717">
        <v>1573</v>
      </c>
      <c r="H717" t="s">
        <v>13</v>
      </c>
      <c r="I717" t="b">
        <f t="shared" si="11"/>
        <v>1</v>
      </c>
    </row>
    <row r="718" spans="1:9" x14ac:dyDescent="0.2">
      <c r="A718" t="s">
        <v>2245</v>
      </c>
      <c r="B718" t="s">
        <v>2246</v>
      </c>
      <c r="C718" t="s">
        <v>1828</v>
      </c>
      <c r="D718" t="s">
        <v>64</v>
      </c>
      <c r="E718" t="s">
        <v>4</v>
      </c>
      <c r="F718">
        <v>141</v>
      </c>
      <c r="G718">
        <v>313</v>
      </c>
      <c r="H718" t="s">
        <v>13</v>
      </c>
      <c r="I718" t="b">
        <f t="shared" si="11"/>
        <v>0</v>
      </c>
    </row>
    <row r="719" spans="1:9" x14ac:dyDescent="0.2">
      <c r="A719" t="s">
        <v>1461</v>
      </c>
      <c r="B719" t="s">
        <v>1462</v>
      </c>
      <c r="C719" t="s">
        <v>1048</v>
      </c>
      <c r="D719" t="s">
        <v>1463</v>
      </c>
      <c r="E719" t="s">
        <v>4</v>
      </c>
      <c r="F719">
        <v>6</v>
      </c>
      <c r="G719">
        <v>65</v>
      </c>
      <c r="H719" t="s">
        <v>13</v>
      </c>
      <c r="I719" t="b">
        <f t="shared" si="11"/>
        <v>0</v>
      </c>
    </row>
    <row r="720" spans="1:9" x14ac:dyDescent="0.2">
      <c r="A720" t="s">
        <v>1858</v>
      </c>
      <c r="B720" t="s">
        <v>1859</v>
      </c>
      <c r="C720" t="s">
        <v>1254</v>
      </c>
      <c r="D720" t="s">
        <v>1255</v>
      </c>
      <c r="E720" t="s">
        <v>4</v>
      </c>
      <c r="F720">
        <v>1355</v>
      </c>
      <c r="G720">
        <v>1069</v>
      </c>
      <c r="H720" t="s">
        <v>13</v>
      </c>
      <c r="I720" t="b">
        <f t="shared" si="11"/>
        <v>0</v>
      </c>
    </row>
    <row r="721" spans="1:9" x14ac:dyDescent="0.2">
      <c r="A721" t="s">
        <v>6058</v>
      </c>
      <c r="B721" t="s">
        <v>6059</v>
      </c>
      <c r="C721" t="s">
        <v>6060</v>
      </c>
      <c r="D721" t="s">
        <v>3</v>
      </c>
      <c r="E721" t="s">
        <v>4</v>
      </c>
      <c r="F721">
        <v>3</v>
      </c>
      <c r="G721">
        <v>21</v>
      </c>
      <c r="H721" t="s">
        <v>13</v>
      </c>
      <c r="I721" t="b">
        <f t="shared" si="11"/>
        <v>0</v>
      </c>
    </row>
    <row r="722" spans="1:9" x14ac:dyDescent="0.2">
      <c r="A722" t="s">
        <v>6619</v>
      </c>
      <c r="B722" t="s">
        <v>6620</v>
      </c>
      <c r="C722" t="s">
        <v>895</v>
      </c>
      <c r="D722" t="s">
        <v>6621</v>
      </c>
      <c r="E722" t="s">
        <v>4</v>
      </c>
      <c r="F722">
        <v>1465</v>
      </c>
      <c r="G722">
        <v>174</v>
      </c>
      <c r="H722" t="s">
        <v>13</v>
      </c>
      <c r="I722" t="b">
        <f t="shared" si="11"/>
        <v>0</v>
      </c>
    </row>
    <row r="723" spans="1:9" x14ac:dyDescent="0.2">
      <c r="A723" t="s">
        <v>3688</v>
      </c>
      <c r="B723" t="s">
        <v>3689</v>
      </c>
      <c r="C723" t="s">
        <v>2646</v>
      </c>
      <c r="D723" t="s">
        <v>3690</v>
      </c>
      <c r="E723" t="s">
        <v>4</v>
      </c>
      <c r="F723">
        <v>39272</v>
      </c>
      <c r="G723">
        <v>193</v>
      </c>
      <c r="H723" t="s">
        <v>13</v>
      </c>
      <c r="I723" t="b">
        <f t="shared" si="11"/>
        <v>0</v>
      </c>
    </row>
    <row r="724" spans="1:9" x14ac:dyDescent="0.2">
      <c r="A724" t="s">
        <v>3621</v>
      </c>
      <c r="B724" t="s">
        <v>3622</v>
      </c>
      <c r="C724" t="s">
        <v>1324</v>
      </c>
      <c r="D724" t="s">
        <v>3623</v>
      </c>
      <c r="E724" t="s">
        <v>4</v>
      </c>
      <c r="F724">
        <v>1047</v>
      </c>
      <c r="G724">
        <v>2009</v>
      </c>
      <c r="H724" t="s">
        <v>13</v>
      </c>
      <c r="I724" t="b">
        <f t="shared" si="11"/>
        <v>0</v>
      </c>
    </row>
    <row r="725" spans="1:9" x14ac:dyDescent="0.2">
      <c r="A725" t="s">
        <v>1128</v>
      </c>
      <c r="B725" t="s">
        <v>1129</v>
      </c>
      <c r="C725" t="s">
        <v>1130</v>
      </c>
      <c r="D725" t="s">
        <v>1131</v>
      </c>
      <c r="E725" t="s">
        <v>4</v>
      </c>
      <c r="F725">
        <v>10</v>
      </c>
      <c r="G725">
        <v>85</v>
      </c>
      <c r="H725" t="s">
        <v>13</v>
      </c>
      <c r="I725" t="b">
        <f t="shared" si="11"/>
        <v>0</v>
      </c>
    </row>
    <row r="726" spans="1:9" x14ac:dyDescent="0.2">
      <c r="A726" t="s">
        <v>3782</v>
      </c>
      <c r="B726" t="s">
        <v>3783</v>
      </c>
      <c r="C726" t="s">
        <v>704</v>
      </c>
      <c r="D726" t="s">
        <v>2139</v>
      </c>
      <c r="E726" t="s">
        <v>4</v>
      </c>
      <c r="F726">
        <v>197</v>
      </c>
      <c r="G726">
        <v>403</v>
      </c>
      <c r="H726" t="s">
        <v>13</v>
      </c>
      <c r="I726" t="b">
        <f t="shared" si="11"/>
        <v>0</v>
      </c>
    </row>
    <row r="727" spans="1:9" x14ac:dyDescent="0.2">
      <c r="A727" t="s">
        <v>4024</v>
      </c>
      <c r="B727" t="s">
        <v>4025</v>
      </c>
      <c r="C727" t="s">
        <v>4026</v>
      </c>
      <c r="D727" t="s">
        <v>4027</v>
      </c>
      <c r="E727" t="s">
        <v>4</v>
      </c>
      <c r="F727">
        <v>1319</v>
      </c>
      <c r="G727">
        <v>1048</v>
      </c>
      <c r="H727" t="s">
        <v>13</v>
      </c>
      <c r="I727" t="b">
        <f t="shared" si="11"/>
        <v>1</v>
      </c>
    </row>
    <row r="728" spans="1:9" x14ac:dyDescent="0.2">
      <c r="A728" t="s">
        <v>515</v>
      </c>
      <c r="B728" t="s">
        <v>516</v>
      </c>
      <c r="C728" t="s">
        <v>517</v>
      </c>
      <c r="D728" t="s">
        <v>3</v>
      </c>
      <c r="E728" t="s">
        <v>4</v>
      </c>
      <c r="F728">
        <v>6759</v>
      </c>
      <c r="G728">
        <v>97</v>
      </c>
      <c r="H728" t="s">
        <v>374</v>
      </c>
      <c r="I728" t="b">
        <f t="shared" si="11"/>
        <v>0</v>
      </c>
    </row>
    <row r="729" spans="1:9" x14ac:dyDescent="0.2">
      <c r="A729" t="s">
        <v>4888</v>
      </c>
      <c r="B729" t="s">
        <v>4889</v>
      </c>
      <c r="C729" t="s">
        <v>4890</v>
      </c>
      <c r="D729" t="s">
        <v>2957</v>
      </c>
      <c r="E729" t="s">
        <v>4</v>
      </c>
      <c r="F729">
        <v>582</v>
      </c>
      <c r="G729">
        <v>1849</v>
      </c>
      <c r="H729" t="s">
        <v>13</v>
      </c>
      <c r="I729" t="b">
        <f t="shared" si="11"/>
        <v>0</v>
      </c>
    </row>
    <row r="730" spans="1:9" x14ac:dyDescent="0.2">
      <c r="A730" t="s">
        <v>4836</v>
      </c>
      <c r="B730" t="s">
        <v>4837</v>
      </c>
      <c r="C730" t="s">
        <v>1258</v>
      </c>
      <c r="D730" t="s">
        <v>3</v>
      </c>
      <c r="E730" t="s">
        <v>4</v>
      </c>
      <c r="F730">
        <v>201</v>
      </c>
      <c r="G730">
        <v>266</v>
      </c>
      <c r="H730" t="s">
        <v>13</v>
      </c>
      <c r="I730" t="b">
        <f t="shared" si="11"/>
        <v>0</v>
      </c>
    </row>
    <row r="731" spans="1:9" x14ac:dyDescent="0.2">
      <c r="A731" t="s">
        <v>3579</v>
      </c>
      <c r="B731" t="s">
        <v>3580</v>
      </c>
      <c r="C731" t="s">
        <v>3581</v>
      </c>
      <c r="D731" t="s">
        <v>3582</v>
      </c>
      <c r="E731" t="s">
        <v>4</v>
      </c>
      <c r="F731">
        <v>65</v>
      </c>
      <c r="G731">
        <v>102</v>
      </c>
      <c r="H731" t="s">
        <v>13</v>
      </c>
      <c r="I731" t="b">
        <f t="shared" si="11"/>
        <v>0</v>
      </c>
    </row>
    <row r="732" spans="1:9" x14ac:dyDescent="0.2">
      <c r="A732" t="s">
        <v>6183</v>
      </c>
      <c r="B732" t="s">
        <v>6184</v>
      </c>
      <c r="C732" t="s">
        <v>137</v>
      </c>
      <c r="D732" t="s">
        <v>6185</v>
      </c>
      <c r="E732" t="s">
        <v>4</v>
      </c>
      <c r="F732">
        <v>40</v>
      </c>
      <c r="G732">
        <v>141</v>
      </c>
      <c r="H732" t="s">
        <v>13</v>
      </c>
      <c r="I732" t="b">
        <f t="shared" si="11"/>
        <v>0</v>
      </c>
    </row>
    <row r="733" spans="1:9" x14ac:dyDescent="0.2">
      <c r="A733" t="s">
        <v>5941</v>
      </c>
      <c r="B733" t="s">
        <v>5942</v>
      </c>
      <c r="C733" t="s">
        <v>2417</v>
      </c>
      <c r="D733" t="s">
        <v>3</v>
      </c>
      <c r="E733" t="s">
        <v>4</v>
      </c>
      <c r="F733">
        <v>243</v>
      </c>
      <c r="G733">
        <v>297</v>
      </c>
      <c r="H733" t="s">
        <v>13</v>
      </c>
      <c r="I733" t="b">
        <f t="shared" si="11"/>
        <v>0</v>
      </c>
    </row>
    <row r="734" spans="1:9" x14ac:dyDescent="0.2">
      <c r="A734" t="s">
        <v>195</v>
      </c>
      <c r="B734" t="s">
        <v>196</v>
      </c>
      <c r="C734" t="s">
        <v>197</v>
      </c>
      <c r="D734" t="s">
        <v>198</v>
      </c>
      <c r="E734" t="s">
        <v>4</v>
      </c>
      <c r="F734">
        <v>593</v>
      </c>
      <c r="G734">
        <v>236</v>
      </c>
      <c r="H734" t="s">
        <v>13</v>
      </c>
      <c r="I734" t="b">
        <f t="shared" si="11"/>
        <v>0</v>
      </c>
    </row>
    <row r="735" spans="1:9" x14ac:dyDescent="0.2">
      <c r="A735" t="s">
        <v>3424</v>
      </c>
      <c r="B735" t="s">
        <v>3425</v>
      </c>
      <c r="C735" t="s">
        <v>786</v>
      </c>
      <c r="D735" t="s">
        <v>3426</v>
      </c>
      <c r="E735" t="s">
        <v>4</v>
      </c>
      <c r="F735">
        <v>14775</v>
      </c>
      <c r="G735">
        <v>424</v>
      </c>
      <c r="H735" t="s">
        <v>13</v>
      </c>
      <c r="I735" t="b">
        <f t="shared" si="11"/>
        <v>0</v>
      </c>
    </row>
    <row r="736" spans="1:9" x14ac:dyDescent="0.2">
      <c r="A736" t="s">
        <v>3280</v>
      </c>
      <c r="B736" t="s">
        <v>3281</v>
      </c>
      <c r="C736" t="s">
        <v>3282</v>
      </c>
      <c r="D736" t="s">
        <v>3283</v>
      </c>
      <c r="E736" t="s">
        <v>4</v>
      </c>
      <c r="F736">
        <v>5343</v>
      </c>
      <c r="G736">
        <v>1341</v>
      </c>
      <c r="H736" t="s">
        <v>13</v>
      </c>
      <c r="I736" t="b">
        <f t="shared" si="11"/>
        <v>0</v>
      </c>
    </row>
    <row r="737" spans="1:9" x14ac:dyDescent="0.2">
      <c r="A737" t="s">
        <v>4818</v>
      </c>
      <c r="B737" t="s">
        <v>4819</v>
      </c>
      <c r="C737" t="s">
        <v>2608</v>
      </c>
      <c r="D737" t="s">
        <v>4820</v>
      </c>
      <c r="E737" t="s">
        <v>4</v>
      </c>
      <c r="F737">
        <v>17</v>
      </c>
      <c r="G737">
        <v>72</v>
      </c>
      <c r="H737" t="s">
        <v>114</v>
      </c>
      <c r="I737" t="b">
        <f t="shared" si="11"/>
        <v>0</v>
      </c>
    </row>
    <row r="738" spans="1:9" x14ac:dyDescent="0.2">
      <c r="A738" t="s">
        <v>1538</v>
      </c>
      <c r="B738" t="s">
        <v>1539</v>
      </c>
      <c r="C738" t="s">
        <v>1540</v>
      </c>
      <c r="D738" t="s">
        <v>852</v>
      </c>
      <c r="E738" t="s">
        <v>4</v>
      </c>
      <c r="F738">
        <v>31</v>
      </c>
      <c r="G738">
        <v>106</v>
      </c>
      <c r="H738" t="s">
        <v>13</v>
      </c>
      <c r="I738" t="b">
        <f t="shared" si="11"/>
        <v>0</v>
      </c>
    </row>
    <row r="739" spans="1:9" x14ac:dyDescent="0.2">
      <c r="A739" t="s">
        <v>2253</v>
      </c>
      <c r="B739" t="s">
        <v>2254</v>
      </c>
      <c r="C739" t="s">
        <v>2255</v>
      </c>
      <c r="D739" t="s">
        <v>2256</v>
      </c>
      <c r="E739" t="s">
        <v>4</v>
      </c>
      <c r="F739">
        <v>175</v>
      </c>
      <c r="G739">
        <v>189</v>
      </c>
      <c r="H739" t="s">
        <v>13</v>
      </c>
      <c r="I739" t="b">
        <f t="shared" si="11"/>
        <v>0</v>
      </c>
    </row>
    <row r="740" spans="1:9" x14ac:dyDescent="0.2">
      <c r="A740" t="s">
        <v>2218</v>
      </c>
      <c r="B740" t="s">
        <v>2219</v>
      </c>
      <c r="C740" t="s">
        <v>2220</v>
      </c>
      <c r="D740" t="s">
        <v>101</v>
      </c>
      <c r="E740" t="s">
        <v>4</v>
      </c>
      <c r="F740">
        <v>9</v>
      </c>
      <c r="G740">
        <v>58</v>
      </c>
      <c r="H740" t="s">
        <v>1692</v>
      </c>
      <c r="I740" t="b">
        <f t="shared" si="11"/>
        <v>0</v>
      </c>
    </row>
    <row r="741" spans="1:9" x14ac:dyDescent="0.2">
      <c r="A741" t="s">
        <v>3029</v>
      </c>
      <c r="B741" t="s">
        <v>3030</v>
      </c>
      <c r="C741" t="s">
        <v>3031</v>
      </c>
      <c r="D741" t="s">
        <v>3032</v>
      </c>
      <c r="E741" t="s">
        <v>4</v>
      </c>
      <c r="F741">
        <v>24</v>
      </c>
      <c r="G741">
        <v>105</v>
      </c>
      <c r="H741" t="s">
        <v>13</v>
      </c>
      <c r="I741" t="b">
        <f t="shared" si="11"/>
        <v>0</v>
      </c>
    </row>
    <row r="742" spans="1:9" x14ac:dyDescent="0.2">
      <c r="A742" t="s">
        <v>3701</v>
      </c>
      <c r="B742" t="s">
        <v>3702</v>
      </c>
      <c r="C742" t="s">
        <v>730</v>
      </c>
      <c r="D742" t="s">
        <v>265</v>
      </c>
      <c r="E742" t="s">
        <v>4</v>
      </c>
      <c r="F742">
        <v>5477</v>
      </c>
      <c r="G742">
        <v>109</v>
      </c>
      <c r="H742" t="s">
        <v>13</v>
      </c>
      <c r="I742" t="b">
        <f t="shared" si="11"/>
        <v>0</v>
      </c>
    </row>
    <row r="743" spans="1:9" x14ac:dyDescent="0.2">
      <c r="A743" t="s">
        <v>3787</v>
      </c>
      <c r="B743" t="s">
        <v>3788</v>
      </c>
      <c r="C743" t="s">
        <v>3789</v>
      </c>
      <c r="D743" t="s">
        <v>3790</v>
      </c>
      <c r="E743" t="s">
        <v>4</v>
      </c>
      <c r="F743">
        <v>85</v>
      </c>
      <c r="G743">
        <v>342</v>
      </c>
      <c r="H743" t="s">
        <v>13</v>
      </c>
      <c r="I743" t="b">
        <f t="shared" si="11"/>
        <v>0</v>
      </c>
    </row>
    <row r="744" spans="1:9" x14ac:dyDescent="0.2">
      <c r="A744" t="s">
        <v>5584</v>
      </c>
      <c r="B744" t="s">
        <v>5585</v>
      </c>
      <c r="C744" t="s">
        <v>3710</v>
      </c>
      <c r="D744" t="s">
        <v>592</v>
      </c>
      <c r="E744" t="s">
        <v>4</v>
      </c>
      <c r="F744">
        <v>3454</v>
      </c>
      <c r="G744">
        <v>2616</v>
      </c>
      <c r="H744" t="s">
        <v>13</v>
      </c>
      <c r="I744" t="b">
        <f t="shared" si="11"/>
        <v>0</v>
      </c>
    </row>
    <row r="745" spans="1:9" x14ac:dyDescent="0.2">
      <c r="A745" t="s">
        <v>5884</v>
      </c>
      <c r="B745" t="s">
        <v>5885</v>
      </c>
      <c r="C745" t="s">
        <v>5886</v>
      </c>
      <c r="D745" t="s">
        <v>4444</v>
      </c>
      <c r="E745" t="s">
        <v>4</v>
      </c>
      <c r="F745">
        <v>130</v>
      </c>
      <c r="G745">
        <v>225</v>
      </c>
      <c r="H745" t="s">
        <v>13</v>
      </c>
      <c r="I745" t="b">
        <f t="shared" si="11"/>
        <v>0</v>
      </c>
    </row>
    <row r="746" spans="1:9" x14ac:dyDescent="0.2">
      <c r="A746" t="s">
        <v>1563</v>
      </c>
      <c r="B746" t="s">
        <v>1564</v>
      </c>
      <c r="C746" t="s">
        <v>1565</v>
      </c>
      <c r="D746" t="s">
        <v>3</v>
      </c>
      <c r="E746" t="s">
        <v>4</v>
      </c>
      <c r="F746">
        <v>1035</v>
      </c>
      <c r="G746">
        <v>803</v>
      </c>
      <c r="H746" t="s">
        <v>13</v>
      </c>
      <c r="I746" t="b">
        <f t="shared" si="11"/>
        <v>0</v>
      </c>
    </row>
    <row r="747" spans="1:9" x14ac:dyDescent="0.2">
      <c r="A747" t="s">
        <v>4746</v>
      </c>
      <c r="B747" t="s">
        <v>4747</v>
      </c>
      <c r="C747" t="s">
        <v>2679</v>
      </c>
      <c r="D747" t="s">
        <v>3</v>
      </c>
      <c r="E747" t="s">
        <v>4</v>
      </c>
      <c r="F747">
        <v>88</v>
      </c>
      <c r="G747">
        <v>362</v>
      </c>
      <c r="H747" t="s">
        <v>13</v>
      </c>
      <c r="I747" t="b">
        <f t="shared" si="11"/>
        <v>0</v>
      </c>
    </row>
    <row r="748" spans="1:9" x14ac:dyDescent="0.2">
      <c r="A748" t="s">
        <v>6426</v>
      </c>
      <c r="B748" t="s">
        <v>6427</v>
      </c>
      <c r="C748" t="s">
        <v>3778</v>
      </c>
      <c r="D748" t="s">
        <v>3</v>
      </c>
      <c r="E748" t="s">
        <v>4</v>
      </c>
      <c r="F748">
        <v>326</v>
      </c>
      <c r="G748">
        <v>249</v>
      </c>
      <c r="H748" t="s">
        <v>13</v>
      </c>
      <c r="I748" t="b">
        <f t="shared" si="11"/>
        <v>0</v>
      </c>
    </row>
    <row r="749" spans="1:9" x14ac:dyDescent="0.2">
      <c r="A749" t="s">
        <v>412</v>
      </c>
      <c r="B749" t="s">
        <v>413</v>
      </c>
      <c r="C749" t="s">
        <v>414</v>
      </c>
      <c r="D749" t="s">
        <v>3</v>
      </c>
      <c r="E749" t="s">
        <v>4</v>
      </c>
      <c r="F749">
        <v>38</v>
      </c>
      <c r="G749">
        <v>284</v>
      </c>
      <c r="H749" t="s">
        <v>13</v>
      </c>
      <c r="I749" t="b">
        <f t="shared" si="11"/>
        <v>0</v>
      </c>
    </row>
    <row r="750" spans="1:9" x14ac:dyDescent="0.2">
      <c r="A750" t="s">
        <v>1578</v>
      </c>
      <c r="B750" t="s">
        <v>1579</v>
      </c>
      <c r="C750" t="s">
        <v>1012</v>
      </c>
      <c r="D750" t="s">
        <v>1580</v>
      </c>
      <c r="E750" t="s">
        <v>4</v>
      </c>
      <c r="F750">
        <v>2715</v>
      </c>
      <c r="G750">
        <v>142</v>
      </c>
      <c r="H750" t="s">
        <v>13</v>
      </c>
      <c r="I750" t="b">
        <f t="shared" si="11"/>
        <v>0</v>
      </c>
    </row>
    <row r="751" spans="1:9" x14ac:dyDescent="0.2">
      <c r="A751" t="s">
        <v>1444</v>
      </c>
      <c r="B751" t="s">
        <v>1445</v>
      </c>
      <c r="C751" t="s">
        <v>1446</v>
      </c>
      <c r="D751" t="s">
        <v>1447</v>
      </c>
      <c r="E751" t="s">
        <v>4</v>
      </c>
      <c r="F751">
        <v>308</v>
      </c>
      <c r="G751">
        <v>257</v>
      </c>
      <c r="H751" t="s">
        <v>13</v>
      </c>
      <c r="I751" t="b">
        <f t="shared" si="11"/>
        <v>0</v>
      </c>
    </row>
    <row r="752" spans="1:9" x14ac:dyDescent="0.2">
      <c r="A752" t="s">
        <v>3413</v>
      </c>
      <c r="B752" t="s">
        <v>3414</v>
      </c>
      <c r="C752" t="s">
        <v>3415</v>
      </c>
      <c r="D752" t="s">
        <v>3416</v>
      </c>
      <c r="E752" t="s">
        <v>4</v>
      </c>
      <c r="F752">
        <v>117</v>
      </c>
      <c r="G752">
        <v>269</v>
      </c>
      <c r="H752" t="s">
        <v>13</v>
      </c>
      <c r="I752" t="b">
        <f t="shared" si="11"/>
        <v>0</v>
      </c>
    </row>
    <row r="753" spans="1:9" x14ac:dyDescent="0.2">
      <c r="A753" t="s">
        <v>4441</v>
      </c>
      <c r="B753" t="s">
        <v>4442</v>
      </c>
      <c r="C753" t="s">
        <v>4443</v>
      </c>
      <c r="D753" t="s">
        <v>4444</v>
      </c>
      <c r="E753" t="s">
        <v>4</v>
      </c>
      <c r="F753">
        <v>70</v>
      </c>
      <c r="G753">
        <v>134</v>
      </c>
      <c r="H753" t="s">
        <v>13</v>
      </c>
      <c r="I753" t="b">
        <f t="shared" si="11"/>
        <v>0</v>
      </c>
    </row>
    <row r="754" spans="1:9" x14ac:dyDescent="0.2">
      <c r="A754" t="s">
        <v>3290</v>
      </c>
      <c r="B754" t="s">
        <v>3292</v>
      </c>
      <c r="C754" t="s">
        <v>3293</v>
      </c>
      <c r="D754" t="s">
        <v>705</v>
      </c>
      <c r="E754" t="s">
        <v>4</v>
      </c>
      <c r="F754">
        <v>7</v>
      </c>
      <c r="G754">
        <v>32</v>
      </c>
      <c r="H754" t="s">
        <v>13</v>
      </c>
      <c r="I754" t="b">
        <f t="shared" si="11"/>
        <v>0</v>
      </c>
    </row>
    <row r="755" spans="1:9" x14ac:dyDescent="0.2">
      <c r="A755" t="s">
        <v>4845</v>
      </c>
      <c r="B755" t="s">
        <v>4846</v>
      </c>
      <c r="C755" t="s">
        <v>989</v>
      </c>
      <c r="D755" t="s">
        <v>4847</v>
      </c>
      <c r="E755" t="s">
        <v>4</v>
      </c>
      <c r="F755">
        <v>94</v>
      </c>
      <c r="G755">
        <v>235</v>
      </c>
      <c r="H755" t="s">
        <v>13</v>
      </c>
      <c r="I755" t="b">
        <f t="shared" si="11"/>
        <v>0</v>
      </c>
    </row>
    <row r="756" spans="1:9" x14ac:dyDescent="0.2">
      <c r="A756" t="s">
        <v>4607</v>
      </c>
      <c r="B756" t="s">
        <v>4608</v>
      </c>
      <c r="C756" t="s">
        <v>4609</v>
      </c>
      <c r="D756" t="s">
        <v>3</v>
      </c>
      <c r="E756" t="s">
        <v>4</v>
      </c>
      <c r="F756">
        <v>25</v>
      </c>
      <c r="G756">
        <v>139</v>
      </c>
      <c r="H756" t="s">
        <v>13</v>
      </c>
      <c r="I756" t="b">
        <f t="shared" si="11"/>
        <v>0</v>
      </c>
    </row>
    <row r="757" spans="1:9" x14ac:dyDescent="0.2">
      <c r="A757" t="s">
        <v>2052</v>
      </c>
      <c r="B757" t="s">
        <v>2053</v>
      </c>
      <c r="C757" t="s">
        <v>2054</v>
      </c>
      <c r="D757" t="s">
        <v>3</v>
      </c>
      <c r="E757" t="s">
        <v>4</v>
      </c>
      <c r="F757">
        <v>2</v>
      </c>
      <c r="G757">
        <v>14</v>
      </c>
      <c r="H757" t="s">
        <v>13</v>
      </c>
      <c r="I757" t="b">
        <f t="shared" si="11"/>
        <v>0</v>
      </c>
    </row>
    <row r="758" spans="1:9" x14ac:dyDescent="0.2">
      <c r="A758" t="s">
        <v>3853</v>
      </c>
      <c r="B758" t="s">
        <v>3854</v>
      </c>
      <c r="C758" t="s">
        <v>884</v>
      </c>
      <c r="D758" t="s">
        <v>3</v>
      </c>
      <c r="E758" t="s">
        <v>4</v>
      </c>
      <c r="F758">
        <v>216</v>
      </c>
      <c r="G758">
        <v>166</v>
      </c>
      <c r="H758" t="s">
        <v>13</v>
      </c>
      <c r="I758" t="b">
        <f t="shared" si="11"/>
        <v>0</v>
      </c>
    </row>
    <row r="759" spans="1:9" x14ac:dyDescent="0.2">
      <c r="A759" t="s">
        <v>3896</v>
      </c>
      <c r="B759" t="s">
        <v>3897</v>
      </c>
      <c r="C759" t="s">
        <v>336</v>
      </c>
      <c r="D759" t="s">
        <v>1657</v>
      </c>
      <c r="E759" t="s">
        <v>4</v>
      </c>
      <c r="F759">
        <v>182</v>
      </c>
      <c r="G759">
        <v>838</v>
      </c>
      <c r="H759" t="s">
        <v>13</v>
      </c>
      <c r="I759" t="b">
        <f t="shared" si="11"/>
        <v>0</v>
      </c>
    </row>
    <row r="760" spans="1:9" x14ac:dyDescent="0.2">
      <c r="A760" t="s">
        <v>5853</v>
      </c>
      <c r="B760" t="s">
        <v>5854</v>
      </c>
      <c r="C760" t="s">
        <v>996</v>
      </c>
      <c r="D760" t="s">
        <v>3</v>
      </c>
      <c r="E760" t="s">
        <v>4</v>
      </c>
      <c r="F760">
        <v>355</v>
      </c>
      <c r="G760">
        <v>880</v>
      </c>
      <c r="H760" t="s">
        <v>13</v>
      </c>
      <c r="I760" t="b">
        <f t="shared" si="11"/>
        <v>0</v>
      </c>
    </row>
    <row r="761" spans="1:9" x14ac:dyDescent="0.2">
      <c r="A761" t="s">
        <v>3516</v>
      </c>
      <c r="B761" t="s">
        <v>3517</v>
      </c>
      <c r="C761" t="s">
        <v>3518</v>
      </c>
      <c r="D761" t="s">
        <v>2403</v>
      </c>
      <c r="E761" t="s">
        <v>4</v>
      </c>
      <c r="F761">
        <v>67</v>
      </c>
      <c r="G761">
        <v>44</v>
      </c>
      <c r="H761" t="s">
        <v>13</v>
      </c>
      <c r="I761" t="b">
        <f t="shared" si="11"/>
        <v>0</v>
      </c>
    </row>
    <row r="762" spans="1:9" x14ac:dyDescent="0.2">
      <c r="A762" t="s">
        <v>6941</v>
      </c>
      <c r="B762" t="s">
        <v>6942</v>
      </c>
      <c r="C762" t="s">
        <v>3912</v>
      </c>
      <c r="D762" t="s">
        <v>6498</v>
      </c>
      <c r="E762" t="s">
        <v>4</v>
      </c>
      <c r="F762">
        <v>141</v>
      </c>
      <c r="G762">
        <v>439</v>
      </c>
      <c r="H762" t="s">
        <v>13</v>
      </c>
      <c r="I762" t="b">
        <f t="shared" si="11"/>
        <v>0</v>
      </c>
    </row>
    <row r="763" spans="1:9" x14ac:dyDescent="0.2">
      <c r="A763" t="s">
        <v>5835</v>
      </c>
      <c r="B763" t="s">
        <v>5836</v>
      </c>
      <c r="C763" t="s">
        <v>5837</v>
      </c>
      <c r="D763" t="s">
        <v>3</v>
      </c>
      <c r="E763" t="s">
        <v>4</v>
      </c>
      <c r="F763">
        <v>53</v>
      </c>
      <c r="G763">
        <v>213</v>
      </c>
      <c r="H763" t="s">
        <v>13</v>
      </c>
      <c r="I763" t="b">
        <f t="shared" si="11"/>
        <v>0</v>
      </c>
    </row>
    <row r="764" spans="1:9" x14ac:dyDescent="0.2">
      <c r="A764" t="s">
        <v>2869</v>
      </c>
      <c r="B764" t="s">
        <v>2870</v>
      </c>
      <c r="C764" t="s">
        <v>2871</v>
      </c>
      <c r="D764" t="s">
        <v>3</v>
      </c>
      <c r="E764" t="s">
        <v>4</v>
      </c>
      <c r="F764">
        <v>12</v>
      </c>
      <c r="G764">
        <v>85</v>
      </c>
      <c r="H764" t="s">
        <v>13</v>
      </c>
      <c r="I764" t="b">
        <f t="shared" si="11"/>
        <v>0</v>
      </c>
    </row>
    <row r="765" spans="1:9" x14ac:dyDescent="0.2">
      <c r="A765" t="s">
        <v>478</v>
      </c>
      <c r="B765" t="s">
        <v>479</v>
      </c>
      <c r="C765" t="s">
        <v>480</v>
      </c>
      <c r="D765" t="s">
        <v>481</v>
      </c>
      <c r="E765" t="s">
        <v>4</v>
      </c>
      <c r="F765">
        <v>39</v>
      </c>
      <c r="G765">
        <v>179</v>
      </c>
      <c r="H765" t="s">
        <v>13</v>
      </c>
      <c r="I765" t="b">
        <f t="shared" si="11"/>
        <v>0</v>
      </c>
    </row>
    <row r="766" spans="1:9" x14ac:dyDescent="0.2">
      <c r="A766" t="s">
        <v>1440</v>
      </c>
      <c r="B766" t="s">
        <v>1441</v>
      </c>
      <c r="C766" t="s">
        <v>185</v>
      </c>
      <c r="D766" t="s">
        <v>668</v>
      </c>
      <c r="E766" t="s">
        <v>38</v>
      </c>
      <c r="F766">
        <v>46263</v>
      </c>
      <c r="G766">
        <v>2125</v>
      </c>
      <c r="H766" t="s">
        <v>13</v>
      </c>
      <c r="I766" t="b">
        <f t="shared" si="11"/>
        <v>0</v>
      </c>
    </row>
    <row r="767" spans="1:9" x14ac:dyDescent="0.2">
      <c r="A767" t="s">
        <v>3152</v>
      </c>
      <c r="B767" t="s">
        <v>3153</v>
      </c>
      <c r="C767" t="s">
        <v>3154</v>
      </c>
      <c r="D767" t="s">
        <v>21</v>
      </c>
      <c r="E767" t="s">
        <v>4</v>
      </c>
      <c r="F767">
        <v>241</v>
      </c>
      <c r="G767">
        <v>657</v>
      </c>
      <c r="H767" t="s">
        <v>86</v>
      </c>
      <c r="I767" t="b">
        <f t="shared" si="11"/>
        <v>0</v>
      </c>
    </row>
    <row r="768" spans="1:9" x14ac:dyDescent="0.2">
      <c r="A768" t="s">
        <v>4112</v>
      </c>
      <c r="B768" t="s">
        <v>4113</v>
      </c>
      <c r="C768" t="s">
        <v>4114</v>
      </c>
      <c r="D768" t="s">
        <v>3</v>
      </c>
      <c r="E768" t="s">
        <v>4</v>
      </c>
      <c r="F768">
        <v>9</v>
      </c>
      <c r="G768">
        <v>57</v>
      </c>
      <c r="H768" t="s">
        <v>13</v>
      </c>
      <c r="I768" t="b">
        <f t="shared" si="11"/>
        <v>0</v>
      </c>
    </row>
    <row r="769" spans="1:9" x14ac:dyDescent="0.2">
      <c r="A769" t="s">
        <v>3997</v>
      </c>
      <c r="B769" t="s">
        <v>3998</v>
      </c>
      <c r="C769" t="s">
        <v>3999</v>
      </c>
      <c r="D769" t="s">
        <v>4000</v>
      </c>
      <c r="E769" t="s">
        <v>4</v>
      </c>
      <c r="F769">
        <v>1914</v>
      </c>
      <c r="G769">
        <v>674</v>
      </c>
      <c r="H769" t="s">
        <v>13</v>
      </c>
      <c r="I769" t="b">
        <f t="shared" si="11"/>
        <v>0</v>
      </c>
    </row>
    <row r="770" spans="1:9" x14ac:dyDescent="0.2">
      <c r="A770" t="s">
        <v>6476</v>
      </c>
      <c r="B770" t="s">
        <v>6477</v>
      </c>
      <c r="C770" t="s">
        <v>3325</v>
      </c>
      <c r="D770" t="s">
        <v>6478</v>
      </c>
      <c r="E770" t="s">
        <v>4</v>
      </c>
      <c r="F770">
        <v>332</v>
      </c>
      <c r="G770">
        <v>332</v>
      </c>
      <c r="H770" t="s">
        <v>13</v>
      </c>
      <c r="I770" t="b">
        <f t="shared" si="11"/>
        <v>0</v>
      </c>
    </row>
    <row r="771" spans="1:9" x14ac:dyDescent="0.2">
      <c r="A771" t="s">
        <v>6713</v>
      </c>
      <c r="B771" t="s">
        <v>6714</v>
      </c>
      <c r="C771" t="s">
        <v>6715</v>
      </c>
      <c r="D771" t="s">
        <v>481</v>
      </c>
      <c r="E771" t="s">
        <v>4</v>
      </c>
      <c r="F771">
        <v>1905</v>
      </c>
      <c r="G771">
        <v>743</v>
      </c>
      <c r="H771" t="s">
        <v>13</v>
      </c>
      <c r="I771" t="b">
        <f t="shared" ref="I771:I834" si="12">isDup(B771, B772, 0.7)</f>
        <v>0</v>
      </c>
    </row>
    <row r="772" spans="1:9" x14ac:dyDescent="0.2">
      <c r="A772" t="s">
        <v>6845</v>
      </c>
      <c r="B772" t="s">
        <v>6846</v>
      </c>
      <c r="C772" t="s">
        <v>377</v>
      </c>
      <c r="D772" t="s">
        <v>2720</v>
      </c>
      <c r="E772" t="s">
        <v>4</v>
      </c>
      <c r="F772">
        <v>6</v>
      </c>
      <c r="G772">
        <v>14</v>
      </c>
      <c r="H772" t="s">
        <v>363</v>
      </c>
      <c r="I772" t="b">
        <f t="shared" si="12"/>
        <v>0</v>
      </c>
    </row>
    <row r="773" spans="1:9" x14ac:dyDescent="0.2">
      <c r="A773" t="s">
        <v>7246</v>
      </c>
      <c r="B773" t="s">
        <v>7247</v>
      </c>
      <c r="C773" t="s">
        <v>226</v>
      </c>
      <c r="D773" t="s">
        <v>3</v>
      </c>
      <c r="E773" t="s">
        <v>4</v>
      </c>
      <c r="F773">
        <v>7083</v>
      </c>
      <c r="G773">
        <v>1380</v>
      </c>
      <c r="H773" t="s">
        <v>13</v>
      </c>
      <c r="I773" t="b">
        <f t="shared" si="12"/>
        <v>0</v>
      </c>
    </row>
    <row r="774" spans="1:9" x14ac:dyDescent="0.2">
      <c r="A774" t="s">
        <v>454</v>
      </c>
      <c r="B774" t="s">
        <v>455</v>
      </c>
      <c r="C774" t="s">
        <v>177</v>
      </c>
      <c r="D774" t="s">
        <v>456</v>
      </c>
      <c r="E774" t="s">
        <v>4</v>
      </c>
      <c r="F774">
        <v>436</v>
      </c>
      <c r="G774">
        <v>3796</v>
      </c>
      <c r="H774" t="s">
        <v>13</v>
      </c>
      <c r="I774" t="b">
        <f t="shared" si="12"/>
        <v>0</v>
      </c>
    </row>
    <row r="775" spans="1:9" x14ac:dyDescent="0.2">
      <c r="A775" t="s">
        <v>2095</v>
      </c>
      <c r="B775" t="s">
        <v>2097</v>
      </c>
      <c r="C775" t="s">
        <v>2098</v>
      </c>
      <c r="D775" t="s">
        <v>2099</v>
      </c>
      <c r="E775" t="s">
        <v>4</v>
      </c>
      <c r="F775">
        <v>86</v>
      </c>
      <c r="G775">
        <v>193</v>
      </c>
      <c r="H775" t="s">
        <v>13</v>
      </c>
      <c r="I775" t="b">
        <f t="shared" si="12"/>
        <v>0</v>
      </c>
    </row>
    <row r="776" spans="1:9" x14ac:dyDescent="0.2">
      <c r="A776" t="s">
        <v>463</v>
      </c>
      <c r="B776" t="s">
        <v>464</v>
      </c>
      <c r="C776" t="s">
        <v>465</v>
      </c>
      <c r="D776" t="s">
        <v>3</v>
      </c>
      <c r="E776" t="s">
        <v>4</v>
      </c>
      <c r="F776">
        <v>18</v>
      </c>
      <c r="G776">
        <v>25</v>
      </c>
      <c r="H776" t="s">
        <v>13</v>
      </c>
      <c r="I776" t="b">
        <f t="shared" si="12"/>
        <v>0</v>
      </c>
    </row>
    <row r="777" spans="1:9" x14ac:dyDescent="0.2">
      <c r="A777" t="s">
        <v>1796</v>
      </c>
      <c r="B777" t="s">
        <v>1797</v>
      </c>
      <c r="C777" t="s">
        <v>171</v>
      </c>
      <c r="D777" t="s">
        <v>1798</v>
      </c>
      <c r="E777" t="s">
        <v>4</v>
      </c>
      <c r="F777">
        <v>476</v>
      </c>
      <c r="G777">
        <v>180</v>
      </c>
      <c r="H777" t="s">
        <v>13</v>
      </c>
      <c r="I777" t="b">
        <f t="shared" si="12"/>
        <v>0</v>
      </c>
    </row>
    <row r="778" spans="1:9" x14ac:dyDescent="0.2">
      <c r="A778" t="s">
        <v>1058</v>
      </c>
      <c r="B778" t="s">
        <v>1059</v>
      </c>
      <c r="C778" t="s">
        <v>129</v>
      </c>
      <c r="D778" t="s">
        <v>3</v>
      </c>
      <c r="E778" t="s">
        <v>4</v>
      </c>
      <c r="F778">
        <v>6778</v>
      </c>
      <c r="G778">
        <v>7171</v>
      </c>
      <c r="H778" t="s">
        <v>13</v>
      </c>
      <c r="I778" t="b">
        <f t="shared" si="12"/>
        <v>0</v>
      </c>
    </row>
    <row r="779" spans="1:9" x14ac:dyDescent="0.2">
      <c r="A779" t="s">
        <v>138</v>
      </c>
      <c r="B779" t="s">
        <v>139</v>
      </c>
      <c r="C779" t="s">
        <v>140</v>
      </c>
      <c r="D779" t="s">
        <v>3</v>
      </c>
      <c r="E779" t="s">
        <v>4</v>
      </c>
      <c r="F779">
        <v>60</v>
      </c>
      <c r="G779">
        <v>475</v>
      </c>
      <c r="H779" t="s">
        <v>13</v>
      </c>
      <c r="I779" t="b">
        <f t="shared" si="12"/>
        <v>0</v>
      </c>
    </row>
    <row r="780" spans="1:9" x14ac:dyDescent="0.2">
      <c r="A780" t="s">
        <v>4666</v>
      </c>
      <c r="B780" t="s">
        <v>4667</v>
      </c>
      <c r="C780" t="s">
        <v>4668</v>
      </c>
      <c r="D780" t="s">
        <v>4669</v>
      </c>
      <c r="E780" t="s">
        <v>4</v>
      </c>
      <c r="F780">
        <v>1711</v>
      </c>
      <c r="G780">
        <v>1323</v>
      </c>
      <c r="H780" t="s">
        <v>13</v>
      </c>
      <c r="I780" t="b">
        <f t="shared" si="12"/>
        <v>0</v>
      </c>
    </row>
    <row r="781" spans="1:9" x14ac:dyDescent="0.2">
      <c r="A781" t="s">
        <v>2418</v>
      </c>
      <c r="B781" t="s">
        <v>2419</v>
      </c>
      <c r="C781" t="s">
        <v>1409</v>
      </c>
      <c r="D781" t="s">
        <v>64</v>
      </c>
      <c r="E781" t="s">
        <v>4</v>
      </c>
      <c r="F781">
        <v>357</v>
      </c>
      <c r="G781">
        <v>2284</v>
      </c>
      <c r="H781" t="s">
        <v>13</v>
      </c>
      <c r="I781" t="b">
        <f t="shared" si="12"/>
        <v>0</v>
      </c>
    </row>
    <row r="782" spans="1:9" x14ac:dyDescent="0.2">
      <c r="A782" t="s">
        <v>34</v>
      </c>
      <c r="B782" t="s">
        <v>35</v>
      </c>
      <c r="C782" t="s">
        <v>36</v>
      </c>
      <c r="D782" t="s">
        <v>37</v>
      </c>
      <c r="E782" t="s">
        <v>38</v>
      </c>
      <c r="F782">
        <v>38820</v>
      </c>
      <c r="G782">
        <v>2224</v>
      </c>
      <c r="H782" t="s">
        <v>13</v>
      </c>
      <c r="I782" t="b">
        <f t="shared" si="12"/>
        <v>0</v>
      </c>
    </row>
    <row r="783" spans="1:9" x14ac:dyDescent="0.2">
      <c r="A783" t="s">
        <v>7122</v>
      </c>
      <c r="B783" t="s">
        <v>7123</v>
      </c>
      <c r="C783" t="s">
        <v>2744</v>
      </c>
      <c r="D783" t="s">
        <v>3543</v>
      </c>
      <c r="E783" t="s">
        <v>4</v>
      </c>
      <c r="F783">
        <v>1080</v>
      </c>
      <c r="G783">
        <v>935</v>
      </c>
      <c r="H783" t="s">
        <v>13</v>
      </c>
      <c r="I783" t="b">
        <f t="shared" si="12"/>
        <v>0</v>
      </c>
    </row>
    <row r="784" spans="1:9" x14ac:dyDescent="0.2">
      <c r="A784" t="s">
        <v>4127</v>
      </c>
      <c r="B784" t="s">
        <v>4128</v>
      </c>
      <c r="C784" t="s">
        <v>558</v>
      </c>
      <c r="D784" t="s">
        <v>4129</v>
      </c>
      <c r="E784" t="s">
        <v>4</v>
      </c>
      <c r="F784">
        <v>249</v>
      </c>
      <c r="G784">
        <v>299</v>
      </c>
      <c r="H784" t="s">
        <v>13</v>
      </c>
      <c r="I784" t="b">
        <f t="shared" si="12"/>
        <v>0</v>
      </c>
    </row>
    <row r="785" spans="1:9" x14ac:dyDescent="0.2">
      <c r="A785" t="s">
        <v>1168</v>
      </c>
      <c r="B785" t="s">
        <v>1170</v>
      </c>
      <c r="C785" t="s">
        <v>996</v>
      </c>
      <c r="D785" t="s">
        <v>1171</v>
      </c>
      <c r="E785" t="s">
        <v>4</v>
      </c>
      <c r="F785">
        <v>360</v>
      </c>
      <c r="G785">
        <v>248</v>
      </c>
      <c r="H785" t="s">
        <v>13</v>
      </c>
      <c r="I785" t="b">
        <f t="shared" si="12"/>
        <v>0</v>
      </c>
    </row>
    <row r="786" spans="1:9" x14ac:dyDescent="0.2">
      <c r="A786" t="s">
        <v>5996</v>
      </c>
      <c r="B786" t="s">
        <v>5997</v>
      </c>
      <c r="C786" t="s">
        <v>5998</v>
      </c>
      <c r="D786" t="s">
        <v>5999</v>
      </c>
      <c r="E786" t="s">
        <v>4</v>
      </c>
      <c r="F786">
        <v>838</v>
      </c>
      <c r="G786">
        <v>740</v>
      </c>
      <c r="H786" t="s">
        <v>13</v>
      </c>
      <c r="I786" t="b">
        <f t="shared" si="12"/>
        <v>0</v>
      </c>
    </row>
    <row r="787" spans="1:9" x14ac:dyDescent="0.2">
      <c r="A787" t="s">
        <v>2420</v>
      </c>
      <c r="B787" t="s">
        <v>2421</v>
      </c>
      <c r="C787" t="s">
        <v>591</v>
      </c>
      <c r="D787" t="s">
        <v>2422</v>
      </c>
      <c r="E787" t="s">
        <v>4</v>
      </c>
      <c r="F787">
        <v>691</v>
      </c>
      <c r="G787">
        <v>221</v>
      </c>
      <c r="H787" t="s">
        <v>13</v>
      </c>
      <c r="I787" t="b">
        <f t="shared" si="12"/>
        <v>0</v>
      </c>
    </row>
    <row r="788" spans="1:9" x14ac:dyDescent="0.2">
      <c r="A788" t="s">
        <v>4395</v>
      </c>
      <c r="B788" t="s">
        <v>4396</v>
      </c>
      <c r="C788" t="s">
        <v>1062</v>
      </c>
      <c r="D788" t="s">
        <v>3</v>
      </c>
      <c r="E788" t="s">
        <v>4</v>
      </c>
      <c r="F788">
        <v>2514</v>
      </c>
      <c r="G788">
        <v>3016</v>
      </c>
      <c r="H788" t="s">
        <v>33</v>
      </c>
      <c r="I788" t="b">
        <f t="shared" si="12"/>
        <v>0</v>
      </c>
    </row>
    <row r="789" spans="1:9" x14ac:dyDescent="0.2">
      <c r="A789" t="s">
        <v>2541</v>
      </c>
      <c r="B789" t="s">
        <v>2542</v>
      </c>
      <c r="C789" t="s">
        <v>2543</v>
      </c>
      <c r="D789" t="s">
        <v>3</v>
      </c>
      <c r="E789" t="s">
        <v>4</v>
      </c>
      <c r="F789">
        <v>19</v>
      </c>
      <c r="G789">
        <v>43</v>
      </c>
      <c r="H789" t="s">
        <v>13</v>
      </c>
      <c r="I789" t="b">
        <f t="shared" si="12"/>
        <v>0</v>
      </c>
    </row>
    <row r="790" spans="1:9" x14ac:dyDescent="0.2">
      <c r="A790" t="s">
        <v>4509</v>
      </c>
      <c r="B790" t="s">
        <v>4510</v>
      </c>
      <c r="C790" t="s">
        <v>1267</v>
      </c>
      <c r="D790" t="s">
        <v>3</v>
      </c>
      <c r="E790" t="s">
        <v>4</v>
      </c>
      <c r="F790">
        <v>450</v>
      </c>
      <c r="G790">
        <v>977</v>
      </c>
      <c r="H790" t="s">
        <v>13</v>
      </c>
      <c r="I790" t="b">
        <f t="shared" si="12"/>
        <v>0</v>
      </c>
    </row>
    <row r="791" spans="1:9" x14ac:dyDescent="0.2">
      <c r="A791" t="s">
        <v>4094</v>
      </c>
      <c r="B791" t="s">
        <v>4095</v>
      </c>
      <c r="C791" t="s">
        <v>177</v>
      </c>
      <c r="D791" t="s">
        <v>3</v>
      </c>
      <c r="E791" t="s">
        <v>4</v>
      </c>
      <c r="F791">
        <v>137</v>
      </c>
      <c r="G791">
        <v>180</v>
      </c>
      <c r="H791" t="s">
        <v>13</v>
      </c>
      <c r="I791" t="b">
        <f t="shared" si="12"/>
        <v>0</v>
      </c>
    </row>
    <row r="792" spans="1:9" x14ac:dyDescent="0.2">
      <c r="A792" t="s">
        <v>2074</v>
      </c>
      <c r="B792" t="s">
        <v>2075</v>
      </c>
      <c r="C792" t="s">
        <v>301</v>
      </c>
      <c r="D792" t="s">
        <v>2076</v>
      </c>
      <c r="E792" t="s">
        <v>4</v>
      </c>
      <c r="F792">
        <v>176</v>
      </c>
      <c r="G792">
        <v>433</v>
      </c>
      <c r="H792" t="s">
        <v>13</v>
      </c>
      <c r="I792" t="b">
        <f t="shared" si="12"/>
        <v>0</v>
      </c>
    </row>
    <row r="793" spans="1:9" x14ac:dyDescent="0.2">
      <c r="A793" t="s">
        <v>966</v>
      </c>
      <c r="B793" t="s">
        <v>967</v>
      </c>
      <c r="C793" t="s">
        <v>226</v>
      </c>
      <c r="D793" t="s">
        <v>227</v>
      </c>
      <c r="E793" t="s">
        <v>4</v>
      </c>
      <c r="F793">
        <v>9223</v>
      </c>
      <c r="G793">
        <v>7169</v>
      </c>
      <c r="H793" t="s">
        <v>13</v>
      </c>
      <c r="I793" t="b">
        <f t="shared" si="12"/>
        <v>0</v>
      </c>
    </row>
    <row r="794" spans="1:9" x14ac:dyDescent="0.2">
      <c r="A794" t="s">
        <v>4637</v>
      </c>
      <c r="B794" t="s">
        <v>4638</v>
      </c>
      <c r="C794" t="s">
        <v>1267</v>
      </c>
      <c r="D794" t="s">
        <v>2280</v>
      </c>
      <c r="E794" t="s">
        <v>4</v>
      </c>
      <c r="F794">
        <v>1102</v>
      </c>
      <c r="G794">
        <v>431</v>
      </c>
      <c r="H794" t="s">
        <v>13</v>
      </c>
      <c r="I794" t="b">
        <f t="shared" si="12"/>
        <v>0</v>
      </c>
    </row>
    <row r="795" spans="1:9" x14ac:dyDescent="0.2">
      <c r="A795" t="s">
        <v>6148</v>
      </c>
      <c r="B795" t="s">
        <v>6149</v>
      </c>
      <c r="C795" t="s">
        <v>6150</v>
      </c>
      <c r="D795" t="s">
        <v>6151</v>
      </c>
      <c r="E795" t="s">
        <v>4</v>
      </c>
      <c r="F795">
        <v>352</v>
      </c>
      <c r="G795">
        <v>589</v>
      </c>
      <c r="H795" t="s">
        <v>13</v>
      </c>
      <c r="I795" t="b">
        <f t="shared" si="12"/>
        <v>0</v>
      </c>
    </row>
    <row r="796" spans="1:9" x14ac:dyDescent="0.2">
      <c r="A796" t="s">
        <v>6539</v>
      </c>
      <c r="B796" t="s">
        <v>6540</v>
      </c>
      <c r="C796" t="s">
        <v>6541</v>
      </c>
      <c r="D796" t="s">
        <v>3</v>
      </c>
      <c r="E796" t="s">
        <v>4</v>
      </c>
      <c r="F796">
        <v>50</v>
      </c>
      <c r="G796">
        <v>130</v>
      </c>
      <c r="H796" t="s">
        <v>266</v>
      </c>
      <c r="I796" t="b">
        <f t="shared" si="12"/>
        <v>0</v>
      </c>
    </row>
    <row r="797" spans="1:9" x14ac:dyDescent="0.2">
      <c r="A797" t="s">
        <v>4117</v>
      </c>
      <c r="B797" t="s">
        <v>4118</v>
      </c>
      <c r="C797" t="s">
        <v>4119</v>
      </c>
      <c r="D797" t="s">
        <v>4120</v>
      </c>
      <c r="E797" t="s">
        <v>4</v>
      </c>
      <c r="F797">
        <v>1536</v>
      </c>
      <c r="G797">
        <v>3077</v>
      </c>
      <c r="H797" t="s">
        <v>13</v>
      </c>
      <c r="I797" t="b">
        <f t="shared" si="12"/>
        <v>0</v>
      </c>
    </row>
    <row r="798" spans="1:9" x14ac:dyDescent="0.2">
      <c r="A798" t="s">
        <v>4954</v>
      </c>
      <c r="B798" t="s">
        <v>4955</v>
      </c>
      <c r="C798" t="s">
        <v>533</v>
      </c>
      <c r="D798" t="s">
        <v>4956</v>
      </c>
      <c r="E798" t="s">
        <v>4</v>
      </c>
      <c r="F798">
        <v>22095</v>
      </c>
      <c r="G798">
        <v>273</v>
      </c>
      <c r="H798" t="s">
        <v>13</v>
      </c>
      <c r="I798" t="b">
        <f t="shared" si="12"/>
        <v>0</v>
      </c>
    </row>
    <row r="799" spans="1:9" x14ac:dyDescent="0.2">
      <c r="A799" t="s">
        <v>4657</v>
      </c>
      <c r="B799" t="s">
        <v>4658</v>
      </c>
      <c r="C799" t="s">
        <v>4659</v>
      </c>
      <c r="D799" t="s">
        <v>4660</v>
      </c>
      <c r="E799" t="s">
        <v>4</v>
      </c>
      <c r="F799">
        <v>5169</v>
      </c>
      <c r="G799">
        <v>2709</v>
      </c>
      <c r="H799" t="s">
        <v>13</v>
      </c>
      <c r="I799" t="b">
        <f t="shared" si="12"/>
        <v>0</v>
      </c>
    </row>
    <row r="800" spans="1:9" x14ac:dyDescent="0.2">
      <c r="A800" t="s">
        <v>4246</v>
      </c>
      <c r="B800" t="s">
        <v>4247</v>
      </c>
      <c r="C800" t="s">
        <v>248</v>
      </c>
      <c r="D800" t="s">
        <v>4248</v>
      </c>
      <c r="E800" t="s">
        <v>4</v>
      </c>
      <c r="F800">
        <v>767</v>
      </c>
      <c r="G800">
        <v>605</v>
      </c>
      <c r="H800" t="s">
        <v>13</v>
      </c>
      <c r="I800" t="b">
        <f t="shared" si="12"/>
        <v>1</v>
      </c>
    </row>
    <row r="801" spans="1:9" x14ac:dyDescent="0.2">
      <c r="A801" t="s">
        <v>2521</v>
      </c>
      <c r="B801" t="s">
        <v>2522</v>
      </c>
      <c r="C801" t="s">
        <v>125</v>
      </c>
      <c r="D801" t="s">
        <v>3</v>
      </c>
      <c r="E801" t="s">
        <v>4</v>
      </c>
      <c r="F801">
        <v>218</v>
      </c>
      <c r="G801">
        <v>126</v>
      </c>
      <c r="H801" t="s">
        <v>126</v>
      </c>
      <c r="I801" t="b">
        <f t="shared" si="12"/>
        <v>0</v>
      </c>
    </row>
    <row r="802" spans="1:9" x14ac:dyDescent="0.2">
      <c r="A802" t="s">
        <v>1075</v>
      </c>
      <c r="B802" t="s">
        <v>1076</v>
      </c>
      <c r="C802" t="s">
        <v>611</v>
      </c>
      <c r="D802" t="s">
        <v>1077</v>
      </c>
      <c r="E802" t="s">
        <v>4</v>
      </c>
      <c r="F802">
        <v>0</v>
      </c>
      <c r="G802">
        <v>32</v>
      </c>
      <c r="H802" t="s">
        <v>645</v>
      </c>
      <c r="I802" t="b">
        <f t="shared" si="12"/>
        <v>0</v>
      </c>
    </row>
    <row r="803" spans="1:9" x14ac:dyDescent="0.2">
      <c r="A803" t="s">
        <v>297</v>
      </c>
      <c r="B803" t="s">
        <v>298</v>
      </c>
      <c r="C803" t="s">
        <v>190</v>
      </c>
      <c r="D803" t="s">
        <v>3</v>
      </c>
      <c r="E803" t="s">
        <v>4</v>
      </c>
      <c r="F803">
        <v>2866</v>
      </c>
      <c r="G803">
        <v>6</v>
      </c>
      <c r="H803" t="s">
        <v>13</v>
      </c>
      <c r="I803" t="b">
        <f t="shared" si="12"/>
        <v>1</v>
      </c>
    </row>
    <row r="804" spans="1:9" x14ac:dyDescent="0.2">
      <c r="A804" t="s">
        <v>551</v>
      </c>
      <c r="B804" t="s">
        <v>552</v>
      </c>
      <c r="C804" t="s">
        <v>190</v>
      </c>
      <c r="D804" t="s">
        <v>3</v>
      </c>
      <c r="E804" t="s">
        <v>4</v>
      </c>
      <c r="F804">
        <v>2866</v>
      </c>
      <c r="G804">
        <v>6</v>
      </c>
      <c r="H804" t="s">
        <v>13</v>
      </c>
      <c r="I804" t="b">
        <f t="shared" si="12"/>
        <v>1</v>
      </c>
    </row>
    <row r="805" spans="1:9" x14ac:dyDescent="0.2">
      <c r="A805" t="s">
        <v>5439</v>
      </c>
      <c r="B805" t="s">
        <v>5440</v>
      </c>
      <c r="C805" t="s">
        <v>190</v>
      </c>
      <c r="D805" t="s">
        <v>3</v>
      </c>
      <c r="E805" t="s">
        <v>4</v>
      </c>
      <c r="F805">
        <v>2868</v>
      </c>
      <c r="G805">
        <v>6</v>
      </c>
      <c r="H805" t="s">
        <v>13</v>
      </c>
      <c r="I805" t="b">
        <f t="shared" si="12"/>
        <v>1</v>
      </c>
    </row>
    <row r="806" spans="1:9" x14ac:dyDescent="0.2">
      <c r="A806" t="s">
        <v>188</v>
      </c>
      <c r="B806" t="s">
        <v>189</v>
      </c>
      <c r="C806" t="s">
        <v>190</v>
      </c>
      <c r="D806" t="s">
        <v>3</v>
      </c>
      <c r="E806" t="s">
        <v>4</v>
      </c>
      <c r="F806">
        <v>2866</v>
      </c>
      <c r="G806">
        <v>6</v>
      </c>
      <c r="H806" t="s">
        <v>13</v>
      </c>
      <c r="I806" t="b">
        <f t="shared" si="12"/>
        <v>1</v>
      </c>
    </row>
    <row r="807" spans="1:9" x14ac:dyDescent="0.2">
      <c r="A807" t="s">
        <v>3870</v>
      </c>
      <c r="B807" t="s">
        <v>3871</v>
      </c>
      <c r="C807" t="s">
        <v>190</v>
      </c>
      <c r="D807" t="s">
        <v>3</v>
      </c>
      <c r="E807" t="s">
        <v>4</v>
      </c>
      <c r="F807">
        <v>2868</v>
      </c>
      <c r="G807">
        <v>6</v>
      </c>
      <c r="H807" t="s">
        <v>13</v>
      </c>
      <c r="I807" t="b">
        <f t="shared" si="12"/>
        <v>1</v>
      </c>
    </row>
    <row r="808" spans="1:9" x14ac:dyDescent="0.2">
      <c r="A808" t="s">
        <v>5611</v>
      </c>
      <c r="B808" t="s">
        <v>5612</v>
      </c>
      <c r="C808" t="s">
        <v>190</v>
      </c>
      <c r="D808" t="s">
        <v>3</v>
      </c>
      <c r="E808" t="s">
        <v>4</v>
      </c>
      <c r="F808">
        <v>2868</v>
      </c>
      <c r="G808">
        <v>6</v>
      </c>
      <c r="H808" t="s">
        <v>13</v>
      </c>
      <c r="I808" t="b">
        <f t="shared" si="12"/>
        <v>1</v>
      </c>
    </row>
    <row r="809" spans="1:9" x14ac:dyDescent="0.2">
      <c r="A809" t="s">
        <v>2122</v>
      </c>
      <c r="B809" t="s">
        <v>2123</v>
      </c>
      <c r="C809" t="s">
        <v>190</v>
      </c>
      <c r="D809" t="s">
        <v>3</v>
      </c>
      <c r="E809" t="s">
        <v>4</v>
      </c>
      <c r="F809">
        <v>2867</v>
      </c>
      <c r="G809">
        <v>6</v>
      </c>
      <c r="H809" t="s">
        <v>13</v>
      </c>
      <c r="I809" t="b">
        <f t="shared" si="12"/>
        <v>1</v>
      </c>
    </row>
    <row r="810" spans="1:9" x14ac:dyDescent="0.2">
      <c r="A810" t="s">
        <v>2722</v>
      </c>
      <c r="B810" t="s">
        <v>2723</v>
      </c>
      <c r="C810" t="s">
        <v>190</v>
      </c>
      <c r="D810" t="s">
        <v>3</v>
      </c>
      <c r="E810" t="s">
        <v>4</v>
      </c>
      <c r="F810">
        <v>2868</v>
      </c>
      <c r="G810">
        <v>6</v>
      </c>
      <c r="H810" t="s">
        <v>13</v>
      </c>
      <c r="I810" t="b">
        <f t="shared" si="12"/>
        <v>1</v>
      </c>
    </row>
    <row r="811" spans="1:9" x14ac:dyDescent="0.2">
      <c r="A811" t="s">
        <v>6515</v>
      </c>
      <c r="B811" t="s">
        <v>6517</v>
      </c>
      <c r="C811" t="s">
        <v>190</v>
      </c>
      <c r="D811" t="s">
        <v>3</v>
      </c>
      <c r="E811" t="s">
        <v>4</v>
      </c>
      <c r="F811">
        <v>2868</v>
      </c>
      <c r="G811">
        <v>6</v>
      </c>
      <c r="H811" t="s">
        <v>13</v>
      </c>
      <c r="I811" t="b">
        <f t="shared" si="12"/>
        <v>1</v>
      </c>
    </row>
    <row r="812" spans="1:9" x14ac:dyDescent="0.2">
      <c r="A812" t="s">
        <v>1744</v>
      </c>
      <c r="B812" t="s">
        <v>1745</v>
      </c>
      <c r="C812" t="s">
        <v>190</v>
      </c>
      <c r="D812" t="s">
        <v>3</v>
      </c>
      <c r="E812" t="s">
        <v>4</v>
      </c>
      <c r="F812">
        <v>2867</v>
      </c>
      <c r="G812">
        <v>6</v>
      </c>
      <c r="H812" t="s">
        <v>13</v>
      </c>
      <c r="I812" t="b">
        <f t="shared" si="12"/>
        <v>1</v>
      </c>
    </row>
    <row r="813" spans="1:9" x14ac:dyDescent="0.2">
      <c r="A813" t="s">
        <v>1631</v>
      </c>
      <c r="B813" t="s">
        <v>1632</v>
      </c>
      <c r="C813" t="s">
        <v>190</v>
      </c>
      <c r="D813" t="s">
        <v>3</v>
      </c>
      <c r="E813" t="s">
        <v>4</v>
      </c>
      <c r="F813">
        <v>2867</v>
      </c>
      <c r="G813">
        <v>6</v>
      </c>
      <c r="H813" t="s">
        <v>13</v>
      </c>
      <c r="I813" t="b">
        <f t="shared" si="12"/>
        <v>1</v>
      </c>
    </row>
    <row r="814" spans="1:9" x14ac:dyDescent="0.2">
      <c r="A814" t="s">
        <v>4251</v>
      </c>
      <c r="B814" t="s">
        <v>4253</v>
      </c>
      <c r="C814" t="s">
        <v>190</v>
      </c>
      <c r="D814" t="s">
        <v>3</v>
      </c>
      <c r="E814" t="s">
        <v>4</v>
      </c>
      <c r="F814">
        <v>2868</v>
      </c>
      <c r="G814">
        <v>6</v>
      </c>
      <c r="H814" t="s">
        <v>13</v>
      </c>
      <c r="I814" t="b">
        <f t="shared" si="12"/>
        <v>1</v>
      </c>
    </row>
    <row r="815" spans="1:9" x14ac:dyDescent="0.2">
      <c r="A815" t="s">
        <v>7187</v>
      </c>
      <c r="B815" t="s">
        <v>7188</v>
      </c>
      <c r="C815" t="s">
        <v>190</v>
      </c>
      <c r="D815" t="s">
        <v>3</v>
      </c>
      <c r="E815" t="s">
        <v>4</v>
      </c>
      <c r="F815">
        <v>2866</v>
      </c>
      <c r="G815">
        <v>6</v>
      </c>
      <c r="H815" t="s">
        <v>13</v>
      </c>
      <c r="I815" t="b">
        <f t="shared" si="12"/>
        <v>1</v>
      </c>
    </row>
    <row r="816" spans="1:9" x14ac:dyDescent="0.2">
      <c r="A816" t="s">
        <v>6954</v>
      </c>
      <c r="B816" t="s">
        <v>6955</v>
      </c>
      <c r="C816" t="s">
        <v>190</v>
      </c>
      <c r="D816" t="s">
        <v>3</v>
      </c>
      <c r="E816" t="s">
        <v>4</v>
      </c>
      <c r="F816">
        <v>2866</v>
      </c>
      <c r="G816">
        <v>6</v>
      </c>
      <c r="H816" t="s">
        <v>13</v>
      </c>
      <c r="I816" t="b">
        <f t="shared" si="12"/>
        <v>1</v>
      </c>
    </row>
    <row r="817" spans="1:9" x14ac:dyDescent="0.2">
      <c r="A817" t="s">
        <v>3695</v>
      </c>
      <c r="B817" t="s">
        <v>3696</v>
      </c>
      <c r="C817" t="s">
        <v>190</v>
      </c>
      <c r="D817" t="s">
        <v>3</v>
      </c>
      <c r="E817" t="s">
        <v>4</v>
      </c>
      <c r="F817">
        <v>2868</v>
      </c>
      <c r="G817">
        <v>6</v>
      </c>
      <c r="H817" t="s">
        <v>13</v>
      </c>
      <c r="I817" t="b">
        <f t="shared" si="12"/>
        <v>1</v>
      </c>
    </row>
    <row r="818" spans="1:9" x14ac:dyDescent="0.2">
      <c r="A818" t="s">
        <v>6131</v>
      </c>
      <c r="B818" t="s">
        <v>6132</v>
      </c>
      <c r="C818" t="s">
        <v>190</v>
      </c>
      <c r="D818" t="s">
        <v>3</v>
      </c>
      <c r="E818" t="s">
        <v>4</v>
      </c>
      <c r="F818">
        <v>2868</v>
      </c>
      <c r="G818">
        <v>6</v>
      </c>
      <c r="H818" t="s">
        <v>13</v>
      </c>
      <c r="I818" t="b">
        <f t="shared" si="12"/>
        <v>1</v>
      </c>
    </row>
    <row r="819" spans="1:9" x14ac:dyDescent="0.2">
      <c r="A819" t="s">
        <v>3409</v>
      </c>
      <c r="B819" t="s">
        <v>3410</v>
      </c>
      <c r="C819" t="s">
        <v>190</v>
      </c>
      <c r="D819" t="s">
        <v>3</v>
      </c>
      <c r="E819" t="s">
        <v>4</v>
      </c>
      <c r="F819">
        <v>2868</v>
      </c>
      <c r="G819">
        <v>6</v>
      </c>
      <c r="H819" t="s">
        <v>13</v>
      </c>
      <c r="I819" t="b">
        <f t="shared" si="12"/>
        <v>1</v>
      </c>
    </row>
    <row r="820" spans="1:9" x14ac:dyDescent="0.2">
      <c r="A820" t="s">
        <v>4859</v>
      </c>
      <c r="B820" t="s">
        <v>4860</v>
      </c>
      <c r="C820" t="s">
        <v>190</v>
      </c>
      <c r="D820" t="s">
        <v>3</v>
      </c>
      <c r="E820" t="s">
        <v>4</v>
      </c>
      <c r="F820">
        <v>2868</v>
      </c>
      <c r="G820">
        <v>6</v>
      </c>
      <c r="H820" t="s">
        <v>13</v>
      </c>
      <c r="I820" t="b">
        <f t="shared" si="12"/>
        <v>1</v>
      </c>
    </row>
    <row r="821" spans="1:9" x14ac:dyDescent="0.2">
      <c r="A821" t="s">
        <v>3036</v>
      </c>
      <c r="B821" t="s">
        <v>3037</v>
      </c>
      <c r="C821" t="s">
        <v>190</v>
      </c>
      <c r="D821" t="s">
        <v>3</v>
      </c>
      <c r="E821" t="s">
        <v>4</v>
      </c>
      <c r="F821">
        <v>2868</v>
      </c>
      <c r="G821">
        <v>6</v>
      </c>
      <c r="H821" t="s">
        <v>13</v>
      </c>
      <c r="I821" t="b">
        <f t="shared" si="12"/>
        <v>0</v>
      </c>
    </row>
    <row r="822" spans="1:9" x14ac:dyDescent="0.2">
      <c r="A822" t="s">
        <v>3868</v>
      </c>
      <c r="B822" t="s">
        <v>3869</v>
      </c>
      <c r="C822" t="s">
        <v>279</v>
      </c>
      <c r="D822" t="s">
        <v>569</v>
      </c>
      <c r="E822" t="s">
        <v>4</v>
      </c>
      <c r="F822">
        <v>299</v>
      </c>
      <c r="G822">
        <v>310</v>
      </c>
      <c r="H822" t="s">
        <v>13</v>
      </c>
      <c r="I822" t="b">
        <f t="shared" si="12"/>
        <v>0</v>
      </c>
    </row>
    <row r="823" spans="1:9" x14ac:dyDescent="0.2">
      <c r="A823" t="s">
        <v>951</v>
      </c>
      <c r="B823" t="s">
        <v>952</v>
      </c>
      <c r="C823" t="s">
        <v>436</v>
      </c>
      <c r="D823" t="s">
        <v>3</v>
      </c>
      <c r="E823" t="s">
        <v>4</v>
      </c>
      <c r="F823">
        <v>12</v>
      </c>
      <c r="G823">
        <v>1</v>
      </c>
      <c r="H823" t="s">
        <v>13</v>
      </c>
      <c r="I823" t="b">
        <f t="shared" si="12"/>
        <v>1</v>
      </c>
    </row>
    <row r="824" spans="1:9" x14ac:dyDescent="0.2">
      <c r="A824" t="s">
        <v>434</v>
      </c>
      <c r="B824" t="s">
        <v>435</v>
      </c>
      <c r="C824" t="s">
        <v>436</v>
      </c>
      <c r="D824" t="s">
        <v>3</v>
      </c>
      <c r="E824" t="s">
        <v>4</v>
      </c>
      <c r="F824">
        <v>12</v>
      </c>
      <c r="G824">
        <v>1</v>
      </c>
      <c r="H824" t="s">
        <v>13</v>
      </c>
      <c r="I824" t="b">
        <f t="shared" si="12"/>
        <v>1</v>
      </c>
    </row>
    <row r="825" spans="1:9" x14ac:dyDescent="0.2">
      <c r="A825" t="s">
        <v>1448</v>
      </c>
      <c r="B825" t="s">
        <v>1449</v>
      </c>
      <c r="C825" t="s">
        <v>436</v>
      </c>
      <c r="D825" t="s">
        <v>3</v>
      </c>
      <c r="E825" t="s">
        <v>4</v>
      </c>
      <c r="F825">
        <v>12</v>
      </c>
      <c r="G825">
        <v>1</v>
      </c>
      <c r="H825" t="s">
        <v>13</v>
      </c>
      <c r="I825" t="b">
        <f t="shared" si="12"/>
        <v>1</v>
      </c>
    </row>
    <row r="826" spans="1:9" x14ac:dyDescent="0.2">
      <c r="A826" t="s">
        <v>3881</v>
      </c>
      <c r="B826" t="s">
        <v>3882</v>
      </c>
      <c r="C826" t="s">
        <v>436</v>
      </c>
      <c r="D826" t="s">
        <v>3</v>
      </c>
      <c r="E826" t="s">
        <v>4</v>
      </c>
      <c r="F826">
        <v>12</v>
      </c>
      <c r="G826">
        <v>1</v>
      </c>
      <c r="H826" t="s">
        <v>13</v>
      </c>
      <c r="I826" t="b">
        <f t="shared" si="12"/>
        <v>1</v>
      </c>
    </row>
    <row r="827" spans="1:9" x14ac:dyDescent="0.2">
      <c r="A827" t="s">
        <v>5042</v>
      </c>
      <c r="B827" t="s">
        <v>5043</v>
      </c>
      <c r="C827" t="s">
        <v>436</v>
      </c>
      <c r="D827" t="s">
        <v>3</v>
      </c>
      <c r="E827" t="s">
        <v>4</v>
      </c>
      <c r="F827">
        <v>12</v>
      </c>
      <c r="G827">
        <v>1</v>
      </c>
      <c r="H827" t="s">
        <v>13</v>
      </c>
      <c r="I827" t="b">
        <f t="shared" si="12"/>
        <v>1</v>
      </c>
    </row>
    <row r="828" spans="1:9" x14ac:dyDescent="0.2">
      <c r="A828" t="s">
        <v>2036</v>
      </c>
      <c r="B828" t="s">
        <v>2037</v>
      </c>
      <c r="C828" t="s">
        <v>436</v>
      </c>
      <c r="D828" t="s">
        <v>3</v>
      </c>
      <c r="E828" t="s">
        <v>4</v>
      </c>
      <c r="F828">
        <v>12</v>
      </c>
      <c r="G828">
        <v>1</v>
      </c>
      <c r="H828" t="s">
        <v>13</v>
      </c>
      <c r="I828" t="b">
        <f t="shared" si="12"/>
        <v>1</v>
      </c>
    </row>
    <row r="829" spans="1:9" x14ac:dyDescent="0.2">
      <c r="A829" t="s">
        <v>5528</v>
      </c>
      <c r="B829" t="s">
        <v>5529</v>
      </c>
      <c r="C829" t="s">
        <v>436</v>
      </c>
      <c r="D829" t="s">
        <v>3</v>
      </c>
      <c r="E829" t="s">
        <v>4</v>
      </c>
      <c r="F829">
        <v>12</v>
      </c>
      <c r="G829">
        <v>1</v>
      </c>
      <c r="H829" t="s">
        <v>13</v>
      </c>
      <c r="I829" t="b">
        <f t="shared" si="12"/>
        <v>1</v>
      </c>
    </row>
    <row r="830" spans="1:9" x14ac:dyDescent="0.2">
      <c r="A830" t="s">
        <v>7196</v>
      </c>
      <c r="B830" t="s">
        <v>7197</v>
      </c>
      <c r="C830" t="s">
        <v>436</v>
      </c>
      <c r="D830" t="s">
        <v>3</v>
      </c>
      <c r="E830" t="s">
        <v>4</v>
      </c>
      <c r="F830">
        <v>12</v>
      </c>
      <c r="G830">
        <v>1</v>
      </c>
      <c r="H830" t="s">
        <v>13</v>
      </c>
      <c r="I830" t="b">
        <f t="shared" si="12"/>
        <v>1</v>
      </c>
    </row>
    <row r="831" spans="1:9" x14ac:dyDescent="0.2">
      <c r="A831" t="s">
        <v>3261</v>
      </c>
      <c r="B831" t="s">
        <v>3262</v>
      </c>
      <c r="C831" t="s">
        <v>436</v>
      </c>
      <c r="D831" t="s">
        <v>3</v>
      </c>
      <c r="E831" t="s">
        <v>4</v>
      </c>
      <c r="F831">
        <v>12</v>
      </c>
      <c r="G831">
        <v>1</v>
      </c>
      <c r="H831" t="s">
        <v>13</v>
      </c>
      <c r="I831" t="b">
        <f t="shared" si="12"/>
        <v>1</v>
      </c>
    </row>
    <row r="832" spans="1:9" x14ac:dyDescent="0.2">
      <c r="A832" t="s">
        <v>4476</v>
      </c>
      <c r="B832" t="s">
        <v>4477</v>
      </c>
      <c r="C832" t="s">
        <v>436</v>
      </c>
      <c r="D832" t="s">
        <v>3</v>
      </c>
      <c r="E832" t="s">
        <v>4</v>
      </c>
      <c r="F832">
        <v>12</v>
      </c>
      <c r="G832">
        <v>1</v>
      </c>
      <c r="H832" t="s">
        <v>13</v>
      </c>
      <c r="I832" t="b">
        <f t="shared" si="12"/>
        <v>1</v>
      </c>
    </row>
    <row r="833" spans="1:9" x14ac:dyDescent="0.2">
      <c r="A833" t="s">
        <v>6098</v>
      </c>
      <c r="B833" t="s">
        <v>6099</v>
      </c>
      <c r="C833" t="s">
        <v>436</v>
      </c>
      <c r="D833" t="s">
        <v>3</v>
      </c>
      <c r="E833" t="s">
        <v>4</v>
      </c>
      <c r="F833">
        <v>12</v>
      </c>
      <c r="G833">
        <v>1</v>
      </c>
      <c r="H833" t="s">
        <v>13</v>
      </c>
      <c r="I833" t="b">
        <f t="shared" si="12"/>
        <v>1</v>
      </c>
    </row>
    <row r="834" spans="1:9" x14ac:dyDescent="0.2">
      <c r="A834" t="s">
        <v>2612</v>
      </c>
      <c r="B834" t="s">
        <v>2613</v>
      </c>
      <c r="C834" t="s">
        <v>436</v>
      </c>
      <c r="D834" t="s">
        <v>3</v>
      </c>
      <c r="E834" t="s">
        <v>4</v>
      </c>
      <c r="F834">
        <v>12</v>
      </c>
      <c r="G834">
        <v>1</v>
      </c>
      <c r="H834" t="s">
        <v>13</v>
      </c>
      <c r="I834" t="b">
        <f t="shared" si="12"/>
        <v>1</v>
      </c>
    </row>
    <row r="835" spans="1:9" x14ac:dyDescent="0.2">
      <c r="A835" t="s">
        <v>6704</v>
      </c>
      <c r="B835" t="s">
        <v>6705</v>
      </c>
      <c r="C835" t="s">
        <v>436</v>
      </c>
      <c r="D835" t="s">
        <v>3</v>
      </c>
      <c r="E835" t="s">
        <v>4</v>
      </c>
      <c r="F835">
        <v>12</v>
      </c>
      <c r="G835">
        <v>1</v>
      </c>
      <c r="H835" t="s">
        <v>13</v>
      </c>
      <c r="I835" t="b">
        <f t="shared" ref="I835:I898" si="13">isDup(B835, B836, 0.7)</f>
        <v>0</v>
      </c>
    </row>
    <row r="836" spans="1:9" x14ac:dyDescent="0.2">
      <c r="A836" t="s">
        <v>2147</v>
      </c>
      <c r="B836" t="s">
        <v>2148</v>
      </c>
      <c r="C836" t="s">
        <v>2149</v>
      </c>
      <c r="D836" t="s">
        <v>2150</v>
      </c>
      <c r="E836" t="s">
        <v>4</v>
      </c>
      <c r="F836">
        <v>288</v>
      </c>
      <c r="G836">
        <v>998</v>
      </c>
      <c r="H836" t="s">
        <v>13</v>
      </c>
      <c r="I836" t="b">
        <f t="shared" si="13"/>
        <v>0</v>
      </c>
    </row>
    <row r="837" spans="1:9" x14ac:dyDescent="0.2">
      <c r="A837" t="s">
        <v>1654</v>
      </c>
      <c r="B837" t="s">
        <v>1655</v>
      </c>
      <c r="C837" t="s">
        <v>1656</v>
      </c>
      <c r="D837" t="s">
        <v>1657</v>
      </c>
      <c r="E837" t="s">
        <v>4</v>
      </c>
      <c r="F837">
        <v>33981</v>
      </c>
      <c r="G837">
        <v>9443</v>
      </c>
      <c r="H837" t="s">
        <v>13</v>
      </c>
      <c r="I837" t="b">
        <f t="shared" si="13"/>
        <v>0</v>
      </c>
    </row>
    <row r="838" spans="1:9" x14ac:dyDescent="0.2">
      <c r="A838" t="s">
        <v>1486</v>
      </c>
      <c r="B838" t="s">
        <v>1487</v>
      </c>
      <c r="C838" t="s">
        <v>786</v>
      </c>
      <c r="D838" t="s">
        <v>1488</v>
      </c>
      <c r="E838" t="s">
        <v>4</v>
      </c>
      <c r="F838">
        <v>105</v>
      </c>
      <c r="G838">
        <v>637</v>
      </c>
      <c r="H838" t="s">
        <v>374</v>
      </c>
      <c r="I838" t="b">
        <f t="shared" si="13"/>
        <v>0</v>
      </c>
    </row>
    <row r="839" spans="1:9" x14ac:dyDescent="0.2">
      <c r="A839" t="s">
        <v>7208</v>
      </c>
      <c r="B839" t="s">
        <v>7209</v>
      </c>
      <c r="C839" t="s">
        <v>7210</v>
      </c>
      <c r="D839" t="s">
        <v>481</v>
      </c>
      <c r="E839" t="s">
        <v>4</v>
      </c>
      <c r="F839">
        <v>2100</v>
      </c>
      <c r="G839">
        <v>241</v>
      </c>
      <c r="H839" t="s">
        <v>13</v>
      </c>
      <c r="I839" t="b">
        <f t="shared" si="13"/>
        <v>0</v>
      </c>
    </row>
    <row r="840" spans="1:9" x14ac:dyDescent="0.2">
      <c r="A840" t="s">
        <v>1733</v>
      </c>
      <c r="B840" t="s">
        <v>1734</v>
      </c>
      <c r="C840" t="s">
        <v>1735</v>
      </c>
      <c r="D840" t="s">
        <v>1736</v>
      </c>
      <c r="E840" t="s">
        <v>4</v>
      </c>
      <c r="F840">
        <v>676</v>
      </c>
      <c r="G840">
        <v>4999</v>
      </c>
      <c r="H840" t="s">
        <v>13</v>
      </c>
      <c r="I840" t="b">
        <f t="shared" si="13"/>
        <v>0</v>
      </c>
    </row>
    <row r="841" spans="1:9" x14ac:dyDescent="0.2">
      <c r="A841" t="s">
        <v>1917</v>
      </c>
      <c r="B841" t="s">
        <v>1919</v>
      </c>
      <c r="C841" t="s">
        <v>568</v>
      </c>
      <c r="D841" t="s">
        <v>569</v>
      </c>
      <c r="E841" t="s">
        <v>4</v>
      </c>
      <c r="F841">
        <v>998</v>
      </c>
      <c r="G841">
        <v>1</v>
      </c>
      <c r="H841" t="s">
        <v>363</v>
      </c>
      <c r="I841" t="b">
        <f t="shared" si="13"/>
        <v>1</v>
      </c>
    </row>
    <row r="842" spans="1:9" x14ac:dyDescent="0.2">
      <c r="A842" t="s">
        <v>2670</v>
      </c>
      <c r="B842" t="s">
        <v>2671</v>
      </c>
      <c r="C842" t="s">
        <v>568</v>
      </c>
      <c r="D842" t="s">
        <v>569</v>
      </c>
      <c r="E842" t="s">
        <v>4</v>
      </c>
      <c r="F842">
        <v>998</v>
      </c>
      <c r="G842">
        <v>1</v>
      </c>
      <c r="H842" t="s">
        <v>363</v>
      </c>
      <c r="I842" t="b">
        <f t="shared" si="13"/>
        <v>1</v>
      </c>
    </row>
    <row r="843" spans="1:9" x14ac:dyDescent="0.2">
      <c r="A843" t="s">
        <v>7054</v>
      </c>
      <c r="B843" t="s">
        <v>7055</v>
      </c>
      <c r="C843" t="s">
        <v>568</v>
      </c>
      <c r="D843" t="s">
        <v>569</v>
      </c>
      <c r="E843" t="s">
        <v>4</v>
      </c>
      <c r="F843">
        <v>997</v>
      </c>
      <c r="G843">
        <v>1</v>
      </c>
      <c r="H843" t="s">
        <v>363</v>
      </c>
      <c r="I843" t="b">
        <f t="shared" si="13"/>
        <v>1</v>
      </c>
    </row>
    <row r="844" spans="1:9" x14ac:dyDescent="0.2">
      <c r="A844" t="s">
        <v>5614</v>
      </c>
      <c r="B844" t="s">
        <v>5616</v>
      </c>
      <c r="C844" t="s">
        <v>568</v>
      </c>
      <c r="D844" t="s">
        <v>569</v>
      </c>
      <c r="E844" t="s">
        <v>4</v>
      </c>
      <c r="F844">
        <v>997</v>
      </c>
      <c r="G844">
        <v>1</v>
      </c>
      <c r="H844" t="s">
        <v>363</v>
      </c>
      <c r="I844" t="b">
        <f t="shared" si="13"/>
        <v>1</v>
      </c>
    </row>
    <row r="845" spans="1:9" x14ac:dyDescent="0.2">
      <c r="A845" t="s">
        <v>4254</v>
      </c>
      <c r="B845" t="s">
        <v>4258</v>
      </c>
      <c r="C845" t="s">
        <v>568</v>
      </c>
      <c r="D845" t="s">
        <v>569</v>
      </c>
      <c r="E845" t="s">
        <v>4</v>
      </c>
      <c r="F845">
        <v>997</v>
      </c>
      <c r="G845">
        <v>1</v>
      </c>
      <c r="H845" t="s">
        <v>363</v>
      </c>
      <c r="I845" t="b">
        <f t="shared" si="13"/>
        <v>1</v>
      </c>
    </row>
    <row r="846" spans="1:9" x14ac:dyDescent="0.2">
      <c r="A846" t="s">
        <v>4976</v>
      </c>
      <c r="B846" t="s">
        <v>4977</v>
      </c>
      <c r="C846" t="s">
        <v>568</v>
      </c>
      <c r="D846" t="s">
        <v>569</v>
      </c>
      <c r="E846" t="s">
        <v>4</v>
      </c>
      <c r="F846">
        <v>997</v>
      </c>
      <c r="G846">
        <v>1</v>
      </c>
      <c r="H846" t="s">
        <v>363</v>
      </c>
      <c r="I846" t="b">
        <f t="shared" si="13"/>
        <v>1</v>
      </c>
    </row>
    <row r="847" spans="1:9" x14ac:dyDescent="0.2">
      <c r="A847" t="s">
        <v>1175</v>
      </c>
      <c r="B847" t="s">
        <v>1179</v>
      </c>
      <c r="C847" t="s">
        <v>568</v>
      </c>
      <c r="D847" t="s">
        <v>569</v>
      </c>
      <c r="E847" t="s">
        <v>4</v>
      </c>
      <c r="F847">
        <v>998</v>
      </c>
      <c r="G847">
        <v>1</v>
      </c>
      <c r="H847" t="s">
        <v>363</v>
      </c>
      <c r="I847" t="b">
        <f t="shared" si="13"/>
        <v>1</v>
      </c>
    </row>
    <row r="848" spans="1:9" x14ac:dyDescent="0.2">
      <c r="A848" t="s">
        <v>559</v>
      </c>
      <c r="B848" t="s">
        <v>567</v>
      </c>
      <c r="C848" t="s">
        <v>568</v>
      </c>
      <c r="D848" t="s">
        <v>569</v>
      </c>
      <c r="E848" t="s">
        <v>4</v>
      </c>
      <c r="F848">
        <v>998</v>
      </c>
      <c r="G848">
        <v>1</v>
      </c>
      <c r="H848" t="s">
        <v>363</v>
      </c>
      <c r="I848" t="b">
        <f t="shared" si="13"/>
        <v>1</v>
      </c>
    </row>
    <row r="849" spans="1:9" x14ac:dyDescent="0.2">
      <c r="A849" t="s">
        <v>3497</v>
      </c>
      <c r="B849" t="s">
        <v>3498</v>
      </c>
      <c r="C849" t="s">
        <v>568</v>
      </c>
      <c r="D849" t="s">
        <v>569</v>
      </c>
      <c r="E849" t="s">
        <v>4</v>
      </c>
      <c r="F849">
        <v>998</v>
      </c>
      <c r="G849">
        <v>1</v>
      </c>
      <c r="H849" t="s">
        <v>363</v>
      </c>
      <c r="I849" t="b">
        <f t="shared" si="13"/>
        <v>0</v>
      </c>
    </row>
    <row r="850" spans="1:9" x14ac:dyDescent="0.2">
      <c r="A850" t="s">
        <v>2693</v>
      </c>
      <c r="B850" t="s">
        <v>2694</v>
      </c>
      <c r="C850" t="s">
        <v>2695</v>
      </c>
      <c r="D850" t="s">
        <v>64</v>
      </c>
      <c r="E850" t="s">
        <v>4</v>
      </c>
      <c r="F850">
        <v>232</v>
      </c>
      <c r="G850">
        <v>109</v>
      </c>
      <c r="H850" t="s">
        <v>13</v>
      </c>
      <c r="I850" t="b">
        <f t="shared" si="13"/>
        <v>0</v>
      </c>
    </row>
    <row r="851" spans="1:9" x14ac:dyDescent="0.2">
      <c r="A851" t="s">
        <v>39</v>
      </c>
      <c r="B851" t="s">
        <v>40</v>
      </c>
      <c r="C851" t="s">
        <v>41</v>
      </c>
      <c r="D851" t="s">
        <v>42</v>
      </c>
      <c r="E851" t="s">
        <v>4</v>
      </c>
      <c r="F851">
        <v>2056</v>
      </c>
      <c r="G851">
        <v>453</v>
      </c>
      <c r="H851" t="s">
        <v>13</v>
      </c>
      <c r="I851" t="b">
        <f t="shared" si="13"/>
        <v>1</v>
      </c>
    </row>
    <row r="852" spans="1:9" x14ac:dyDescent="0.2">
      <c r="A852" t="s">
        <v>863</v>
      </c>
      <c r="B852" t="s">
        <v>864</v>
      </c>
      <c r="C852" t="s">
        <v>48</v>
      </c>
      <c r="D852" t="s">
        <v>64</v>
      </c>
      <c r="E852" t="s">
        <v>4</v>
      </c>
      <c r="F852">
        <v>87</v>
      </c>
      <c r="G852">
        <v>237</v>
      </c>
      <c r="H852" t="s">
        <v>13</v>
      </c>
      <c r="I852" t="b">
        <f t="shared" si="13"/>
        <v>1</v>
      </c>
    </row>
    <row r="853" spans="1:9" x14ac:dyDescent="0.2">
      <c r="A853" t="s">
        <v>29</v>
      </c>
      <c r="B853" t="s">
        <v>30</v>
      </c>
      <c r="C853" t="s">
        <v>31</v>
      </c>
      <c r="D853" t="s">
        <v>32</v>
      </c>
      <c r="E853" t="s">
        <v>4</v>
      </c>
      <c r="F853">
        <v>690</v>
      </c>
      <c r="G853">
        <v>1012</v>
      </c>
      <c r="H853" t="s">
        <v>33</v>
      </c>
      <c r="I853" t="b">
        <f t="shared" si="13"/>
        <v>0</v>
      </c>
    </row>
    <row r="854" spans="1:9" x14ac:dyDescent="0.2">
      <c r="A854" t="s">
        <v>62</v>
      </c>
      <c r="B854" t="s">
        <v>63</v>
      </c>
      <c r="C854" t="s">
        <v>48</v>
      </c>
      <c r="D854" t="s">
        <v>64</v>
      </c>
      <c r="E854" t="s">
        <v>4</v>
      </c>
      <c r="F854">
        <v>87</v>
      </c>
      <c r="G854">
        <v>237</v>
      </c>
      <c r="H854" t="s">
        <v>13</v>
      </c>
      <c r="I854" t="b">
        <f t="shared" si="13"/>
        <v>1</v>
      </c>
    </row>
    <row r="855" spans="1:9" x14ac:dyDescent="0.2">
      <c r="A855" t="s">
        <v>619</v>
      </c>
      <c r="B855" t="s">
        <v>620</v>
      </c>
      <c r="C855" t="s">
        <v>621</v>
      </c>
      <c r="D855" t="s">
        <v>622</v>
      </c>
      <c r="E855" t="s">
        <v>4</v>
      </c>
      <c r="F855">
        <v>13371</v>
      </c>
      <c r="G855">
        <v>13241</v>
      </c>
      <c r="H855" t="s">
        <v>13</v>
      </c>
      <c r="I855" t="b">
        <f t="shared" si="13"/>
        <v>1</v>
      </c>
    </row>
    <row r="856" spans="1:9" x14ac:dyDescent="0.2">
      <c r="A856" t="s">
        <v>778</v>
      </c>
      <c r="B856" t="s">
        <v>779</v>
      </c>
      <c r="C856" t="s">
        <v>48</v>
      </c>
      <c r="D856" t="s">
        <v>64</v>
      </c>
      <c r="E856" t="s">
        <v>4</v>
      </c>
      <c r="F856">
        <v>87</v>
      </c>
      <c r="G856">
        <v>237</v>
      </c>
      <c r="H856" t="s">
        <v>13</v>
      </c>
      <c r="I856" t="b">
        <f t="shared" si="13"/>
        <v>1</v>
      </c>
    </row>
    <row r="857" spans="1:9" x14ac:dyDescent="0.2">
      <c r="A857" t="s">
        <v>625</v>
      </c>
      <c r="B857" t="s">
        <v>626</v>
      </c>
      <c r="C857" t="s">
        <v>627</v>
      </c>
      <c r="D857" t="s">
        <v>628</v>
      </c>
      <c r="E857" t="s">
        <v>4</v>
      </c>
      <c r="F857">
        <v>3565</v>
      </c>
      <c r="G857">
        <v>88</v>
      </c>
      <c r="H857" t="s">
        <v>13</v>
      </c>
      <c r="I857" t="b">
        <f t="shared" si="13"/>
        <v>0</v>
      </c>
    </row>
    <row r="858" spans="1:9" x14ac:dyDescent="0.2">
      <c r="A858" t="s">
        <v>602</v>
      </c>
      <c r="B858" t="s">
        <v>603</v>
      </c>
      <c r="C858" t="s">
        <v>604</v>
      </c>
      <c r="D858" t="s">
        <v>605</v>
      </c>
      <c r="E858" t="s">
        <v>4</v>
      </c>
      <c r="F858">
        <v>2120</v>
      </c>
      <c r="G858">
        <v>4146</v>
      </c>
      <c r="H858" t="s">
        <v>13</v>
      </c>
      <c r="I858" t="b">
        <f t="shared" si="13"/>
        <v>0</v>
      </c>
    </row>
    <row r="859" spans="1:9" x14ac:dyDescent="0.2">
      <c r="A859" t="s">
        <v>673</v>
      </c>
      <c r="B859" t="s">
        <v>674</v>
      </c>
      <c r="C859" t="s">
        <v>675</v>
      </c>
      <c r="D859" t="s">
        <v>676</v>
      </c>
      <c r="E859" t="s">
        <v>4</v>
      </c>
      <c r="F859">
        <v>4758</v>
      </c>
      <c r="G859">
        <v>3442</v>
      </c>
      <c r="H859" t="s">
        <v>13</v>
      </c>
      <c r="I859" t="b">
        <f t="shared" si="13"/>
        <v>1</v>
      </c>
    </row>
    <row r="860" spans="1:9" x14ac:dyDescent="0.2">
      <c r="A860" t="s">
        <v>1212</v>
      </c>
      <c r="B860" t="s">
        <v>1213</v>
      </c>
      <c r="C860" t="s">
        <v>621</v>
      </c>
      <c r="D860" t="s">
        <v>622</v>
      </c>
      <c r="E860" t="s">
        <v>4</v>
      </c>
      <c r="F860">
        <v>13379</v>
      </c>
      <c r="G860">
        <v>13242</v>
      </c>
      <c r="H860" t="s">
        <v>13</v>
      </c>
      <c r="I860" t="b">
        <f t="shared" si="13"/>
        <v>1</v>
      </c>
    </row>
    <row r="861" spans="1:9" x14ac:dyDescent="0.2">
      <c r="A861" t="s">
        <v>1226</v>
      </c>
      <c r="B861" t="s">
        <v>1227</v>
      </c>
      <c r="C861" t="s">
        <v>627</v>
      </c>
      <c r="D861" t="s">
        <v>628</v>
      </c>
      <c r="E861" t="s">
        <v>4</v>
      </c>
      <c r="F861">
        <v>3565</v>
      </c>
      <c r="G861">
        <v>88</v>
      </c>
      <c r="H861" t="s">
        <v>13</v>
      </c>
      <c r="I861" t="b">
        <f t="shared" si="13"/>
        <v>1</v>
      </c>
    </row>
    <row r="862" spans="1:9" x14ac:dyDescent="0.2">
      <c r="A862" t="s">
        <v>1269</v>
      </c>
      <c r="B862" t="s">
        <v>1270</v>
      </c>
      <c r="C862" t="s">
        <v>604</v>
      </c>
      <c r="D862" t="s">
        <v>605</v>
      </c>
      <c r="E862" t="s">
        <v>4</v>
      </c>
      <c r="F862">
        <v>2121</v>
      </c>
      <c r="G862">
        <v>4146</v>
      </c>
      <c r="H862" t="s">
        <v>13</v>
      </c>
      <c r="I862" t="b">
        <f t="shared" si="13"/>
        <v>0</v>
      </c>
    </row>
    <row r="863" spans="1:9" x14ac:dyDescent="0.2">
      <c r="A863" t="s">
        <v>1247</v>
      </c>
      <c r="B863" t="s">
        <v>1248</v>
      </c>
      <c r="C863" t="s">
        <v>1249</v>
      </c>
      <c r="D863" t="s">
        <v>320</v>
      </c>
      <c r="E863" t="s">
        <v>4</v>
      </c>
      <c r="F863">
        <v>26</v>
      </c>
      <c r="G863">
        <v>21</v>
      </c>
      <c r="H863" t="s">
        <v>13</v>
      </c>
      <c r="I863" t="b">
        <f t="shared" si="13"/>
        <v>0</v>
      </c>
    </row>
    <row r="864" spans="1:9" x14ac:dyDescent="0.2">
      <c r="A864" t="s">
        <v>1243</v>
      </c>
      <c r="B864" t="s">
        <v>1244</v>
      </c>
      <c r="C864" t="s">
        <v>675</v>
      </c>
      <c r="D864" t="s">
        <v>676</v>
      </c>
      <c r="E864" t="s">
        <v>4</v>
      </c>
      <c r="F864">
        <v>4758</v>
      </c>
      <c r="G864">
        <v>3442</v>
      </c>
      <c r="H864" t="s">
        <v>13</v>
      </c>
      <c r="I864" t="b">
        <f t="shared" si="13"/>
        <v>1</v>
      </c>
    </row>
    <row r="865" spans="1:9" x14ac:dyDescent="0.2">
      <c r="A865" t="s">
        <v>5058</v>
      </c>
      <c r="B865" t="s">
        <v>5059</v>
      </c>
      <c r="C865" t="s">
        <v>621</v>
      </c>
      <c r="D865" t="s">
        <v>622</v>
      </c>
      <c r="E865" t="s">
        <v>4</v>
      </c>
      <c r="F865">
        <v>13393</v>
      </c>
      <c r="G865">
        <v>13241</v>
      </c>
      <c r="H865" t="s">
        <v>13</v>
      </c>
      <c r="I865" t="b">
        <f t="shared" si="13"/>
        <v>1</v>
      </c>
    </row>
    <row r="866" spans="1:9" x14ac:dyDescent="0.2">
      <c r="A866" t="s">
        <v>5012</v>
      </c>
      <c r="B866" t="s">
        <v>5013</v>
      </c>
      <c r="C866" t="s">
        <v>48</v>
      </c>
      <c r="D866" t="s">
        <v>64</v>
      </c>
      <c r="E866" t="s">
        <v>4</v>
      </c>
      <c r="F866">
        <v>87</v>
      </c>
      <c r="G866">
        <v>237</v>
      </c>
      <c r="H866" t="s">
        <v>13</v>
      </c>
      <c r="I866" t="b">
        <f t="shared" si="13"/>
        <v>1</v>
      </c>
    </row>
    <row r="867" spans="1:9" x14ac:dyDescent="0.2">
      <c r="A867" t="s">
        <v>5058</v>
      </c>
      <c r="B867" t="s">
        <v>5060</v>
      </c>
      <c r="C867" t="s">
        <v>627</v>
      </c>
      <c r="D867" t="s">
        <v>628</v>
      </c>
      <c r="E867" t="s">
        <v>4</v>
      </c>
      <c r="F867">
        <v>3563</v>
      </c>
      <c r="G867">
        <v>88</v>
      </c>
      <c r="H867" t="s">
        <v>13</v>
      </c>
      <c r="I867" t="b">
        <f t="shared" si="13"/>
        <v>1</v>
      </c>
    </row>
    <row r="868" spans="1:9" x14ac:dyDescent="0.2">
      <c r="A868" t="s">
        <v>5076</v>
      </c>
      <c r="B868" t="s">
        <v>5077</v>
      </c>
      <c r="C868" t="s">
        <v>48</v>
      </c>
      <c r="D868" t="s">
        <v>64</v>
      </c>
      <c r="E868" t="s">
        <v>4</v>
      </c>
      <c r="F868">
        <v>1965</v>
      </c>
      <c r="G868">
        <v>4605</v>
      </c>
      <c r="H868" t="s">
        <v>13</v>
      </c>
      <c r="I868" t="b">
        <f t="shared" si="13"/>
        <v>0</v>
      </c>
    </row>
    <row r="869" spans="1:9" x14ac:dyDescent="0.2">
      <c r="A869" t="s">
        <v>5021</v>
      </c>
      <c r="B869" t="s">
        <v>5022</v>
      </c>
      <c r="C869" t="s">
        <v>604</v>
      </c>
      <c r="D869" t="s">
        <v>605</v>
      </c>
      <c r="E869" t="s">
        <v>4</v>
      </c>
      <c r="F869">
        <v>2122</v>
      </c>
      <c r="G869">
        <v>4146</v>
      </c>
      <c r="H869" t="s">
        <v>13</v>
      </c>
      <c r="I869" t="b">
        <f t="shared" si="13"/>
        <v>0</v>
      </c>
    </row>
    <row r="870" spans="1:9" x14ac:dyDescent="0.2">
      <c r="A870" t="s">
        <v>5061</v>
      </c>
      <c r="B870" t="s">
        <v>5062</v>
      </c>
      <c r="C870" t="s">
        <v>5063</v>
      </c>
      <c r="D870" t="s">
        <v>3</v>
      </c>
      <c r="E870" t="s">
        <v>4</v>
      </c>
      <c r="F870">
        <v>11</v>
      </c>
      <c r="G870">
        <v>0</v>
      </c>
      <c r="H870" t="s">
        <v>114</v>
      </c>
      <c r="I870" t="b">
        <f t="shared" si="13"/>
        <v>1</v>
      </c>
    </row>
    <row r="871" spans="1:9" x14ac:dyDescent="0.2">
      <c r="A871" t="s">
        <v>5074</v>
      </c>
      <c r="B871" t="s">
        <v>5075</v>
      </c>
      <c r="C871" t="s">
        <v>675</v>
      </c>
      <c r="D871" t="s">
        <v>676</v>
      </c>
      <c r="E871" t="s">
        <v>4</v>
      </c>
      <c r="F871">
        <v>4757</v>
      </c>
      <c r="G871">
        <v>3442</v>
      </c>
      <c r="H871" t="s">
        <v>13</v>
      </c>
      <c r="I871" t="b">
        <f t="shared" si="13"/>
        <v>1</v>
      </c>
    </row>
    <row r="872" spans="1:9" x14ac:dyDescent="0.2">
      <c r="A872" t="s">
        <v>3560</v>
      </c>
      <c r="B872" t="s">
        <v>3561</v>
      </c>
      <c r="C872" t="s">
        <v>621</v>
      </c>
      <c r="D872" t="s">
        <v>622</v>
      </c>
      <c r="E872" t="s">
        <v>4</v>
      </c>
      <c r="F872">
        <v>13390</v>
      </c>
      <c r="G872">
        <v>13241</v>
      </c>
      <c r="H872" t="s">
        <v>13</v>
      </c>
      <c r="I872" t="b">
        <f t="shared" si="13"/>
        <v>1</v>
      </c>
    </row>
    <row r="873" spans="1:9" x14ac:dyDescent="0.2">
      <c r="A873" t="s">
        <v>3526</v>
      </c>
      <c r="B873" t="s">
        <v>3527</v>
      </c>
      <c r="C873" t="s">
        <v>391</v>
      </c>
      <c r="D873" t="s">
        <v>1439</v>
      </c>
      <c r="E873" t="s">
        <v>4</v>
      </c>
      <c r="F873">
        <v>32</v>
      </c>
      <c r="G873">
        <v>141</v>
      </c>
      <c r="H873" t="s">
        <v>13</v>
      </c>
      <c r="I873" t="b">
        <f t="shared" si="13"/>
        <v>1</v>
      </c>
    </row>
    <row r="874" spans="1:9" x14ac:dyDescent="0.2">
      <c r="A874" t="s">
        <v>3519</v>
      </c>
      <c r="B874" t="s">
        <v>3520</v>
      </c>
      <c r="C874" t="s">
        <v>604</v>
      </c>
      <c r="D874" t="s">
        <v>605</v>
      </c>
      <c r="E874" t="s">
        <v>4</v>
      </c>
      <c r="F874">
        <v>2121</v>
      </c>
      <c r="G874">
        <v>4145</v>
      </c>
      <c r="H874" t="s">
        <v>13</v>
      </c>
      <c r="I874" t="b">
        <f t="shared" si="13"/>
        <v>0</v>
      </c>
    </row>
    <row r="875" spans="1:9" x14ac:dyDescent="0.2">
      <c r="A875" t="s">
        <v>3536</v>
      </c>
      <c r="B875" t="s">
        <v>3537</v>
      </c>
      <c r="C875" t="s">
        <v>1409</v>
      </c>
      <c r="D875" t="s">
        <v>3</v>
      </c>
      <c r="E875" t="s">
        <v>4</v>
      </c>
      <c r="F875">
        <v>272</v>
      </c>
      <c r="G875">
        <v>910</v>
      </c>
      <c r="H875" t="s">
        <v>13</v>
      </c>
      <c r="I875" t="b">
        <f t="shared" si="13"/>
        <v>0</v>
      </c>
    </row>
    <row r="876" spans="1:9" x14ac:dyDescent="0.2">
      <c r="A876" t="s">
        <v>3558</v>
      </c>
      <c r="B876" t="s">
        <v>3559</v>
      </c>
      <c r="C876" t="s">
        <v>675</v>
      </c>
      <c r="D876" t="s">
        <v>676</v>
      </c>
      <c r="E876" t="s">
        <v>4</v>
      </c>
      <c r="F876">
        <v>4758</v>
      </c>
      <c r="G876">
        <v>3442</v>
      </c>
      <c r="H876" t="s">
        <v>13</v>
      </c>
      <c r="I876" t="b">
        <f t="shared" si="13"/>
        <v>1</v>
      </c>
    </row>
    <row r="877" spans="1:9" x14ac:dyDescent="0.2">
      <c r="A877" t="s">
        <v>1940</v>
      </c>
      <c r="B877" t="s">
        <v>1941</v>
      </c>
      <c r="C877" t="s">
        <v>41</v>
      </c>
      <c r="D877" t="s">
        <v>42</v>
      </c>
      <c r="E877" t="s">
        <v>4</v>
      </c>
      <c r="F877">
        <v>2057</v>
      </c>
      <c r="G877">
        <v>453</v>
      </c>
      <c r="H877" t="s">
        <v>13</v>
      </c>
      <c r="I877" t="b">
        <f t="shared" si="13"/>
        <v>1</v>
      </c>
    </row>
    <row r="878" spans="1:9" x14ac:dyDescent="0.2">
      <c r="A878" t="s">
        <v>1974</v>
      </c>
      <c r="B878" t="s">
        <v>1975</v>
      </c>
      <c r="C878" t="s">
        <v>627</v>
      </c>
      <c r="D878" t="s">
        <v>628</v>
      </c>
      <c r="E878" t="s">
        <v>4</v>
      </c>
      <c r="F878">
        <v>3564</v>
      </c>
      <c r="G878">
        <v>88</v>
      </c>
      <c r="H878" t="s">
        <v>13</v>
      </c>
      <c r="I878" t="b">
        <f t="shared" si="13"/>
        <v>1</v>
      </c>
    </row>
    <row r="879" spans="1:9" x14ac:dyDescent="0.2">
      <c r="A879" t="s">
        <v>1952</v>
      </c>
      <c r="B879" t="s">
        <v>1953</v>
      </c>
      <c r="C879" t="s">
        <v>604</v>
      </c>
      <c r="D879" t="s">
        <v>605</v>
      </c>
      <c r="E879" t="s">
        <v>4</v>
      </c>
      <c r="F879">
        <v>2121</v>
      </c>
      <c r="G879">
        <v>4146</v>
      </c>
      <c r="H879" t="s">
        <v>13</v>
      </c>
      <c r="I879" t="b">
        <f t="shared" si="13"/>
        <v>0</v>
      </c>
    </row>
    <row r="880" spans="1:9" x14ac:dyDescent="0.2">
      <c r="A880" t="s">
        <v>1933</v>
      </c>
      <c r="B880" t="s">
        <v>1934</v>
      </c>
      <c r="C880" t="s">
        <v>1935</v>
      </c>
      <c r="D880" t="s">
        <v>1936</v>
      </c>
      <c r="E880" t="s">
        <v>4</v>
      </c>
      <c r="F880">
        <v>156</v>
      </c>
      <c r="G880">
        <v>219</v>
      </c>
      <c r="H880" t="s">
        <v>374</v>
      </c>
      <c r="I880" t="b">
        <f t="shared" si="13"/>
        <v>0</v>
      </c>
    </row>
    <row r="881" spans="1:9" x14ac:dyDescent="0.2">
      <c r="A881" t="s">
        <v>1969</v>
      </c>
      <c r="B881" t="s">
        <v>1970</v>
      </c>
      <c r="C881" t="s">
        <v>675</v>
      </c>
      <c r="D881" t="s">
        <v>676</v>
      </c>
      <c r="E881" t="s">
        <v>4</v>
      </c>
      <c r="F881">
        <v>4758</v>
      </c>
      <c r="G881">
        <v>3442</v>
      </c>
      <c r="H881" t="s">
        <v>13</v>
      </c>
      <c r="I881" t="b">
        <f t="shared" si="13"/>
        <v>1</v>
      </c>
    </row>
    <row r="882" spans="1:9" x14ac:dyDescent="0.2">
      <c r="A882" t="s">
        <v>7081</v>
      </c>
      <c r="B882" t="s">
        <v>7082</v>
      </c>
      <c r="C882" t="s">
        <v>621</v>
      </c>
      <c r="D882" t="s">
        <v>622</v>
      </c>
      <c r="E882" t="s">
        <v>4</v>
      </c>
      <c r="F882">
        <v>13405</v>
      </c>
      <c r="G882">
        <v>13240</v>
      </c>
      <c r="H882" t="s">
        <v>13</v>
      </c>
      <c r="I882" t="b">
        <f t="shared" si="13"/>
        <v>1</v>
      </c>
    </row>
    <row r="883" spans="1:9" x14ac:dyDescent="0.2">
      <c r="A883" t="s">
        <v>7117</v>
      </c>
      <c r="B883" t="s">
        <v>7119</v>
      </c>
      <c r="C883" t="s">
        <v>391</v>
      </c>
      <c r="D883" t="s">
        <v>1439</v>
      </c>
      <c r="E883" t="s">
        <v>4</v>
      </c>
      <c r="F883">
        <v>32</v>
      </c>
      <c r="G883">
        <v>141</v>
      </c>
      <c r="H883" t="s">
        <v>13</v>
      </c>
      <c r="I883" t="b">
        <f t="shared" si="13"/>
        <v>1</v>
      </c>
    </row>
    <row r="884" spans="1:9" x14ac:dyDescent="0.2">
      <c r="A884" t="s">
        <v>7079</v>
      </c>
      <c r="B884" t="s">
        <v>7080</v>
      </c>
      <c r="C884" t="s">
        <v>604</v>
      </c>
      <c r="D884" t="s">
        <v>605</v>
      </c>
      <c r="E884" t="s">
        <v>4</v>
      </c>
      <c r="F884">
        <v>2134</v>
      </c>
      <c r="G884">
        <v>4158</v>
      </c>
      <c r="H884" t="s">
        <v>13</v>
      </c>
      <c r="I884" t="b">
        <f t="shared" si="13"/>
        <v>0</v>
      </c>
    </row>
    <row r="885" spans="1:9" x14ac:dyDescent="0.2">
      <c r="A885" t="s">
        <v>7164</v>
      </c>
      <c r="B885" t="s">
        <v>7165</v>
      </c>
      <c r="C885" t="s">
        <v>4735</v>
      </c>
      <c r="D885" t="s">
        <v>5646</v>
      </c>
      <c r="E885" t="s">
        <v>4</v>
      </c>
      <c r="F885">
        <v>312</v>
      </c>
      <c r="G885">
        <v>1006</v>
      </c>
      <c r="H885" t="s">
        <v>114</v>
      </c>
      <c r="I885" t="b">
        <f t="shared" si="13"/>
        <v>0</v>
      </c>
    </row>
    <row r="886" spans="1:9" x14ac:dyDescent="0.2">
      <c r="A886" t="s">
        <v>7105</v>
      </c>
      <c r="B886" t="s">
        <v>7106</v>
      </c>
      <c r="C886" t="s">
        <v>675</v>
      </c>
      <c r="D886" t="s">
        <v>676</v>
      </c>
      <c r="E886" t="s">
        <v>4</v>
      </c>
      <c r="F886">
        <v>4757</v>
      </c>
      <c r="G886">
        <v>3442</v>
      </c>
      <c r="H886" t="s">
        <v>13</v>
      </c>
      <c r="I886" t="b">
        <f t="shared" si="13"/>
        <v>1</v>
      </c>
    </row>
    <row r="887" spans="1:9" x14ac:dyDescent="0.2">
      <c r="A887" t="s">
        <v>6440</v>
      </c>
      <c r="B887" t="s">
        <v>6441</v>
      </c>
      <c r="C887" t="s">
        <v>621</v>
      </c>
      <c r="D887" t="s">
        <v>622</v>
      </c>
      <c r="E887" t="s">
        <v>4</v>
      </c>
      <c r="F887">
        <v>13401</v>
      </c>
      <c r="G887">
        <v>13241</v>
      </c>
      <c r="H887" t="s">
        <v>13</v>
      </c>
      <c r="I887" t="b">
        <f t="shared" si="13"/>
        <v>1</v>
      </c>
    </row>
    <row r="888" spans="1:9" x14ac:dyDescent="0.2">
      <c r="A888" t="s">
        <v>6455</v>
      </c>
      <c r="B888" t="s">
        <v>6456</v>
      </c>
      <c r="C888" t="s">
        <v>391</v>
      </c>
      <c r="D888" t="s">
        <v>1439</v>
      </c>
      <c r="E888" t="s">
        <v>4</v>
      </c>
      <c r="F888">
        <v>32</v>
      </c>
      <c r="G888">
        <v>141</v>
      </c>
      <c r="H888" t="s">
        <v>13</v>
      </c>
      <c r="I888" t="b">
        <f t="shared" si="13"/>
        <v>1</v>
      </c>
    </row>
    <row r="889" spans="1:9" x14ac:dyDescent="0.2">
      <c r="A889" t="s">
        <v>6474</v>
      </c>
      <c r="B889" t="s">
        <v>6475</v>
      </c>
      <c r="C889" t="s">
        <v>627</v>
      </c>
      <c r="D889" t="s">
        <v>628</v>
      </c>
      <c r="E889" t="s">
        <v>4</v>
      </c>
      <c r="F889">
        <v>3563</v>
      </c>
      <c r="G889">
        <v>88</v>
      </c>
      <c r="H889" t="s">
        <v>13</v>
      </c>
      <c r="I889" t="b">
        <f t="shared" si="13"/>
        <v>1</v>
      </c>
    </row>
    <row r="890" spans="1:9" x14ac:dyDescent="0.2">
      <c r="A890" t="s">
        <v>6491</v>
      </c>
      <c r="B890" t="s">
        <v>6492</v>
      </c>
      <c r="C890" t="s">
        <v>604</v>
      </c>
      <c r="D890" t="s">
        <v>605</v>
      </c>
      <c r="E890" t="s">
        <v>4</v>
      </c>
      <c r="F890">
        <v>2134</v>
      </c>
      <c r="G890">
        <v>4158</v>
      </c>
      <c r="H890" t="s">
        <v>13</v>
      </c>
      <c r="I890" t="b">
        <f t="shared" si="13"/>
        <v>0</v>
      </c>
    </row>
    <row r="891" spans="1:9" x14ac:dyDescent="0.2">
      <c r="A891" t="s">
        <v>6442</v>
      </c>
      <c r="B891" t="s">
        <v>6443</v>
      </c>
      <c r="C891" t="s">
        <v>6253</v>
      </c>
      <c r="D891" t="s">
        <v>64</v>
      </c>
      <c r="E891" t="s">
        <v>4</v>
      </c>
      <c r="F891">
        <v>2476</v>
      </c>
      <c r="G891">
        <v>4848</v>
      </c>
      <c r="H891" t="s">
        <v>13</v>
      </c>
      <c r="I891" t="b">
        <f t="shared" si="13"/>
        <v>0</v>
      </c>
    </row>
    <row r="892" spans="1:9" x14ac:dyDescent="0.2">
      <c r="A892" t="s">
        <v>6447</v>
      </c>
      <c r="B892" t="s">
        <v>6448</v>
      </c>
      <c r="C892" t="s">
        <v>675</v>
      </c>
      <c r="D892" t="s">
        <v>676</v>
      </c>
      <c r="E892" t="s">
        <v>4</v>
      </c>
      <c r="F892">
        <v>4757</v>
      </c>
      <c r="G892">
        <v>3442</v>
      </c>
      <c r="H892" t="s">
        <v>13</v>
      </c>
      <c r="I892" t="b">
        <f t="shared" si="13"/>
        <v>1</v>
      </c>
    </row>
    <row r="893" spans="1:9" x14ac:dyDescent="0.2">
      <c r="A893" t="s">
        <v>4298</v>
      </c>
      <c r="B893" t="s">
        <v>4299</v>
      </c>
      <c r="C893" t="s">
        <v>4300</v>
      </c>
      <c r="D893" t="s">
        <v>2113</v>
      </c>
      <c r="E893" t="s">
        <v>4</v>
      </c>
      <c r="F893">
        <v>3542</v>
      </c>
      <c r="G893">
        <v>3480</v>
      </c>
      <c r="H893" t="s">
        <v>13</v>
      </c>
      <c r="I893" t="b">
        <f t="shared" si="13"/>
        <v>1</v>
      </c>
    </row>
    <row r="894" spans="1:9" x14ac:dyDescent="0.2">
      <c r="A894" t="s">
        <v>4306</v>
      </c>
      <c r="B894" t="s">
        <v>4307</v>
      </c>
      <c r="C894" t="s">
        <v>391</v>
      </c>
      <c r="D894" t="s">
        <v>1439</v>
      </c>
      <c r="E894" t="s">
        <v>4</v>
      </c>
      <c r="F894">
        <v>32</v>
      </c>
      <c r="G894">
        <v>141</v>
      </c>
      <c r="H894" t="s">
        <v>13</v>
      </c>
      <c r="I894" t="b">
        <f t="shared" si="13"/>
        <v>1</v>
      </c>
    </row>
    <row r="895" spans="1:9" x14ac:dyDescent="0.2">
      <c r="A895" t="s">
        <v>4339</v>
      </c>
      <c r="B895" t="s">
        <v>4340</v>
      </c>
      <c r="C895" t="s">
        <v>627</v>
      </c>
      <c r="D895" t="s">
        <v>628</v>
      </c>
      <c r="E895" t="s">
        <v>4</v>
      </c>
      <c r="F895">
        <v>3563</v>
      </c>
      <c r="G895">
        <v>88</v>
      </c>
      <c r="H895" t="s">
        <v>13</v>
      </c>
      <c r="I895" t="b">
        <f t="shared" si="13"/>
        <v>1</v>
      </c>
    </row>
    <row r="896" spans="1:9" x14ac:dyDescent="0.2">
      <c r="A896" t="s">
        <v>4351</v>
      </c>
      <c r="B896" t="s">
        <v>4352</v>
      </c>
      <c r="C896" t="s">
        <v>604</v>
      </c>
      <c r="D896" t="s">
        <v>605</v>
      </c>
      <c r="E896" t="s">
        <v>4</v>
      </c>
      <c r="F896">
        <v>2120</v>
      </c>
      <c r="G896">
        <v>4146</v>
      </c>
      <c r="H896" t="s">
        <v>13</v>
      </c>
      <c r="I896" t="b">
        <f t="shared" si="13"/>
        <v>0</v>
      </c>
    </row>
    <row r="897" spans="1:9" x14ac:dyDescent="0.2">
      <c r="A897" t="s">
        <v>4326</v>
      </c>
      <c r="B897" t="s">
        <v>4327</v>
      </c>
      <c r="C897" t="s">
        <v>4328</v>
      </c>
      <c r="D897" t="s">
        <v>3</v>
      </c>
      <c r="E897" t="s">
        <v>4</v>
      </c>
      <c r="F897">
        <v>211</v>
      </c>
      <c r="G897">
        <v>315</v>
      </c>
      <c r="H897" t="s">
        <v>13</v>
      </c>
      <c r="I897" t="b">
        <f t="shared" si="13"/>
        <v>0</v>
      </c>
    </row>
    <row r="898" spans="1:9" x14ac:dyDescent="0.2">
      <c r="A898" t="s">
        <v>4285</v>
      </c>
      <c r="B898" t="s">
        <v>4286</v>
      </c>
      <c r="C898" t="s">
        <v>675</v>
      </c>
      <c r="D898" t="s">
        <v>676</v>
      </c>
      <c r="E898" t="s">
        <v>4</v>
      </c>
      <c r="F898">
        <v>4758</v>
      </c>
      <c r="G898">
        <v>3442</v>
      </c>
      <c r="H898" t="s">
        <v>13</v>
      </c>
      <c r="I898" t="b">
        <f t="shared" si="13"/>
        <v>1</v>
      </c>
    </row>
    <row r="899" spans="1:9" x14ac:dyDescent="0.2">
      <c r="A899" t="s">
        <v>2707</v>
      </c>
      <c r="B899" t="s">
        <v>2708</v>
      </c>
      <c r="C899" t="s">
        <v>2709</v>
      </c>
      <c r="D899" t="s">
        <v>3</v>
      </c>
      <c r="E899" t="s">
        <v>4</v>
      </c>
      <c r="F899">
        <v>15</v>
      </c>
      <c r="G899">
        <v>18</v>
      </c>
      <c r="H899" t="s">
        <v>645</v>
      </c>
      <c r="I899" t="b">
        <f t="shared" ref="I899:I962" si="14">isDup(B899, B900, 0.7)</f>
        <v>1</v>
      </c>
    </row>
    <row r="900" spans="1:9" x14ac:dyDescent="0.2">
      <c r="A900" t="s">
        <v>2700</v>
      </c>
      <c r="B900" t="s">
        <v>2704</v>
      </c>
      <c r="C900" t="s">
        <v>2705</v>
      </c>
      <c r="D900" t="s">
        <v>2706</v>
      </c>
      <c r="E900" t="s">
        <v>38</v>
      </c>
      <c r="F900">
        <v>20127</v>
      </c>
      <c r="G900">
        <v>14655</v>
      </c>
      <c r="H900" t="s">
        <v>13</v>
      </c>
      <c r="I900" t="b">
        <f t="shared" si="14"/>
        <v>1</v>
      </c>
    </row>
    <row r="901" spans="1:9" x14ac:dyDescent="0.2">
      <c r="A901" t="s">
        <v>2696</v>
      </c>
      <c r="B901" t="s">
        <v>2697</v>
      </c>
      <c r="C901" t="s">
        <v>627</v>
      </c>
      <c r="D901" t="s">
        <v>628</v>
      </c>
      <c r="E901" t="s">
        <v>4</v>
      </c>
      <c r="F901">
        <v>3565</v>
      </c>
      <c r="G901">
        <v>88</v>
      </c>
      <c r="H901" t="s">
        <v>13</v>
      </c>
      <c r="I901" t="b">
        <f t="shared" si="14"/>
        <v>1</v>
      </c>
    </row>
    <row r="902" spans="1:9" x14ac:dyDescent="0.2">
      <c r="A902" t="s">
        <v>2748</v>
      </c>
      <c r="B902" t="s">
        <v>2749</v>
      </c>
      <c r="C902" t="s">
        <v>2177</v>
      </c>
      <c r="D902" t="s">
        <v>2750</v>
      </c>
      <c r="E902" t="s">
        <v>4</v>
      </c>
      <c r="F902">
        <v>381</v>
      </c>
      <c r="G902">
        <v>594</v>
      </c>
      <c r="H902" t="s">
        <v>13</v>
      </c>
      <c r="I902" t="b">
        <f t="shared" si="14"/>
        <v>0</v>
      </c>
    </row>
    <row r="903" spans="1:9" x14ac:dyDescent="0.2">
      <c r="A903" t="s">
        <v>2731</v>
      </c>
      <c r="B903" t="s">
        <v>2732</v>
      </c>
      <c r="C903" t="s">
        <v>604</v>
      </c>
      <c r="D903" t="s">
        <v>605</v>
      </c>
      <c r="E903" t="s">
        <v>4</v>
      </c>
      <c r="F903">
        <v>2121</v>
      </c>
      <c r="G903">
        <v>4145</v>
      </c>
      <c r="H903" t="s">
        <v>13</v>
      </c>
      <c r="I903" t="b">
        <f t="shared" si="14"/>
        <v>0</v>
      </c>
    </row>
    <row r="904" spans="1:9" x14ac:dyDescent="0.2">
      <c r="A904" t="s">
        <v>2724</v>
      </c>
      <c r="B904" t="s">
        <v>2725</v>
      </c>
      <c r="C904" t="s">
        <v>568</v>
      </c>
      <c r="D904" t="s">
        <v>326</v>
      </c>
      <c r="E904" t="s">
        <v>4</v>
      </c>
      <c r="F904">
        <v>441</v>
      </c>
      <c r="G904">
        <v>416</v>
      </c>
      <c r="H904" t="s">
        <v>13</v>
      </c>
      <c r="I904" t="b">
        <f t="shared" si="14"/>
        <v>0</v>
      </c>
    </row>
    <row r="905" spans="1:9" x14ac:dyDescent="0.2">
      <c r="A905" t="s">
        <v>2687</v>
      </c>
      <c r="B905" t="s">
        <v>2688</v>
      </c>
      <c r="C905" t="s">
        <v>675</v>
      </c>
      <c r="D905" t="s">
        <v>676</v>
      </c>
      <c r="E905" t="s">
        <v>4</v>
      </c>
      <c r="F905">
        <v>4758</v>
      </c>
      <c r="G905">
        <v>3442</v>
      </c>
      <c r="H905" t="s">
        <v>13</v>
      </c>
      <c r="I905" t="b">
        <f t="shared" si="14"/>
        <v>1</v>
      </c>
    </row>
    <row r="906" spans="1:9" x14ac:dyDescent="0.2">
      <c r="A906" t="s">
        <v>5662</v>
      </c>
      <c r="B906" t="s">
        <v>5663</v>
      </c>
      <c r="C906" t="s">
        <v>621</v>
      </c>
      <c r="D906" t="s">
        <v>622</v>
      </c>
      <c r="E906" t="s">
        <v>4</v>
      </c>
      <c r="F906">
        <v>13398</v>
      </c>
      <c r="G906">
        <v>13241</v>
      </c>
      <c r="H906" t="s">
        <v>13</v>
      </c>
      <c r="I906" t="b">
        <f t="shared" si="14"/>
        <v>1</v>
      </c>
    </row>
    <row r="907" spans="1:9" x14ac:dyDescent="0.2">
      <c r="A907" t="s">
        <v>5654</v>
      </c>
      <c r="B907" t="s">
        <v>5655</v>
      </c>
      <c r="C907" t="s">
        <v>391</v>
      </c>
      <c r="D907" t="s">
        <v>1439</v>
      </c>
      <c r="E907" t="s">
        <v>4</v>
      </c>
      <c r="F907">
        <v>32</v>
      </c>
      <c r="G907">
        <v>141</v>
      </c>
      <c r="H907" t="s">
        <v>13</v>
      </c>
      <c r="I907" t="b">
        <f t="shared" si="14"/>
        <v>1</v>
      </c>
    </row>
    <row r="908" spans="1:9" x14ac:dyDescent="0.2">
      <c r="A908" t="s">
        <v>5677</v>
      </c>
      <c r="B908" t="s">
        <v>5678</v>
      </c>
      <c r="C908" t="s">
        <v>604</v>
      </c>
      <c r="D908" t="s">
        <v>605</v>
      </c>
      <c r="E908" t="s">
        <v>4</v>
      </c>
      <c r="F908">
        <v>2123</v>
      </c>
      <c r="G908">
        <v>4146</v>
      </c>
      <c r="H908" t="s">
        <v>13</v>
      </c>
      <c r="I908" t="b">
        <f t="shared" si="14"/>
        <v>0</v>
      </c>
    </row>
    <row r="909" spans="1:9" x14ac:dyDescent="0.2">
      <c r="A909" t="s">
        <v>5693</v>
      </c>
      <c r="B909" t="s">
        <v>5694</v>
      </c>
      <c r="C909" t="s">
        <v>627</v>
      </c>
      <c r="D909" t="s">
        <v>628</v>
      </c>
      <c r="E909" t="s">
        <v>4</v>
      </c>
      <c r="F909">
        <v>3563</v>
      </c>
      <c r="G909">
        <v>88</v>
      </c>
      <c r="H909" t="s">
        <v>13</v>
      </c>
      <c r="I909" t="b">
        <f t="shared" si="14"/>
        <v>0</v>
      </c>
    </row>
    <row r="910" spans="1:9" x14ac:dyDescent="0.2">
      <c r="A910" t="s">
        <v>5701</v>
      </c>
      <c r="B910" t="s">
        <v>5702</v>
      </c>
      <c r="C910" t="s">
        <v>5703</v>
      </c>
      <c r="D910" t="s">
        <v>5704</v>
      </c>
      <c r="E910" t="s">
        <v>4</v>
      </c>
      <c r="F910">
        <v>200</v>
      </c>
      <c r="G910">
        <v>661</v>
      </c>
      <c r="H910" t="s">
        <v>13</v>
      </c>
      <c r="I910" t="b">
        <f t="shared" si="14"/>
        <v>1</v>
      </c>
    </row>
    <row r="911" spans="1:9" x14ac:dyDescent="0.2">
      <c r="A911" t="s">
        <v>5641</v>
      </c>
      <c r="B911" t="s">
        <v>5642</v>
      </c>
      <c r="C911" t="s">
        <v>675</v>
      </c>
      <c r="D911" t="s">
        <v>676</v>
      </c>
      <c r="E911" t="s">
        <v>4</v>
      </c>
      <c r="F911">
        <v>4757</v>
      </c>
      <c r="G911">
        <v>3442</v>
      </c>
      <c r="H911" t="s">
        <v>13</v>
      </c>
      <c r="I911" t="b">
        <f t="shared" si="14"/>
        <v>1</v>
      </c>
    </row>
    <row r="912" spans="1:9" x14ac:dyDescent="0.2">
      <c r="A912" t="s">
        <v>5718</v>
      </c>
      <c r="B912" t="s">
        <v>5719</v>
      </c>
      <c r="C912" t="s">
        <v>588</v>
      </c>
      <c r="D912" t="s">
        <v>1982</v>
      </c>
      <c r="E912" t="s">
        <v>4</v>
      </c>
      <c r="F912">
        <v>186</v>
      </c>
      <c r="G912">
        <v>211</v>
      </c>
      <c r="H912" t="s">
        <v>645</v>
      </c>
      <c r="I912" t="b">
        <f t="shared" si="14"/>
        <v>1</v>
      </c>
    </row>
    <row r="913" spans="1:9" x14ac:dyDescent="0.2">
      <c r="A913" t="s">
        <v>6502</v>
      </c>
      <c r="B913" t="s">
        <v>6503</v>
      </c>
      <c r="C913" t="s">
        <v>2116</v>
      </c>
      <c r="D913" t="s">
        <v>6504</v>
      </c>
      <c r="E913" t="s">
        <v>4</v>
      </c>
      <c r="F913">
        <v>450</v>
      </c>
      <c r="G913">
        <v>1820</v>
      </c>
      <c r="H913" t="s">
        <v>114</v>
      </c>
      <c r="I913" t="b">
        <f t="shared" si="14"/>
        <v>0</v>
      </c>
    </row>
    <row r="914" spans="1:9" x14ac:dyDescent="0.2">
      <c r="A914" t="s">
        <v>10</v>
      </c>
      <c r="B914" t="s">
        <v>11</v>
      </c>
      <c r="C914" t="s">
        <v>12</v>
      </c>
      <c r="D914" t="s">
        <v>3</v>
      </c>
      <c r="E914" t="s">
        <v>4</v>
      </c>
      <c r="F914">
        <v>44</v>
      </c>
      <c r="G914">
        <v>9</v>
      </c>
      <c r="H914" t="s">
        <v>13</v>
      </c>
      <c r="I914" t="b">
        <f t="shared" si="14"/>
        <v>1</v>
      </c>
    </row>
    <row r="915" spans="1:9" x14ac:dyDescent="0.2">
      <c r="A915" t="s">
        <v>654</v>
      </c>
      <c r="B915" t="s">
        <v>655</v>
      </c>
      <c r="C915" t="s">
        <v>12</v>
      </c>
      <c r="D915" t="s">
        <v>3</v>
      </c>
      <c r="E915" t="s">
        <v>4</v>
      </c>
      <c r="F915">
        <v>44</v>
      </c>
      <c r="G915">
        <v>9</v>
      </c>
      <c r="H915" t="s">
        <v>13</v>
      </c>
      <c r="I915" t="b">
        <f t="shared" si="14"/>
        <v>1</v>
      </c>
    </row>
    <row r="916" spans="1:9" x14ac:dyDescent="0.2">
      <c r="A916" t="s">
        <v>1259</v>
      </c>
      <c r="B916" t="s">
        <v>1260</v>
      </c>
      <c r="C916" t="s">
        <v>12</v>
      </c>
      <c r="D916" t="s">
        <v>3</v>
      </c>
      <c r="E916" t="s">
        <v>4</v>
      </c>
      <c r="F916">
        <v>44</v>
      </c>
      <c r="G916">
        <v>9</v>
      </c>
      <c r="H916" t="s">
        <v>13</v>
      </c>
      <c r="I916" t="b">
        <f t="shared" si="14"/>
        <v>1</v>
      </c>
    </row>
    <row r="917" spans="1:9" x14ac:dyDescent="0.2">
      <c r="A917" t="s">
        <v>1245</v>
      </c>
      <c r="B917" t="s">
        <v>1246</v>
      </c>
      <c r="C917" t="s">
        <v>121</v>
      </c>
      <c r="D917" t="s">
        <v>3</v>
      </c>
      <c r="E917" t="s">
        <v>4</v>
      </c>
      <c r="F917">
        <v>18</v>
      </c>
      <c r="G917">
        <v>51</v>
      </c>
      <c r="H917" t="s">
        <v>86</v>
      </c>
      <c r="I917" t="b">
        <f t="shared" si="14"/>
        <v>1</v>
      </c>
    </row>
    <row r="918" spans="1:9" x14ac:dyDescent="0.2">
      <c r="A918" t="s">
        <v>1219</v>
      </c>
      <c r="B918" t="s">
        <v>1220</v>
      </c>
      <c r="C918" t="s">
        <v>1221</v>
      </c>
      <c r="D918" t="s">
        <v>1222</v>
      </c>
      <c r="E918" t="s">
        <v>4</v>
      </c>
      <c r="F918">
        <v>1134</v>
      </c>
      <c r="G918">
        <v>1615</v>
      </c>
      <c r="H918" t="s">
        <v>13</v>
      </c>
      <c r="I918" t="b">
        <f t="shared" si="14"/>
        <v>0</v>
      </c>
    </row>
    <row r="919" spans="1:9" x14ac:dyDescent="0.2">
      <c r="A919" t="s">
        <v>5010</v>
      </c>
      <c r="B919" t="s">
        <v>5011</v>
      </c>
      <c r="C919" t="s">
        <v>12</v>
      </c>
      <c r="D919" t="s">
        <v>3</v>
      </c>
      <c r="E919" t="s">
        <v>4</v>
      </c>
      <c r="F919">
        <v>44</v>
      </c>
      <c r="G919">
        <v>9</v>
      </c>
      <c r="H919" t="s">
        <v>13</v>
      </c>
      <c r="I919" t="b">
        <f t="shared" si="14"/>
        <v>1</v>
      </c>
    </row>
    <row r="920" spans="1:9" x14ac:dyDescent="0.2">
      <c r="A920" t="s">
        <v>3509</v>
      </c>
      <c r="B920" t="s">
        <v>3510</v>
      </c>
      <c r="C920" t="s">
        <v>3443</v>
      </c>
      <c r="D920" t="s">
        <v>3</v>
      </c>
      <c r="E920" t="s">
        <v>4</v>
      </c>
      <c r="F920">
        <v>28</v>
      </c>
      <c r="G920">
        <v>42</v>
      </c>
      <c r="H920" t="s">
        <v>5</v>
      </c>
      <c r="I920" t="b">
        <f t="shared" si="14"/>
        <v>1</v>
      </c>
    </row>
    <row r="921" spans="1:9" x14ac:dyDescent="0.2">
      <c r="A921" t="s">
        <v>1945</v>
      </c>
      <c r="B921" t="s">
        <v>1948</v>
      </c>
      <c r="C921" t="s">
        <v>12</v>
      </c>
      <c r="D921" t="s">
        <v>3</v>
      </c>
      <c r="E921" t="s">
        <v>4</v>
      </c>
      <c r="F921">
        <v>44</v>
      </c>
      <c r="G921">
        <v>9</v>
      </c>
      <c r="H921" t="s">
        <v>13</v>
      </c>
      <c r="I921" t="b">
        <f t="shared" si="14"/>
        <v>1</v>
      </c>
    </row>
    <row r="922" spans="1:9" x14ac:dyDescent="0.2">
      <c r="A922" t="s">
        <v>1962</v>
      </c>
      <c r="B922" t="s">
        <v>1963</v>
      </c>
      <c r="C922" t="s">
        <v>631</v>
      </c>
      <c r="D922" t="s">
        <v>1964</v>
      </c>
      <c r="E922" t="s">
        <v>4</v>
      </c>
      <c r="F922">
        <v>495</v>
      </c>
      <c r="G922">
        <v>1111</v>
      </c>
      <c r="H922" t="s">
        <v>13</v>
      </c>
      <c r="I922" t="b">
        <f t="shared" si="14"/>
        <v>0</v>
      </c>
    </row>
    <row r="923" spans="1:9" x14ac:dyDescent="0.2">
      <c r="A923" t="s">
        <v>7083</v>
      </c>
      <c r="B923" t="s">
        <v>7084</v>
      </c>
      <c r="C923" t="s">
        <v>12</v>
      </c>
      <c r="D923" t="s">
        <v>3</v>
      </c>
      <c r="E923" t="s">
        <v>4</v>
      </c>
      <c r="F923">
        <v>44</v>
      </c>
      <c r="G923">
        <v>9</v>
      </c>
      <c r="H923" t="s">
        <v>13</v>
      </c>
      <c r="I923" t="b">
        <f t="shared" si="14"/>
        <v>1</v>
      </c>
    </row>
    <row r="924" spans="1:9" x14ac:dyDescent="0.2">
      <c r="A924" t="s">
        <v>7117</v>
      </c>
      <c r="B924" t="s">
        <v>7118</v>
      </c>
      <c r="C924" t="s">
        <v>1221</v>
      </c>
      <c r="D924" t="s">
        <v>1222</v>
      </c>
      <c r="E924" t="s">
        <v>4</v>
      </c>
      <c r="F924">
        <v>1132</v>
      </c>
      <c r="G924">
        <v>1616</v>
      </c>
      <c r="H924" t="s">
        <v>13</v>
      </c>
      <c r="I924" t="b">
        <f t="shared" si="14"/>
        <v>0</v>
      </c>
    </row>
    <row r="925" spans="1:9" x14ac:dyDescent="0.2">
      <c r="A925" t="s">
        <v>6472</v>
      </c>
      <c r="B925" t="s">
        <v>6473</v>
      </c>
      <c r="C925" t="s">
        <v>12</v>
      </c>
      <c r="D925" t="s">
        <v>3</v>
      </c>
      <c r="E925" t="s">
        <v>4</v>
      </c>
      <c r="F925">
        <v>44</v>
      </c>
      <c r="G925">
        <v>9</v>
      </c>
      <c r="H925" t="s">
        <v>13</v>
      </c>
      <c r="I925" t="b">
        <f t="shared" si="14"/>
        <v>1</v>
      </c>
    </row>
    <row r="926" spans="1:9" x14ac:dyDescent="0.2">
      <c r="A926" t="s">
        <v>4289</v>
      </c>
      <c r="B926" t="s">
        <v>4290</v>
      </c>
      <c r="C926" t="s">
        <v>12</v>
      </c>
      <c r="D926" t="s">
        <v>3</v>
      </c>
      <c r="E926" t="s">
        <v>4</v>
      </c>
      <c r="F926">
        <v>44</v>
      </c>
      <c r="G926">
        <v>9</v>
      </c>
      <c r="H926" t="s">
        <v>13</v>
      </c>
      <c r="I926" t="b">
        <f t="shared" si="14"/>
        <v>1</v>
      </c>
    </row>
    <row r="927" spans="1:9" x14ac:dyDescent="0.2">
      <c r="A927" t="s">
        <v>4321</v>
      </c>
      <c r="B927" t="s">
        <v>4323</v>
      </c>
      <c r="C927" t="s">
        <v>279</v>
      </c>
      <c r="D927" t="s">
        <v>162</v>
      </c>
      <c r="E927" t="s">
        <v>4</v>
      </c>
      <c r="F927">
        <v>159</v>
      </c>
      <c r="G927">
        <v>722</v>
      </c>
      <c r="H927" t="s">
        <v>13</v>
      </c>
      <c r="I927" t="b">
        <f t="shared" si="14"/>
        <v>1</v>
      </c>
    </row>
    <row r="928" spans="1:9" x14ac:dyDescent="0.2">
      <c r="A928" t="s">
        <v>4321</v>
      </c>
      <c r="B928" t="s">
        <v>4322</v>
      </c>
      <c r="C928" t="s">
        <v>1221</v>
      </c>
      <c r="D928" t="s">
        <v>1222</v>
      </c>
      <c r="E928" t="s">
        <v>4</v>
      </c>
      <c r="F928">
        <v>1133</v>
      </c>
      <c r="G928">
        <v>1615</v>
      </c>
      <c r="H928" t="s">
        <v>13</v>
      </c>
      <c r="I928" t="b">
        <f t="shared" si="14"/>
        <v>1</v>
      </c>
    </row>
    <row r="929" spans="1:9" x14ac:dyDescent="0.2">
      <c r="A929" t="s">
        <v>4343</v>
      </c>
      <c r="B929" t="s">
        <v>4344</v>
      </c>
      <c r="C929" t="s">
        <v>197</v>
      </c>
      <c r="D929" t="s">
        <v>4345</v>
      </c>
      <c r="E929" t="s">
        <v>4</v>
      </c>
      <c r="F929">
        <v>10164</v>
      </c>
      <c r="G929">
        <v>0</v>
      </c>
      <c r="H929" t="s">
        <v>13</v>
      </c>
      <c r="I929" t="b">
        <f t="shared" si="14"/>
        <v>0</v>
      </c>
    </row>
    <row r="930" spans="1:9" x14ac:dyDescent="0.2">
      <c r="A930" t="s">
        <v>2740</v>
      </c>
      <c r="B930" t="s">
        <v>2741</v>
      </c>
      <c r="C930" t="s">
        <v>12</v>
      </c>
      <c r="D930" t="s">
        <v>3</v>
      </c>
      <c r="E930" t="s">
        <v>4</v>
      </c>
      <c r="F930">
        <v>44</v>
      </c>
      <c r="G930">
        <v>9</v>
      </c>
      <c r="H930" t="s">
        <v>13</v>
      </c>
      <c r="I930" t="b">
        <f t="shared" si="14"/>
        <v>1</v>
      </c>
    </row>
    <row r="931" spans="1:9" x14ac:dyDescent="0.2">
      <c r="A931" t="s">
        <v>2736</v>
      </c>
      <c r="B931" t="s">
        <v>2737</v>
      </c>
      <c r="C931" t="s">
        <v>2738</v>
      </c>
      <c r="D931" t="s">
        <v>2739</v>
      </c>
      <c r="E931" t="s">
        <v>4</v>
      </c>
      <c r="F931">
        <v>772</v>
      </c>
      <c r="G931">
        <v>606</v>
      </c>
      <c r="H931" t="s">
        <v>76</v>
      </c>
      <c r="I931" t="b">
        <f t="shared" si="14"/>
        <v>1</v>
      </c>
    </row>
    <row r="932" spans="1:9" x14ac:dyDescent="0.2">
      <c r="A932" t="s">
        <v>2742</v>
      </c>
      <c r="B932" t="s">
        <v>2743</v>
      </c>
      <c r="C932" t="s">
        <v>1221</v>
      </c>
      <c r="D932" t="s">
        <v>1222</v>
      </c>
      <c r="E932" t="s">
        <v>4</v>
      </c>
      <c r="F932">
        <v>1133</v>
      </c>
      <c r="G932">
        <v>1615</v>
      </c>
      <c r="H932" t="s">
        <v>13</v>
      </c>
      <c r="I932" t="b">
        <f t="shared" si="14"/>
        <v>0</v>
      </c>
    </row>
    <row r="933" spans="1:9" x14ac:dyDescent="0.2">
      <c r="A933" t="s">
        <v>5664</v>
      </c>
      <c r="B933" t="s">
        <v>5665</v>
      </c>
      <c r="C933" t="s">
        <v>12</v>
      </c>
      <c r="D933" t="s">
        <v>3</v>
      </c>
      <c r="E933" t="s">
        <v>4</v>
      </c>
      <c r="F933">
        <v>44</v>
      </c>
      <c r="G933">
        <v>9</v>
      </c>
      <c r="H933" t="s">
        <v>13</v>
      </c>
      <c r="I933" t="b">
        <f t="shared" si="14"/>
        <v>1</v>
      </c>
    </row>
    <row r="934" spans="1:9" x14ac:dyDescent="0.2">
      <c r="A934" t="s">
        <v>5705</v>
      </c>
      <c r="B934" t="s">
        <v>5706</v>
      </c>
      <c r="C934" t="s">
        <v>1221</v>
      </c>
      <c r="D934" t="s">
        <v>1222</v>
      </c>
      <c r="E934" t="s">
        <v>4</v>
      </c>
      <c r="F934">
        <v>1133</v>
      </c>
      <c r="G934">
        <v>1615</v>
      </c>
      <c r="H934" t="s">
        <v>13</v>
      </c>
      <c r="I934" t="b">
        <f t="shared" si="14"/>
        <v>0</v>
      </c>
    </row>
    <row r="935" spans="1:9" x14ac:dyDescent="0.2">
      <c r="A935" t="s">
        <v>1960</v>
      </c>
      <c r="B935" t="s">
        <v>1961</v>
      </c>
      <c r="C935" t="s">
        <v>558</v>
      </c>
      <c r="D935" t="s">
        <v>64</v>
      </c>
      <c r="E935" t="s">
        <v>4</v>
      </c>
      <c r="F935">
        <v>95</v>
      </c>
      <c r="G935">
        <v>83</v>
      </c>
      <c r="H935" t="s">
        <v>13</v>
      </c>
      <c r="I935" t="b">
        <f t="shared" si="14"/>
        <v>0</v>
      </c>
    </row>
    <row r="936" spans="1:9" x14ac:dyDescent="0.2">
      <c r="A936" t="s">
        <v>5027</v>
      </c>
      <c r="B936" t="s">
        <v>5028</v>
      </c>
      <c r="C936" t="s">
        <v>5029</v>
      </c>
      <c r="D936" t="s">
        <v>3</v>
      </c>
      <c r="E936" t="s">
        <v>4</v>
      </c>
      <c r="F936">
        <v>29</v>
      </c>
      <c r="G936">
        <v>180</v>
      </c>
      <c r="H936" t="s">
        <v>5</v>
      </c>
      <c r="I936" t="b">
        <f t="shared" si="14"/>
        <v>0</v>
      </c>
    </row>
    <row r="937" spans="1:9" x14ac:dyDescent="0.2">
      <c r="A937" t="s">
        <v>427</v>
      </c>
      <c r="B937" t="s">
        <v>428</v>
      </c>
      <c r="C937" t="s">
        <v>429</v>
      </c>
      <c r="D937" t="s">
        <v>430</v>
      </c>
      <c r="E937" t="s">
        <v>4</v>
      </c>
      <c r="F937">
        <v>192</v>
      </c>
      <c r="G937">
        <v>141</v>
      </c>
      <c r="H937" t="s">
        <v>13</v>
      </c>
      <c r="I937" t="b">
        <f t="shared" si="14"/>
        <v>0</v>
      </c>
    </row>
    <row r="938" spans="1:9" x14ac:dyDescent="0.2">
      <c r="A938" t="s">
        <v>4682</v>
      </c>
      <c r="B938" t="s">
        <v>4683</v>
      </c>
      <c r="C938" t="s">
        <v>4684</v>
      </c>
      <c r="D938" t="s">
        <v>4685</v>
      </c>
      <c r="E938" t="s">
        <v>4</v>
      </c>
      <c r="F938">
        <v>1393</v>
      </c>
      <c r="G938">
        <v>433</v>
      </c>
      <c r="H938" t="s">
        <v>13</v>
      </c>
      <c r="I938" t="b">
        <f t="shared" si="14"/>
        <v>0</v>
      </c>
    </row>
    <row r="939" spans="1:9" x14ac:dyDescent="0.2">
      <c r="A939" t="s">
        <v>3377</v>
      </c>
      <c r="B939" t="s">
        <v>3378</v>
      </c>
      <c r="C939" t="s">
        <v>1392</v>
      </c>
      <c r="D939" t="s">
        <v>3</v>
      </c>
      <c r="E939" t="s">
        <v>4</v>
      </c>
      <c r="F939">
        <v>10</v>
      </c>
      <c r="G939">
        <v>23</v>
      </c>
      <c r="H939" t="s">
        <v>13</v>
      </c>
      <c r="I939" t="b">
        <f t="shared" si="14"/>
        <v>0</v>
      </c>
    </row>
    <row r="940" spans="1:9" x14ac:dyDescent="0.2">
      <c r="A940" t="s">
        <v>6960</v>
      </c>
      <c r="B940" t="s">
        <v>6961</v>
      </c>
      <c r="C940" t="s">
        <v>5418</v>
      </c>
      <c r="D940" t="s">
        <v>6962</v>
      </c>
      <c r="E940" t="s">
        <v>4</v>
      </c>
      <c r="F940">
        <v>613</v>
      </c>
      <c r="G940">
        <v>1262</v>
      </c>
      <c r="H940" t="s">
        <v>13</v>
      </c>
      <c r="I940" t="b">
        <f t="shared" si="14"/>
        <v>0</v>
      </c>
    </row>
    <row r="941" spans="1:9" x14ac:dyDescent="0.2">
      <c r="A941" t="s">
        <v>5659</v>
      </c>
      <c r="B941" t="s">
        <v>5660</v>
      </c>
      <c r="C941" t="s">
        <v>1230</v>
      </c>
      <c r="D941" t="s">
        <v>1231</v>
      </c>
      <c r="E941" t="s">
        <v>4</v>
      </c>
      <c r="F941">
        <v>427</v>
      </c>
      <c r="G941">
        <v>768</v>
      </c>
      <c r="H941" t="s">
        <v>13</v>
      </c>
      <c r="I941" t="b">
        <f t="shared" si="14"/>
        <v>0</v>
      </c>
    </row>
    <row r="942" spans="1:9" x14ac:dyDescent="0.2">
      <c r="A942" t="s">
        <v>1752</v>
      </c>
      <c r="B942" t="s">
        <v>1753</v>
      </c>
      <c r="C942" t="s">
        <v>1754</v>
      </c>
      <c r="D942" t="s">
        <v>64</v>
      </c>
      <c r="E942" t="s">
        <v>4</v>
      </c>
      <c r="F942">
        <v>2027</v>
      </c>
      <c r="G942">
        <v>331</v>
      </c>
      <c r="H942" t="s">
        <v>13</v>
      </c>
      <c r="I942" t="b">
        <f t="shared" si="14"/>
        <v>0</v>
      </c>
    </row>
    <row r="943" spans="1:9" x14ac:dyDescent="0.2">
      <c r="A943" t="s">
        <v>3343</v>
      </c>
      <c r="B943" t="s">
        <v>3344</v>
      </c>
      <c r="C943" t="s">
        <v>3345</v>
      </c>
      <c r="D943" t="s">
        <v>3346</v>
      </c>
      <c r="E943" t="s">
        <v>4</v>
      </c>
      <c r="F943">
        <v>588</v>
      </c>
      <c r="G943">
        <v>433</v>
      </c>
      <c r="H943" t="s">
        <v>114</v>
      </c>
      <c r="I943" t="b">
        <f t="shared" si="14"/>
        <v>0</v>
      </c>
    </row>
    <row r="944" spans="1:9" x14ac:dyDescent="0.2">
      <c r="A944" t="s">
        <v>1454</v>
      </c>
      <c r="B944" t="s">
        <v>1455</v>
      </c>
      <c r="C944" t="s">
        <v>1456</v>
      </c>
      <c r="D944" t="s">
        <v>1457</v>
      </c>
      <c r="E944" t="s">
        <v>4</v>
      </c>
      <c r="F944">
        <v>95</v>
      </c>
      <c r="G944">
        <v>621</v>
      </c>
      <c r="H944" t="s">
        <v>13</v>
      </c>
      <c r="I944" t="b">
        <f t="shared" si="14"/>
        <v>0</v>
      </c>
    </row>
    <row r="945" spans="1:9" x14ac:dyDescent="0.2">
      <c r="A945" t="s">
        <v>4986</v>
      </c>
      <c r="B945" t="s">
        <v>4987</v>
      </c>
      <c r="C945" t="s">
        <v>3369</v>
      </c>
      <c r="D945" t="s">
        <v>3370</v>
      </c>
      <c r="E945" t="s">
        <v>4</v>
      </c>
      <c r="F945">
        <v>43</v>
      </c>
      <c r="G945">
        <v>38</v>
      </c>
      <c r="H945" t="s">
        <v>13</v>
      </c>
      <c r="I945" t="b">
        <f t="shared" si="14"/>
        <v>0</v>
      </c>
    </row>
    <row r="946" spans="1:9" x14ac:dyDescent="0.2">
      <c r="A946" t="s">
        <v>5673</v>
      </c>
      <c r="B946" t="s">
        <v>5674</v>
      </c>
      <c r="C946" t="s">
        <v>5675</v>
      </c>
      <c r="D946" t="s">
        <v>5676</v>
      </c>
      <c r="E946" t="s">
        <v>4</v>
      </c>
      <c r="F946">
        <v>6003</v>
      </c>
      <c r="G946">
        <v>1353</v>
      </c>
      <c r="H946" t="s">
        <v>645</v>
      </c>
      <c r="I946" t="b">
        <f t="shared" si="14"/>
        <v>0</v>
      </c>
    </row>
    <row r="947" spans="1:9" x14ac:dyDescent="0.2">
      <c r="A947" t="s">
        <v>1393</v>
      </c>
      <c r="B947" t="s">
        <v>1394</v>
      </c>
      <c r="C947" t="s">
        <v>171</v>
      </c>
      <c r="D947" t="s">
        <v>3</v>
      </c>
      <c r="E947" t="s">
        <v>4</v>
      </c>
      <c r="F947">
        <v>5</v>
      </c>
      <c r="G947">
        <v>52</v>
      </c>
      <c r="H947" t="s">
        <v>13</v>
      </c>
      <c r="I947" t="b">
        <f t="shared" si="14"/>
        <v>0</v>
      </c>
    </row>
    <row r="948" spans="1:9" x14ac:dyDescent="0.2">
      <c r="A948" t="s">
        <v>6596</v>
      </c>
      <c r="B948" t="s">
        <v>6597</v>
      </c>
      <c r="C948" t="s">
        <v>6598</v>
      </c>
      <c r="D948" t="s">
        <v>3</v>
      </c>
      <c r="E948" t="s">
        <v>4</v>
      </c>
      <c r="F948">
        <v>32</v>
      </c>
      <c r="G948">
        <v>97</v>
      </c>
      <c r="H948" t="s">
        <v>13</v>
      </c>
      <c r="I948" t="b">
        <f t="shared" si="14"/>
        <v>0</v>
      </c>
    </row>
    <row r="949" spans="1:9" x14ac:dyDescent="0.2">
      <c r="A949" t="s">
        <v>849</v>
      </c>
      <c r="B949" t="s">
        <v>850</v>
      </c>
      <c r="C949" t="s">
        <v>851</v>
      </c>
      <c r="D949" t="s">
        <v>852</v>
      </c>
      <c r="E949" t="s">
        <v>4</v>
      </c>
      <c r="F949">
        <v>1948</v>
      </c>
      <c r="G949">
        <v>4978</v>
      </c>
      <c r="H949" t="s">
        <v>13</v>
      </c>
      <c r="I949" t="b">
        <f t="shared" si="14"/>
        <v>0</v>
      </c>
    </row>
    <row r="950" spans="1:9" x14ac:dyDescent="0.2">
      <c r="A950" t="s">
        <v>547</v>
      </c>
      <c r="B950" t="s">
        <v>548</v>
      </c>
      <c r="C950" t="s">
        <v>549</v>
      </c>
      <c r="D950" t="s">
        <v>550</v>
      </c>
      <c r="E950" t="s">
        <v>4</v>
      </c>
      <c r="F950">
        <v>1461</v>
      </c>
      <c r="G950">
        <v>110</v>
      </c>
      <c r="H950" t="s">
        <v>13</v>
      </c>
      <c r="I950" t="b">
        <f t="shared" si="14"/>
        <v>0</v>
      </c>
    </row>
    <row r="951" spans="1:9" x14ac:dyDescent="0.2">
      <c r="A951" t="s">
        <v>4361</v>
      </c>
      <c r="B951" t="s">
        <v>4362</v>
      </c>
      <c r="C951" t="s">
        <v>4363</v>
      </c>
      <c r="D951" t="s">
        <v>1772</v>
      </c>
      <c r="E951" t="s">
        <v>4</v>
      </c>
      <c r="F951">
        <v>232</v>
      </c>
      <c r="G951">
        <v>177</v>
      </c>
      <c r="H951" t="s">
        <v>13</v>
      </c>
      <c r="I951" t="b">
        <f t="shared" si="14"/>
        <v>0</v>
      </c>
    </row>
    <row r="952" spans="1:9" x14ac:dyDescent="0.2">
      <c r="A952" t="s">
        <v>3450</v>
      </c>
      <c r="B952" t="s">
        <v>3451</v>
      </c>
      <c r="C952" t="s">
        <v>1757</v>
      </c>
      <c r="D952" t="s">
        <v>3</v>
      </c>
      <c r="E952" t="s">
        <v>4</v>
      </c>
      <c r="F952">
        <v>7</v>
      </c>
      <c r="G952">
        <v>58</v>
      </c>
      <c r="H952" t="s">
        <v>13</v>
      </c>
      <c r="I952" t="b">
        <f t="shared" si="14"/>
        <v>0</v>
      </c>
    </row>
    <row r="953" spans="1:9" x14ac:dyDescent="0.2">
      <c r="A953" t="s">
        <v>6659</v>
      </c>
      <c r="B953" t="s">
        <v>6660</v>
      </c>
      <c r="C953" t="s">
        <v>254</v>
      </c>
      <c r="D953" t="s">
        <v>3</v>
      </c>
      <c r="E953" t="s">
        <v>4</v>
      </c>
      <c r="F953">
        <v>647</v>
      </c>
      <c r="G953">
        <v>460</v>
      </c>
      <c r="H953" t="s">
        <v>13</v>
      </c>
      <c r="I953" t="b">
        <f t="shared" si="14"/>
        <v>0</v>
      </c>
    </row>
    <row r="954" spans="1:9" x14ac:dyDescent="0.2">
      <c r="A954" t="s">
        <v>916</v>
      </c>
      <c r="B954" t="s">
        <v>917</v>
      </c>
      <c r="C954" t="s">
        <v>704</v>
      </c>
      <c r="D954" t="s">
        <v>918</v>
      </c>
      <c r="E954" t="s">
        <v>4</v>
      </c>
      <c r="F954">
        <v>214</v>
      </c>
      <c r="G954">
        <v>632</v>
      </c>
      <c r="H954" t="s">
        <v>13</v>
      </c>
      <c r="I954" t="b">
        <f t="shared" si="14"/>
        <v>0</v>
      </c>
    </row>
    <row r="955" spans="1:9" x14ac:dyDescent="0.2">
      <c r="A955" t="s">
        <v>5183</v>
      </c>
      <c r="B955" t="s">
        <v>5184</v>
      </c>
      <c r="C955" t="s">
        <v>3890</v>
      </c>
      <c r="D955" t="s">
        <v>3</v>
      </c>
      <c r="E955" t="s">
        <v>4</v>
      </c>
      <c r="F955">
        <v>102</v>
      </c>
      <c r="G955">
        <v>136</v>
      </c>
      <c r="H955" t="s">
        <v>13</v>
      </c>
      <c r="I955" t="b">
        <f t="shared" si="14"/>
        <v>0</v>
      </c>
    </row>
    <row r="956" spans="1:9" x14ac:dyDescent="0.2">
      <c r="A956" t="s">
        <v>3472</v>
      </c>
      <c r="B956" t="s">
        <v>3473</v>
      </c>
      <c r="C956" t="s">
        <v>3474</v>
      </c>
      <c r="D956" t="s">
        <v>3475</v>
      </c>
      <c r="E956" t="s">
        <v>4</v>
      </c>
      <c r="F956">
        <v>1955</v>
      </c>
      <c r="G956">
        <v>202</v>
      </c>
      <c r="H956" t="s">
        <v>13</v>
      </c>
      <c r="I956" t="b">
        <f t="shared" si="14"/>
        <v>0</v>
      </c>
    </row>
    <row r="957" spans="1:9" x14ac:dyDescent="0.2">
      <c r="A957" t="s">
        <v>4063</v>
      </c>
      <c r="B957" t="s">
        <v>4064</v>
      </c>
      <c r="C957" t="s">
        <v>4065</v>
      </c>
      <c r="D957" t="s">
        <v>4066</v>
      </c>
      <c r="E957" t="s">
        <v>4</v>
      </c>
      <c r="F957">
        <v>192</v>
      </c>
      <c r="G957">
        <v>215</v>
      </c>
      <c r="H957" t="s">
        <v>50</v>
      </c>
      <c r="I957" t="b">
        <f t="shared" si="14"/>
        <v>0</v>
      </c>
    </row>
    <row r="958" spans="1:9" x14ac:dyDescent="0.2">
      <c r="A958" t="s">
        <v>4570</v>
      </c>
      <c r="B958" t="s">
        <v>4571</v>
      </c>
      <c r="C958" t="s">
        <v>1438</v>
      </c>
      <c r="D958" t="s">
        <v>3</v>
      </c>
      <c r="E958" t="s">
        <v>4</v>
      </c>
      <c r="F958">
        <v>240</v>
      </c>
      <c r="G958">
        <v>573</v>
      </c>
      <c r="H958" t="s">
        <v>13</v>
      </c>
      <c r="I958" t="b">
        <f t="shared" si="14"/>
        <v>0</v>
      </c>
    </row>
    <row r="959" spans="1:9" x14ac:dyDescent="0.2">
      <c r="A959" t="s">
        <v>364</v>
      </c>
      <c r="B959" t="s">
        <v>365</v>
      </c>
      <c r="C959" t="s">
        <v>366</v>
      </c>
      <c r="D959" t="s">
        <v>367</v>
      </c>
      <c r="E959" t="s">
        <v>4</v>
      </c>
      <c r="F959">
        <v>1374</v>
      </c>
      <c r="G959">
        <v>294</v>
      </c>
      <c r="H959" t="s">
        <v>13</v>
      </c>
      <c r="I959" t="b">
        <f t="shared" si="14"/>
        <v>0</v>
      </c>
    </row>
    <row r="960" spans="1:9" x14ac:dyDescent="0.2">
      <c r="A960" t="s">
        <v>1762</v>
      </c>
      <c r="B960" t="s">
        <v>1763</v>
      </c>
      <c r="C960" t="s">
        <v>1764</v>
      </c>
      <c r="D960" t="s">
        <v>3</v>
      </c>
      <c r="E960" t="s">
        <v>4</v>
      </c>
      <c r="F960">
        <v>61</v>
      </c>
      <c r="G960">
        <v>129</v>
      </c>
      <c r="H960" t="s">
        <v>13</v>
      </c>
      <c r="I960" t="b">
        <f t="shared" si="14"/>
        <v>0</v>
      </c>
    </row>
    <row r="961" spans="1:9" x14ac:dyDescent="0.2">
      <c r="A961" t="s">
        <v>865</v>
      </c>
      <c r="B961" t="s">
        <v>866</v>
      </c>
      <c r="C961" t="s">
        <v>658</v>
      </c>
      <c r="D961" t="s">
        <v>101</v>
      </c>
      <c r="E961" t="s">
        <v>4</v>
      </c>
      <c r="F961">
        <v>3316</v>
      </c>
      <c r="G961">
        <v>3347</v>
      </c>
      <c r="H961" t="s">
        <v>867</v>
      </c>
      <c r="I961" t="b">
        <f t="shared" si="14"/>
        <v>0</v>
      </c>
    </row>
    <row r="962" spans="1:9" x14ac:dyDescent="0.2">
      <c r="A962" t="s">
        <v>4939</v>
      </c>
      <c r="B962" t="s">
        <v>4940</v>
      </c>
      <c r="C962" t="s">
        <v>275</v>
      </c>
      <c r="D962" t="s">
        <v>64</v>
      </c>
      <c r="E962" t="s">
        <v>4</v>
      </c>
      <c r="F962">
        <v>84</v>
      </c>
      <c r="G962">
        <v>118</v>
      </c>
      <c r="H962" t="s">
        <v>13</v>
      </c>
      <c r="I962" t="b">
        <f t="shared" si="14"/>
        <v>0</v>
      </c>
    </row>
    <row r="963" spans="1:9" x14ac:dyDescent="0.2">
      <c r="A963" t="s">
        <v>4171</v>
      </c>
      <c r="B963" t="s">
        <v>4172</v>
      </c>
      <c r="C963" t="s">
        <v>4173</v>
      </c>
      <c r="D963" t="s">
        <v>3</v>
      </c>
      <c r="E963" t="s">
        <v>4</v>
      </c>
      <c r="F963">
        <v>83</v>
      </c>
      <c r="G963">
        <v>444</v>
      </c>
      <c r="H963" t="s">
        <v>13</v>
      </c>
      <c r="I963" t="b">
        <f t="shared" ref="I963:I1026" si="15">isDup(B963, B964, 0.7)</f>
        <v>0</v>
      </c>
    </row>
    <row r="964" spans="1:9" x14ac:dyDescent="0.2">
      <c r="A964" t="s">
        <v>1530</v>
      </c>
      <c r="B964" t="s">
        <v>1531</v>
      </c>
      <c r="C964" t="s">
        <v>1525</v>
      </c>
      <c r="D964" t="s">
        <v>3</v>
      </c>
      <c r="E964" t="s">
        <v>4</v>
      </c>
      <c r="F964">
        <v>9642</v>
      </c>
      <c r="G964">
        <v>27</v>
      </c>
      <c r="H964" t="s">
        <v>13</v>
      </c>
      <c r="I964" t="b">
        <f t="shared" si="15"/>
        <v>0</v>
      </c>
    </row>
    <row r="965" spans="1:9" x14ac:dyDescent="0.2">
      <c r="A965" t="s">
        <v>5728</v>
      </c>
      <c r="B965" t="s">
        <v>5729</v>
      </c>
      <c r="C965" t="s">
        <v>31</v>
      </c>
      <c r="D965" t="s">
        <v>42</v>
      </c>
      <c r="E965" t="s">
        <v>4</v>
      </c>
      <c r="F965">
        <v>345</v>
      </c>
      <c r="G965">
        <v>348</v>
      </c>
      <c r="H965" t="s">
        <v>13</v>
      </c>
      <c r="I965" t="b">
        <f t="shared" si="15"/>
        <v>0</v>
      </c>
    </row>
    <row r="966" spans="1:9" x14ac:dyDescent="0.2">
      <c r="A966" t="s">
        <v>5044</v>
      </c>
      <c r="B966" t="s">
        <v>5045</v>
      </c>
      <c r="C966" t="s">
        <v>215</v>
      </c>
      <c r="D966" t="s">
        <v>3</v>
      </c>
      <c r="E966" t="s">
        <v>4</v>
      </c>
      <c r="F966">
        <v>525</v>
      </c>
      <c r="G966">
        <v>1435</v>
      </c>
      <c r="H966" t="s">
        <v>13</v>
      </c>
      <c r="I966" t="b">
        <f t="shared" si="15"/>
        <v>0</v>
      </c>
    </row>
    <row r="967" spans="1:9" x14ac:dyDescent="0.2">
      <c r="A967" t="s">
        <v>5849</v>
      </c>
      <c r="B967" t="s">
        <v>5850</v>
      </c>
      <c r="C967" t="s">
        <v>740</v>
      </c>
      <c r="D967" t="s">
        <v>1772</v>
      </c>
      <c r="E967" t="s">
        <v>4</v>
      </c>
      <c r="F967">
        <v>637</v>
      </c>
      <c r="G967">
        <v>327</v>
      </c>
      <c r="H967" t="s">
        <v>13</v>
      </c>
      <c r="I967" t="b">
        <f t="shared" si="15"/>
        <v>0</v>
      </c>
    </row>
    <row r="968" spans="1:9" x14ac:dyDescent="0.2">
      <c r="A968" t="s">
        <v>2393</v>
      </c>
      <c r="B968" t="s">
        <v>2394</v>
      </c>
      <c r="C968" t="s">
        <v>2395</v>
      </c>
      <c r="D968" t="s">
        <v>2396</v>
      </c>
      <c r="E968" t="s">
        <v>38</v>
      </c>
      <c r="F968">
        <v>27785</v>
      </c>
      <c r="G968">
        <v>147</v>
      </c>
      <c r="H968" t="s">
        <v>13</v>
      </c>
      <c r="I968" t="b">
        <f t="shared" si="15"/>
        <v>0</v>
      </c>
    </row>
    <row r="969" spans="1:9" x14ac:dyDescent="0.2">
      <c r="A969" t="s">
        <v>3225</v>
      </c>
      <c r="B969" t="s">
        <v>3226</v>
      </c>
      <c r="C969" t="s">
        <v>336</v>
      </c>
      <c r="D969" t="s">
        <v>3227</v>
      </c>
      <c r="E969" t="s">
        <v>4</v>
      </c>
      <c r="F969">
        <v>398</v>
      </c>
      <c r="G969">
        <v>1123</v>
      </c>
      <c r="H969" t="s">
        <v>13</v>
      </c>
      <c r="I969" t="b">
        <f t="shared" si="15"/>
        <v>0</v>
      </c>
    </row>
    <row r="970" spans="1:9" x14ac:dyDescent="0.2">
      <c r="A970" t="s">
        <v>2955</v>
      </c>
      <c r="B970" t="s">
        <v>2956</v>
      </c>
      <c r="C970" t="s">
        <v>1012</v>
      </c>
      <c r="D970" t="s">
        <v>2957</v>
      </c>
      <c r="E970" t="s">
        <v>4</v>
      </c>
      <c r="F970">
        <v>59</v>
      </c>
      <c r="G970">
        <v>1300</v>
      </c>
      <c r="H970" t="s">
        <v>13</v>
      </c>
      <c r="I970" t="b">
        <f t="shared" si="15"/>
        <v>0</v>
      </c>
    </row>
    <row r="971" spans="1:9" x14ac:dyDescent="0.2">
      <c r="A971" t="s">
        <v>2081</v>
      </c>
      <c r="B971" t="s">
        <v>2082</v>
      </c>
      <c r="C971" t="s">
        <v>395</v>
      </c>
      <c r="D971" t="s">
        <v>396</v>
      </c>
      <c r="E971" t="s">
        <v>4</v>
      </c>
      <c r="F971">
        <v>52</v>
      </c>
      <c r="G971">
        <v>242</v>
      </c>
      <c r="H971" t="s">
        <v>13</v>
      </c>
      <c r="I971" t="b">
        <f t="shared" si="15"/>
        <v>0</v>
      </c>
    </row>
    <row r="972" spans="1:9" x14ac:dyDescent="0.2">
      <c r="A972" t="s">
        <v>1112</v>
      </c>
      <c r="B972" t="s">
        <v>1113</v>
      </c>
      <c r="C972" t="s">
        <v>1012</v>
      </c>
      <c r="D972" t="s">
        <v>928</v>
      </c>
      <c r="E972" t="s">
        <v>4</v>
      </c>
      <c r="F972">
        <v>22</v>
      </c>
      <c r="G972">
        <v>95</v>
      </c>
      <c r="H972" t="s">
        <v>86</v>
      </c>
      <c r="I972" t="b">
        <f t="shared" si="15"/>
        <v>0</v>
      </c>
    </row>
    <row r="973" spans="1:9" x14ac:dyDescent="0.2">
      <c r="A973" t="s">
        <v>2639</v>
      </c>
      <c r="B973" t="s">
        <v>2640</v>
      </c>
      <c r="C973" t="s">
        <v>1602</v>
      </c>
      <c r="D973" t="s">
        <v>3</v>
      </c>
      <c r="E973" t="s">
        <v>4</v>
      </c>
      <c r="F973">
        <v>9</v>
      </c>
      <c r="G973">
        <v>10</v>
      </c>
      <c r="H973" t="s">
        <v>50</v>
      </c>
      <c r="I973" t="b">
        <f t="shared" si="15"/>
        <v>0</v>
      </c>
    </row>
    <row r="974" spans="1:9" x14ac:dyDescent="0.2">
      <c r="A974" t="s">
        <v>2834</v>
      </c>
      <c r="B974" t="s">
        <v>2835</v>
      </c>
      <c r="C974" t="s">
        <v>155</v>
      </c>
      <c r="D974" t="s">
        <v>2836</v>
      </c>
      <c r="E974" t="s">
        <v>4</v>
      </c>
      <c r="F974">
        <v>177</v>
      </c>
      <c r="G974">
        <v>179</v>
      </c>
      <c r="H974" t="s">
        <v>114</v>
      </c>
      <c r="I974" t="b">
        <f t="shared" si="15"/>
        <v>0</v>
      </c>
    </row>
    <row r="975" spans="1:9" x14ac:dyDescent="0.2">
      <c r="A975" t="s">
        <v>2268</v>
      </c>
      <c r="B975" t="s">
        <v>2270</v>
      </c>
      <c r="C975" t="s">
        <v>1602</v>
      </c>
      <c r="D975" t="s">
        <v>3</v>
      </c>
      <c r="E975" t="s">
        <v>4</v>
      </c>
      <c r="F975">
        <v>4</v>
      </c>
      <c r="G975">
        <v>12</v>
      </c>
      <c r="H975" t="s">
        <v>13</v>
      </c>
      <c r="I975" t="b">
        <f t="shared" si="15"/>
        <v>0</v>
      </c>
    </row>
    <row r="976" spans="1:9" x14ac:dyDescent="0.2">
      <c r="A976" t="s">
        <v>6883</v>
      </c>
      <c r="B976" t="s">
        <v>6884</v>
      </c>
      <c r="C976" t="s">
        <v>786</v>
      </c>
      <c r="D976" t="s">
        <v>6885</v>
      </c>
      <c r="E976" t="s">
        <v>4</v>
      </c>
      <c r="F976">
        <v>263</v>
      </c>
      <c r="G976">
        <v>1041</v>
      </c>
      <c r="H976" t="s">
        <v>13</v>
      </c>
      <c r="I976" t="b">
        <f t="shared" si="15"/>
        <v>0</v>
      </c>
    </row>
    <row r="977" spans="1:9" x14ac:dyDescent="0.2">
      <c r="A977" t="s">
        <v>741</v>
      </c>
      <c r="B977" t="s">
        <v>742</v>
      </c>
      <c r="C977" t="s">
        <v>743</v>
      </c>
      <c r="D977" t="s">
        <v>744</v>
      </c>
      <c r="E977" t="s">
        <v>4</v>
      </c>
      <c r="F977">
        <v>11</v>
      </c>
      <c r="G977">
        <v>15</v>
      </c>
      <c r="H977" t="s">
        <v>13</v>
      </c>
      <c r="I977" t="b">
        <f t="shared" si="15"/>
        <v>0</v>
      </c>
    </row>
    <row r="978" spans="1:9" x14ac:dyDescent="0.2">
      <c r="A978" t="s">
        <v>706</v>
      </c>
      <c r="B978" t="s">
        <v>707</v>
      </c>
      <c r="C978" t="s">
        <v>429</v>
      </c>
      <c r="D978" t="s">
        <v>430</v>
      </c>
      <c r="E978" t="s">
        <v>4</v>
      </c>
      <c r="F978">
        <v>192</v>
      </c>
      <c r="G978">
        <v>141</v>
      </c>
      <c r="H978" t="s">
        <v>13</v>
      </c>
      <c r="I978" t="b">
        <f t="shared" si="15"/>
        <v>0</v>
      </c>
    </row>
    <row r="979" spans="1:9" x14ac:dyDescent="0.2">
      <c r="A979" t="s">
        <v>2214</v>
      </c>
      <c r="B979" t="s">
        <v>2215</v>
      </c>
      <c r="C979" t="s">
        <v>2216</v>
      </c>
      <c r="D979" t="s">
        <v>2217</v>
      </c>
      <c r="E979" t="s">
        <v>4</v>
      </c>
      <c r="F979">
        <v>90</v>
      </c>
      <c r="G979">
        <v>295</v>
      </c>
      <c r="H979" t="s">
        <v>13</v>
      </c>
      <c r="I979" t="b">
        <f t="shared" si="15"/>
        <v>0</v>
      </c>
    </row>
    <row r="980" spans="1:9" x14ac:dyDescent="0.2">
      <c r="A980" t="s">
        <v>6730</v>
      </c>
      <c r="B980" t="s">
        <v>6731</v>
      </c>
      <c r="C980" t="s">
        <v>6732</v>
      </c>
      <c r="D980" t="s">
        <v>1772</v>
      </c>
      <c r="E980" t="s">
        <v>4</v>
      </c>
      <c r="F980">
        <v>78</v>
      </c>
      <c r="G980">
        <v>400</v>
      </c>
      <c r="H980" t="s">
        <v>13</v>
      </c>
      <c r="I980" t="b">
        <f t="shared" si="15"/>
        <v>0</v>
      </c>
    </row>
    <row r="981" spans="1:9" x14ac:dyDescent="0.2">
      <c r="A981" t="s">
        <v>2563</v>
      </c>
      <c r="B981" t="s">
        <v>2564</v>
      </c>
      <c r="C981" t="s">
        <v>806</v>
      </c>
      <c r="D981" t="s">
        <v>2565</v>
      </c>
      <c r="E981" t="s">
        <v>4</v>
      </c>
      <c r="F981">
        <v>1984</v>
      </c>
      <c r="G981">
        <v>2599</v>
      </c>
      <c r="H981" t="s">
        <v>13</v>
      </c>
      <c r="I981" t="b">
        <f t="shared" si="15"/>
        <v>0</v>
      </c>
    </row>
    <row r="982" spans="1:9" x14ac:dyDescent="0.2">
      <c r="A982" t="s">
        <v>3586</v>
      </c>
      <c r="B982" t="s">
        <v>3587</v>
      </c>
      <c r="C982" t="s">
        <v>3588</v>
      </c>
      <c r="D982" t="s">
        <v>3</v>
      </c>
      <c r="E982" t="s">
        <v>4</v>
      </c>
      <c r="F982">
        <v>91</v>
      </c>
      <c r="G982">
        <v>83</v>
      </c>
      <c r="H982" t="s">
        <v>13</v>
      </c>
      <c r="I982" t="b">
        <f t="shared" si="15"/>
        <v>0</v>
      </c>
    </row>
    <row r="983" spans="1:9" x14ac:dyDescent="0.2">
      <c r="A983" t="s">
        <v>1956</v>
      </c>
      <c r="B983" t="s">
        <v>1957</v>
      </c>
      <c r="C983" t="s">
        <v>1958</v>
      </c>
      <c r="D983" t="s">
        <v>1959</v>
      </c>
      <c r="E983" t="s">
        <v>4</v>
      </c>
      <c r="F983">
        <v>596</v>
      </c>
      <c r="G983">
        <v>53</v>
      </c>
      <c r="H983" t="s">
        <v>13</v>
      </c>
      <c r="I983" t="b">
        <f t="shared" si="15"/>
        <v>0</v>
      </c>
    </row>
    <row r="984" spans="1:9" x14ac:dyDescent="0.2">
      <c r="A984" t="s">
        <v>6847</v>
      </c>
      <c r="B984" t="s">
        <v>6848</v>
      </c>
      <c r="C984" t="s">
        <v>6849</v>
      </c>
      <c r="D984" t="s">
        <v>3</v>
      </c>
      <c r="E984" t="s">
        <v>4</v>
      </c>
      <c r="F984">
        <v>34</v>
      </c>
      <c r="G984">
        <v>190</v>
      </c>
      <c r="H984" t="s">
        <v>13</v>
      </c>
      <c r="I984" t="b">
        <f t="shared" si="15"/>
        <v>0</v>
      </c>
    </row>
    <row r="985" spans="1:9" x14ac:dyDescent="0.2">
      <c r="A985" t="s">
        <v>6377</v>
      </c>
      <c r="B985" t="s">
        <v>6378</v>
      </c>
      <c r="C985" t="s">
        <v>6379</v>
      </c>
      <c r="D985" t="s">
        <v>3</v>
      </c>
      <c r="E985" t="s">
        <v>4</v>
      </c>
      <c r="F985">
        <v>509</v>
      </c>
      <c r="G985">
        <v>1425</v>
      </c>
      <c r="H985" t="s">
        <v>13</v>
      </c>
      <c r="I985" t="b">
        <f t="shared" si="15"/>
        <v>0</v>
      </c>
    </row>
    <row r="986" spans="1:9" x14ac:dyDescent="0.2">
      <c r="A986" t="s">
        <v>1416</v>
      </c>
      <c r="B986" t="s">
        <v>1417</v>
      </c>
      <c r="C986" t="s">
        <v>530</v>
      </c>
      <c r="D986" t="s">
        <v>3</v>
      </c>
      <c r="E986" t="s">
        <v>4</v>
      </c>
      <c r="F986">
        <v>0</v>
      </c>
      <c r="G986">
        <v>48</v>
      </c>
      <c r="H986" t="s">
        <v>13</v>
      </c>
      <c r="I986" t="b">
        <f t="shared" si="15"/>
        <v>0</v>
      </c>
    </row>
    <row r="987" spans="1:9" x14ac:dyDescent="0.2">
      <c r="A987" t="s">
        <v>3275</v>
      </c>
      <c r="B987" t="s">
        <v>3276</v>
      </c>
      <c r="C987" t="s">
        <v>3277</v>
      </c>
      <c r="D987" t="s">
        <v>3</v>
      </c>
      <c r="E987" t="s">
        <v>4</v>
      </c>
      <c r="F987">
        <v>13</v>
      </c>
      <c r="G987">
        <v>126</v>
      </c>
      <c r="H987" t="s">
        <v>13</v>
      </c>
      <c r="I987" t="b">
        <f t="shared" si="15"/>
        <v>0</v>
      </c>
    </row>
    <row r="988" spans="1:9" x14ac:dyDescent="0.2">
      <c r="A988" t="s">
        <v>2822</v>
      </c>
      <c r="B988" t="s">
        <v>2823</v>
      </c>
      <c r="C988" t="s">
        <v>2287</v>
      </c>
      <c r="D988" t="s">
        <v>2824</v>
      </c>
      <c r="E988" t="s">
        <v>4</v>
      </c>
      <c r="F988">
        <v>391</v>
      </c>
      <c r="G988">
        <v>1925</v>
      </c>
      <c r="H988" t="s">
        <v>13</v>
      </c>
      <c r="I988" t="b">
        <f t="shared" si="15"/>
        <v>0</v>
      </c>
    </row>
    <row r="989" spans="1:9" x14ac:dyDescent="0.2">
      <c r="A989" t="s">
        <v>267</v>
      </c>
      <c r="B989" t="s">
        <v>268</v>
      </c>
      <c r="C989" t="s">
        <v>269</v>
      </c>
      <c r="D989" t="s">
        <v>3</v>
      </c>
      <c r="E989" t="s">
        <v>4</v>
      </c>
      <c r="F989">
        <v>3</v>
      </c>
      <c r="G989">
        <v>5</v>
      </c>
      <c r="H989" t="s">
        <v>13</v>
      </c>
      <c r="I989" t="b">
        <f t="shared" si="15"/>
        <v>0</v>
      </c>
    </row>
    <row r="990" spans="1:9" x14ac:dyDescent="0.2">
      <c r="A990" t="s">
        <v>6011</v>
      </c>
      <c r="B990" t="s">
        <v>6012</v>
      </c>
      <c r="C990" t="s">
        <v>6013</v>
      </c>
      <c r="D990" t="s">
        <v>932</v>
      </c>
      <c r="E990" t="s">
        <v>4</v>
      </c>
      <c r="F990">
        <v>154</v>
      </c>
      <c r="G990">
        <v>208</v>
      </c>
      <c r="H990" t="s">
        <v>13</v>
      </c>
      <c r="I990" t="b">
        <f t="shared" si="15"/>
        <v>1</v>
      </c>
    </row>
    <row r="991" spans="1:9" x14ac:dyDescent="0.2">
      <c r="A991" t="s">
        <v>5939</v>
      </c>
      <c r="B991" t="s">
        <v>5940</v>
      </c>
      <c r="C991" t="s">
        <v>279</v>
      </c>
      <c r="D991" t="s">
        <v>3</v>
      </c>
      <c r="E991" t="s">
        <v>4</v>
      </c>
      <c r="F991">
        <v>218</v>
      </c>
      <c r="G991">
        <v>606</v>
      </c>
      <c r="H991" t="s">
        <v>13</v>
      </c>
      <c r="I991" t="b">
        <f t="shared" si="15"/>
        <v>0</v>
      </c>
    </row>
    <row r="992" spans="1:9" x14ac:dyDescent="0.2">
      <c r="A992" t="s">
        <v>3492</v>
      </c>
      <c r="B992" t="s">
        <v>3493</v>
      </c>
      <c r="C992" t="s">
        <v>1587</v>
      </c>
      <c r="D992" t="s">
        <v>3494</v>
      </c>
      <c r="E992" t="s">
        <v>4</v>
      </c>
      <c r="F992">
        <v>1008</v>
      </c>
      <c r="G992">
        <v>981</v>
      </c>
      <c r="H992" t="s">
        <v>13</v>
      </c>
      <c r="I992" t="b">
        <f t="shared" si="15"/>
        <v>0</v>
      </c>
    </row>
    <row r="993" spans="1:9" x14ac:dyDescent="0.2">
      <c r="A993" t="s">
        <v>1600</v>
      </c>
      <c r="B993" t="s">
        <v>1601</v>
      </c>
      <c r="C993" t="s">
        <v>1602</v>
      </c>
      <c r="D993" t="s">
        <v>3</v>
      </c>
      <c r="E993" t="s">
        <v>4</v>
      </c>
      <c r="F993">
        <v>289</v>
      </c>
      <c r="G993">
        <v>70</v>
      </c>
      <c r="H993" t="s">
        <v>13</v>
      </c>
      <c r="I993" t="b">
        <f t="shared" si="15"/>
        <v>0</v>
      </c>
    </row>
    <row r="994" spans="1:9" x14ac:dyDescent="0.2">
      <c r="A994" t="s">
        <v>1428</v>
      </c>
      <c r="B994" t="s">
        <v>1429</v>
      </c>
      <c r="C994" t="s">
        <v>1430</v>
      </c>
      <c r="D994" t="s">
        <v>3</v>
      </c>
      <c r="E994" t="s">
        <v>4</v>
      </c>
      <c r="F994">
        <v>29</v>
      </c>
      <c r="G994">
        <v>321</v>
      </c>
      <c r="H994" t="s">
        <v>13</v>
      </c>
      <c r="I994" t="b">
        <f t="shared" si="15"/>
        <v>0</v>
      </c>
    </row>
    <row r="995" spans="1:9" x14ac:dyDescent="0.2">
      <c r="A995" t="s">
        <v>4952</v>
      </c>
      <c r="B995" t="s">
        <v>4953</v>
      </c>
      <c r="C995" t="s">
        <v>2379</v>
      </c>
      <c r="D995" t="s">
        <v>3</v>
      </c>
      <c r="E995" t="s">
        <v>4</v>
      </c>
      <c r="F995">
        <v>88</v>
      </c>
      <c r="G995">
        <v>87</v>
      </c>
      <c r="H995" t="s">
        <v>13</v>
      </c>
      <c r="I995" t="b">
        <f t="shared" si="15"/>
        <v>0</v>
      </c>
    </row>
    <row r="996" spans="1:9" x14ac:dyDescent="0.2">
      <c r="A996" t="s">
        <v>981</v>
      </c>
      <c r="B996" t="s">
        <v>982</v>
      </c>
      <c r="C996" t="s">
        <v>983</v>
      </c>
      <c r="D996" t="s">
        <v>984</v>
      </c>
      <c r="E996" t="s">
        <v>4</v>
      </c>
      <c r="F996">
        <v>1</v>
      </c>
      <c r="G996">
        <v>16</v>
      </c>
      <c r="H996" t="s">
        <v>13</v>
      </c>
      <c r="I996" t="b">
        <f t="shared" si="15"/>
        <v>0</v>
      </c>
    </row>
    <row r="997" spans="1:9" x14ac:dyDescent="0.2">
      <c r="A997" t="s">
        <v>728</v>
      </c>
      <c r="B997" t="s">
        <v>729</v>
      </c>
      <c r="C997" t="s">
        <v>730</v>
      </c>
      <c r="D997" t="s">
        <v>3</v>
      </c>
      <c r="E997" t="s">
        <v>4</v>
      </c>
      <c r="F997">
        <v>80</v>
      </c>
      <c r="G997">
        <v>235</v>
      </c>
      <c r="H997" t="s">
        <v>13</v>
      </c>
      <c r="I997" t="b">
        <f t="shared" si="15"/>
        <v>0</v>
      </c>
    </row>
    <row r="998" spans="1:9" x14ac:dyDescent="0.2">
      <c r="A998" t="s">
        <v>252</v>
      </c>
      <c r="B998" t="s">
        <v>253</v>
      </c>
      <c r="C998" t="s">
        <v>254</v>
      </c>
      <c r="D998" t="s">
        <v>255</v>
      </c>
      <c r="E998" t="s">
        <v>4</v>
      </c>
      <c r="F998">
        <v>81</v>
      </c>
      <c r="G998">
        <v>64</v>
      </c>
      <c r="H998" t="s">
        <v>13</v>
      </c>
      <c r="I998" t="b">
        <f t="shared" si="15"/>
        <v>0</v>
      </c>
    </row>
    <row r="999" spans="1:9" x14ac:dyDescent="0.2">
      <c r="A999" t="s">
        <v>236</v>
      </c>
      <c r="B999" t="s">
        <v>237</v>
      </c>
      <c r="C999" t="s">
        <v>238</v>
      </c>
      <c r="D999" t="s">
        <v>3</v>
      </c>
      <c r="E999" t="s">
        <v>4</v>
      </c>
      <c r="F999">
        <v>18</v>
      </c>
      <c r="G999">
        <v>17</v>
      </c>
      <c r="H999" t="s">
        <v>13</v>
      </c>
      <c r="I999" t="b">
        <f t="shared" si="15"/>
        <v>0</v>
      </c>
    </row>
    <row r="1000" spans="1:9" x14ac:dyDescent="0.2">
      <c r="A1000" t="s">
        <v>2814</v>
      </c>
      <c r="B1000" t="s">
        <v>2815</v>
      </c>
      <c r="C1000" t="s">
        <v>1947</v>
      </c>
      <c r="D1000" t="s">
        <v>3</v>
      </c>
      <c r="E1000" t="s">
        <v>4</v>
      </c>
      <c r="F1000">
        <v>281</v>
      </c>
      <c r="G1000">
        <v>48</v>
      </c>
      <c r="H1000" t="s">
        <v>13</v>
      </c>
      <c r="I1000" t="b">
        <f t="shared" si="15"/>
        <v>0</v>
      </c>
    </row>
    <row r="1001" spans="1:9" x14ac:dyDescent="0.2">
      <c r="A1001" t="s">
        <v>1395</v>
      </c>
      <c r="B1001" t="s">
        <v>1396</v>
      </c>
      <c r="C1001" t="s">
        <v>1210</v>
      </c>
      <c r="D1001" t="s">
        <v>98</v>
      </c>
      <c r="E1001" t="s">
        <v>4</v>
      </c>
      <c r="F1001">
        <v>2050</v>
      </c>
      <c r="G1001">
        <v>543</v>
      </c>
      <c r="H1001" t="s">
        <v>13</v>
      </c>
      <c r="I1001" t="b">
        <f t="shared" si="15"/>
        <v>0</v>
      </c>
    </row>
    <row r="1002" spans="1:9" x14ac:dyDescent="0.2">
      <c r="A1002" t="s">
        <v>3798</v>
      </c>
      <c r="B1002" t="s">
        <v>3799</v>
      </c>
      <c r="C1002" t="s">
        <v>3800</v>
      </c>
      <c r="D1002" t="s">
        <v>326</v>
      </c>
      <c r="E1002" t="s">
        <v>4</v>
      </c>
      <c r="F1002">
        <v>911</v>
      </c>
      <c r="G1002">
        <v>258</v>
      </c>
      <c r="H1002" t="s">
        <v>13</v>
      </c>
      <c r="I1002" t="b">
        <f t="shared" si="15"/>
        <v>0</v>
      </c>
    </row>
    <row r="1003" spans="1:9" x14ac:dyDescent="0.2">
      <c r="A1003" t="s">
        <v>2999</v>
      </c>
      <c r="B1003" t="s">
        <v>3000</v>
      </c>
      <c r="C1003" t="s">
        <v>773</v>
      </c>
      <c r="D1003" t="s">
        <v>3001</v>
      </c>
      <c r="E1003" t="s">
        <v>4</v>
      </c>
      <c r="F1003">
        <v>92</v>
      </c>
      <c r="G1003">
        <v>78</v>
      </c>
      <c r="H1003" t="s">
        <v>13</v>
      </c>
      <c r="I1003" t="b">
        <f t="shared" si="15"/>
        <v>0</v>
      </c>
    </row>
    <row r="1004" spans="1:9" x14ac:dyDescent="0.2">
      <c r="A1004" t="s">
        <v>3198</v>
      </c>
      <c r="B1004" t="s">
        <v>3199</v>
      </c>
      <c r="C1004" t="s">
        <v>48</v>
      </c>
      <c r="D1004" t="s">
        <v>3</v>
      </c>
      <c r="E1004" t="s">
        <v>4</v>
      </c>
      <c r="F1004">
        <v>43</v>
      </c>
      <c r="G1004">
        <v>100</v>
      </c>
      <c r="H1004" t="s">
        <v>13</v>
      </c>
      <c r="I1004" t="b">
        <f t="shared" si="15"/>
        <v>0</v>
      </c>
    </row>
    <row r="1005" spans="1:9" x14ac:dyDescent="0.2">
      <c r="A1005" t="s">
        <v>5190</v>
      </c>
      <c r="B1005" t="s">
        <v>5191</v>
      </c>
      <c r="C1005" t="s">
        <v>462</v>
      </c>
      <c r="D1005" t="s">
        <v>5192</v>
      </c>
      <c r="E1005" t="s">
        <v>4</v>
      </c>
      <c r="F1005">
        <v>82</v>
      </c>
      <c r="G1005">
        <v>341</v>
      </c>
      <c r="H1005" t="s">
        <v>13</v>
      </c>
      <c r="I1005" t="b">
        <f t="shared" si="15"/>
        <v>0</v>
      </c>
    </row>
    <row r="1006" spans="1:9" x14ac:dyDescent="0.2">
      <c r="A1006" t="s">
        <v>1298</v>
      </c>
      <c r="B1006" t="s">
        <v>1299</v>
      </c>
      <c r="C1006" t="s">
        <v>1300</v>
      </c>
      <c r="D1006" t="s">
        <v>3</v>
      </c>
      <c r="E1006" t="s">
        <v>4</v>
      </c>
      <c r="F1006">
        <v>305</v>
      </c>
      <c r="G1006">
        <v>449</v>
      </c>
      <c r="H1006" t="s">
        <v>13</v>
      </c>
      <c r="I1006" t="b">
        <f t="shared" si="15"/>
        <v>0</v>
      </c>
    </row>
    <row r="1007" spans="1:9" x14ac:dyDescent="0.2">
      <c r="A1007" t="s">
        <v>4780</v>
      </c>
      <c r="B1007" t="s">
        <v>4781</v>
      </c>
      <c r="C1007" t="s">
        <v>4782</v>
      </c>
      <c r="D1007" t="s">
        <v>4783</v>
      </c>
      <c r="E1007" t="s">
        <v>4</v>
      </c>
      <c r="F1007">
        <v>59</v>
      </c>
      <c r="G1007">
        <v>105</v>
      </c>
      <c r="H1007" t="s">
        <v>13</v>
      </c>
      <c r="I1007" t="b">
        <f t="shared" si="15"/>
        <v>0</v>
      </c>
    </row>
    <row r="1008" spans="1:9" x14ac:dyDescent="0.2">
      <c r="A1008" t="s">
        <v>710</v>
      </c>
      <c r="B1008" t="s">
        <v>711</v>
      </c>
      <c r="C1008" t="s">
        <v>712</v>
      </c>
      <c r="D1008" t="s">
        <v>713</v>
      </c>
      <c r="E1008" t="s">
        <v>4</v>
      </c>
      <c r="F1008">
        <v>14</v>
      </c>
      <c r="G1008">
        <v>138</v>
      </c>
      <c r="H1008" t="s">
        <v>13</v>
      </c>
      <c r="I1008" t="b">
        <f t="shared" si="15"/>
        <v>0</v>
      </c>
    </row>
    <row r="1009" spans="1:9" x14ac:dyDescent="0.2">
      <c r="A1009" t="s">
        <v>6318</v>
      </c>
      <c r="B1009" t="s">
        <v>6319</v>
      </c>
      <c r="C1009" t="s">
        <v>6320</v>
      </c>
      <c r="D1009" t="s">
        <v>6321</v>
      </c>
      <c r="E1009" t="s">
        <v>4</v>
      </c>
      <c r="F1009">
        <v>1610</v>
      </c>
      <c r="G1009">
        <v>1967</v>
      </c>
      <c r="H1009" t="s">
        <v>13</v>
      </c>
      <c r="I1009" t="b">
        <f t="shared" si="15"/>
        <v>0</v>
      </c>
    </row>
    <row r="1010" spans="1:9" x14ac:dyDescent="0.2">
      <c r="A1010" t="s">
        <v>1909</v>
      </c>
      <c r="B1010" t="s">
        <v>1910</v>
      </c>
      <c r="C1010" t="s">
        <v>1911</v>
      </c>
      <c r="D1010" t="s">
        <v>1912</v>
      </c>
      <c r="E1010" t="s">
        <v>4</v>
      </c>
      <c r="F1010">
        <v>183</v>
      </c>
      <c r="G1010">
        <v>153</v>
      </c>
      <c r="H1010" t="s">
        <v>374</v>
      </c>
      <c r="I1010" t="b">
        <f t="shared" si="15"/>
        <v>0</v>
      </c>
    </row>
    <row r="1011" spans="1:9" x14ac:dyDescent="0.2">
      <c r="A1011" t="s">
        <v>3699</v>
      </c>
      <c r="B1011" t="s">
        <v>3700</v>
      </c>
      <c r="C1011" t="s">
        <v>3601</v>
      </c>
      <c r="D1011" t="s">
        <v>3602</v>
      </c>
      <c r="E1011" t="s">
        <v>4</v>
      </c>
      <c r="F1011">
        <v>527</v>
      </c>
      <c r="G1011">
        <v>274</v>
      </c>
      <c r="H1011" t="s">
        <v>13</v>
      </c>
      <c r="I1011" t="b">
        <f t="shared" si="15"/>
        <v>0</v>
      </c>
    </row>
    <row r="1012" spans="1:9" x14ac:dyDescent="0.2">
      <c r="A1012" t="s">
        <v>997</v>
      </c>
      <c r="B1012" t="s">
        <v>998</v>
      </c>
      <c r="C1012" t="s">
        <v>999</v>
      </c>
      <c r="D1012" t="s">
        <v>1000</v>
      </c>
      <c r="E1012" t="s">
        <v>4</v>
      </c>
      <c r="F1012">
        <v>13055</v>
      </c>
      <c r="G1012">
        <v>620</v>
      </c>
      <c r="H1012" t="s">
        <v>13</v>
      </c>
      <c r="I1012" t="b">
        <f t="shared" si="15"/>
        <v>0</v>
      </c>
    </row>
    <row r="1013" spans="1:9" x14ac:dyDescent="0.2">
      <c r="A1013" t="s">
        <v>3761</v>
      </c>
      <c r="B1013" t="s">
        <v>3762</v>
      </c>
      <c r="C1013" t="s">
        <v>185</v>
      </c>
      <c r="D1013" t="s">
        <v>3763</v>
      </c>
      <c r="E1013" t="s">
        <v>4</v>
      </c>
      <c r="F1013">
        <v>810</v>
      </c>
      <c r="G1013">
        <v>2979</v>
      </c>
      <c r="H1013" t="s">
        <v>13</v>
      </c>
      <c r="I1013" t="b">
        <f t="shared" si="15"/>
        <v>0</v>
      </c>
    </row>
    <row r="1014" spans="1:9" x14ac:dyDescent="0.2">
      <c r="A1014" t="s">
        <v>5367</v>
      </c>
      <c r="B1014" t="s">
        <v>5368</v>
      </c>
      <c r="C1014" t="s">
        <v>2602</v>
      </c>
      <c r="D1014" t="s">
        <v>705</v>
      </c>
      <c r="E1014" t="s">
        <v>4</v>
      </c>
      <c r="F1014">
        <v>4</v>
      </c>
      <c r="G1014">
        <v>23</v>
      </c>
      <c r="H1014" t="s">
        <v>13</v>
      </c>
      <c r="I1014" t="b">
        <f t="shared" si="15"/>
        <v>0</v>
      </c>
    </row>
    <row r="1015" spans="1:9" x14ac:dyDescent="0.2">
      <c r="A1015" t="s">
        <v>1686</v>
      </c>
      <c r="B1015" t="s">
        <v>1687</v>
      </c>
      <c r="C1015" t="s">
        <v>1688</v>
      </c>
      <c r="D1015" t="s">
        <v>3</v>
      </c>
      <c r="E1015" t="s">
        <v>4</v>
      </c>
      <c r="F1015">
        <v>715</v>
      </c>
      <c r="G1015">
        <v>557</v>
      </c>
      <c r="H1015" t="s">
        <v>13</v>
      </c>
      <c r="I1015" t="b">
        <f t="shared" si="15"/>
        <v>0</v>
      </c>
    </row>
    <row r="1016" spans="1:9" x14ac:dyDescent="0.2">
      <c r="A1016" t="s">
        <v>1559</v>
      </c>
      <c r="B1016" t="s">
        <v>1560</v>
      </c>
      <c r="C1016" t="s">
        <v>1519</v>
      </c>
      <c r="D1016" t="s">
        <v>3</v>
      </c>
      <c r="E1016" t="s">
        <v>4</v>
      </c>
      <c r="F1016">
        <v>0</v>
      </c>
      <c r="G1016">
        <v>46</v>
      </c>
      <c r="H1016" t="s">
        <v>13</v>
      </c>
      <c r="I1016" t="b">
        <f t="shared" si="15"/>
        <v>0</v>
      </c>
    </row>
    <row r="1017" spans="1:9" x14ac:dyDescent="0.2">
      <c r="A1017" t="s">
        <v>5589</v>
      </c>
      <c r="B1017" t="s">
        <v>5590</v>
      </c>
      <c r="C1017" t="s">
        <v>446</v>
      </c>
      <c r="D1017" t="s">
        <v>447</v>
      </c>
      <c r="E1017" t="s">
        <v>4</v>
      </c>
      <c r="F1017">
        <v>6124</v>
      </c>
      <c r="G1017">
        <v>384</v>
      </c>
      <c r="H1017" t="s">
        <v>13</v>
      </c>
      <c r="I1017" t="b">
        <f t="shared" si="15"/>
        <v>0</v>
      </c>
    </row>
    <row r="1018" spans="1:9" x14ac:dyDescent="0.2">
      <c r="A1018" t="s">
        <v>1136</v>
      </c>
      <c r="B1018" t="s">
        <v>1137</v>
      </c>
      <c r="C1018" t="s">
        <v>1138</v>
      </c>
      <c r="D1018" t="s">
        <v>1139</v>
      </c>
      <c r="E1018" t="s">
        <v>4</v>
      </c>
      <c r="F1018">
        <v>451</v>
      </c>
      <c r="G1018">
        <v>62</v>
      </c>
      <c r="H1018" t="s">
        <v>13</v>
      </c>
      <c r="I1018" t="b">
        <f t="shared" si="15"/>
        <v>0</v>
      </c>
    </row>
    <row r="1019" spans="1:9" x14ac:dyDescent="0.2">
      <c r="A1019" t="s">
        <v>5879</v>
      </c>
      <c r="B1019" t="s">
        <v>5880</v>
      </c>
      <c r="C1019" t="s">
        <v>5881</v>
      </c>
      <c r="D1019" t="s">
        <v>3</v>
      </c>
      <c r="E1019" t="s">
        <v>4</v>
      </c>
      <c r="F1019">
        <v>52</v>
      </c>
      <c r="G1019">
        <v>114</v>
      </c>
      <c r="H1019" t="s">
        <v>13</v>
      </c>
      <c r="I1019" t="b">
        <f t="shared" si="15"/>
        <v>0</v>
      </c>
    </row>
    <row r="1020" spans="1:9" x14ac:dyDescent="0.2">
      <c r="A1020" t="s">
        <v>2384</v>
      </c>
      <c r="B1020" t="s">
        <v>2385</v>
      </c>
      <c r="C1020" t="s">
        <v>2386</v>
      </c>
      <c r="D1020" t="s">
        <v>3</v>
      </c>
      <c r="E1020" t="s">
        <v>4</v>
      </c>
      <c r="F1020">
        <v>51</v>
      </c>
      <c r="G1020">
        <v>331</v>
      </c>
      <c r="H1020" t="s">
        <v>13</v>
      </c>
      <c r="I1020" t="b">
        <f t="shared" si="15"/>
        <v>0</v>
      </c>
    </row>
    <row r="1021" spans="1:9" x14ac:dyDescent="0.2">
      <c r="A1021" t="s">
        <v>5410</v>
      </c>
      <c r="B1021" t="s">
        <v>5411</v>
      </c>
      <c r="C1021" t="s">
        <v>5412</v>
      </c>
      <c r="D1021" t="s">
        <v>5413</v>
      </c>
      <c r="E1021" t="s">
        <v>4</v>
      </c>
      <c r="F1021">
        <v>6248</v>
      </c>
      <c r="G1021">
        <v>516</v>
      </c>
      <c r="H1021" t="s">
        <v>13</v>
      </c>
      <c r="I1021" t="b">
        <f t="shared" si="15"/>
        <v>0</v>
      </c>
    </row>
    <row r="1022" spans="1:9" x14ac:dyDescent="0.2">
      <c r="A1022" t="s">
        <v>5761</v>
      </c>
      <c r="B1022" t="s">
        <v>5762</v>
      </c>
      <c r="C1022" t="s">
        <v>1062</v>
      </c>
      <c r="D1022" t="s">
        <v>3</v>
      </c>
      <c r="E1022" t="s">
        <v>4</v>
      </c>
      <c r="F1022">
        <v>2515</v>
      </c>
      <c r="G1022">
        <v>3016</v>
      </c>
      <c r="H1022" t="s">
        <v>33</v>
      </c>
      <c r="I1022" t="b">
        <f t="shared" si="15"/>
        <v>0</v>
      </c>
    </row>
    <row r="1023" spans="1:9" x14ac:dyDescent="0.2">
      <c r="A1023" t="s">
        <v>5212</v>
      </c>
      <c r="B1023" t="s">
        <v>5213</v>
      </c>
      <c r="C1023" t="s">
        <v>5214</v>
      </c>
      <c r="D1023" t="s">
        <v>3</v>
      </c>
      <c r="E1023" t="s">
        <v>4</v>
      </c>
      <c r="F1023">
        <v>38</v>
      </c>
      <c r="G1023">
        <v>282</v>
      </c>
      <c r="H1023" t="s">
        <v>13</v>
      </c>
      <c r="I1023" t="b">
        <f t="shared" si="15"/>
        <v>0</v>
      </c>
    </row>
    <row r="1024" spans="1:9" x14ac:dyDescent="0.2">
      <c r="A1024" t="s">
        <v>3678</v>
      </c>
      <c r="B1024" t="s">
        <v>3679</v>
      </c>
      <c r="C1024" t="s">
        <v>2259</v>
      </c>
      <c r="D1024" t="s">
        <v>216</v>
      </c>
      <c r="E1024" t="s">
        <v>4</v>
      </c>
      <c r="F1024">
        <v>153</v>
      </c>
      <c r="G1024">
        <v>151</v>
      </c>
      <c r="H1024" t="s">
        <v>13</v>
      </c>
      <c r="I1024" t="b">
        <f t="shared" si="15"/>
        <v>0</v>
      </c>
    </row>
    <row r="1025" spans="1:9" x14ac:dyDescent="0.2">
      <c r="A1025" t="s">
        <v>3990</v>
      </c>
      <c r="B1025" t="s">
        <v>3991</v>
      </c>
      <c r="C1025" t="s">
        <v>215</v>
      </c>
      <c r="D1025" t="s">
        <v>3</v>
      </c>
      <c r="E1025" t="s">
        <v>4</v>
      </c>
      <c r="F1025">
        <v>99</v>
      </c>
      <c r="G1025">
        <v>228</v>
      </c>
      <c r="H1025" t="s">
        <v>13</v>
      </c>
      <c r="I1025" t="b">
        <f t="shared" si="15"/>
        <v>0</v>
      </c>
    </row>
    <row r="1026" spans="1:9" x14ac:dyDescent="0.2">
      <c r="A1026" t="s">
        <v>2264</v>
      </c>
      <c r="B1026" t="s">
        <v>2265</v>
      </c>
      <c r="C1026" t="s">
        <v>279</v>
      </c>
      <c r="D1026" t="s">
        <v>569</v>
      </c>
      <c r="E1026" t="s">
        <v>4</v>
      </c>
      <c r="F1026">
        <v>299</v>
      </c>
      <c r="G1026">
        <v>310</v>
      </c>
      <c r="H1026" t="s">
        <v>13</v>
      </c>
      <c r="I1026" t="b">
        <f t="shared" si="15"/>
        <v>0</v>
      </c>
    </row>
    <row r="1027" spans="1:9" x14ac:dyDescent="0.2">
      <c r="A1027" t="s">
        <v>7241</v>
      </c>
      <c r="B1027" t="s">
        <v>7242</v>
      </c>
      <c r="C1027" t="s">
        <v>2462</v>
      </c>
      <c r="D1027" t="s">
        <v>7243</v>
      </c>
      <c r="E1027" t="s">
        <v>4</v>
      </c>
      <c r="F1027">
        <v>671</v>
      </c>
      <c r="G1027">
        <v>622</v>
      </c>
      <c r="H1027" t="s">
        <v>13</v>
      </c>
      <c r="I1027" t="b">
        <f t="shared" ref="I1027:I1090" si="16">isDup(B1027, B1028, 0.7)</f>
        <v>0</v>
      </c>
    </row>
    <row r="1028" spans="1:9" x14ac:dyDescent="0.2">
      <c r="A1028" t="s">
        <v>4900</v>
      </c>
      <c r="B1028" t="s">
        <v>4901</v>
      </c>
      <c r="C1028" t="s">
        <v>4902</v>
      </c>
      <c r="D1028" t="s">
        <v>4903</v>
      </c>
      <c r="E1028" t="s">
        <v>4</v>
      </c>
      <c r="F1028">
        <v>43</v>
      </c>
      <c r="G1028">
        <v>359</v>
      </c>
      <c r="H1028" t="s">
        <v>13</v>
      </c>
      <c r="I1028" t="b">
        <f t="shared" si="16"/>
        <v>0</v>
      </c>
    </row>
    <row r="1029" spans="1:9" x14ac:dyDescent="0.2">
      <c r="A1029" t="s">
        <v>3178</v>
      </c>
      <c r="B1029" t="s">
        <v>3179</v>
      </c>
      <c r="C1029" t="s">
        <v>226</v>
      </c>
      <c r="D1029" t="s">
        <v>227</v>
      </c>
      <c r="E1029" t="s">
        <v>4</v>
      </c>
      <c r="F1029">
        <v>9225</v>
      </c>
      <c r="G1029">
        <v>7170</v>
      </c>
      <c r="H1029" t="s">
        <v>13</v>
      </c>
      <c r="I1029" t="b">
        <f t="shared" si="16"/>
        <v>0</v>
      </c>
    </row>
    <row r="1030" spans="1:9" x14ac:dyDescent="0.2">
      <c r="A1030" t="s">
        <v>6438</v>
      </c>
      <c r="B1030" t="s">
        <v>6439</v>
      </c>
      <c r="C1030" t="s">
        <v>2691</v>
      </c>
      <c r="D1030" t="s">
        <v>2692</v>
      </c>
      <c r="E1030" t="s">
        <v>4</v>
      </c>
      <c r="F1030">
        <v>234</v>
      </c>
      <c r="G1030">
        <v>1003</v>
      </c>
      <c r="H1030" t="s">
        <v>13</v>
      </c>
      <c r="I1030" t="b">
        <f t="shared" si="16"/>
        <v>0</v>
      </c>
    </row>
    <row r="1031" spans="1:9" x14ac:dyDescent="0.2">
      <c r="A1031" t="s">
        <v>4125</v>
      </c>
      <c r="B1031" t="s">
        <v>4126</v>
      </c>
      <c r="C1031" t="s">
        <v>1688</v>
      </c>
      <c r="D1031" t="s">
        <v>1964</v>
      </c>
      <c r="E1031" t="s">
        <v>4</v>
      </c>
      <c r="F1031">
        <v>7601</v>
      </c>
      <c r="G1031">
        <v>397</v>
      </c>
      <c r="H1031" t="s">
        <v>13</v>
      </c>
      <c r="I1031" t="b">
        <f t="shared" si="16"/>
        <v>0</v>
      </c>
    </row>
    <row r="1032" spans="1:9" x14ac:dyDescent="0.2">
      <c r="A1032" t="s">
        <v>4486</v>
      </c>
      <c r="B1032" t="s">
        <v>4487</v>
      </c>
      <c r="C1032" t="s">
        <v>4488</v>
      </c>
      <c r="D1032" t="s">
        <v>4473</v>
      </c>
      <c r="E1032" t="s">
        <v>4</v>
      </c>
      <c r="F1032">
        <v>74</v>
      </c>
      <c r="G1032">
        <v>987</v>
      </c>
      <c r="H1032" t="s">
        <v>13</v>
      </c>
      <c r="I1032" t="b">
        <f t="shared" si="16"/>
        <v>0</v>
      </c>
    </row>
    <row r="1033" spans="1:9" x14ac:dyDescent="0.2">
      <c r="A1033" t="s">
        <v>6483</v>
      </c>
      <c r="B1033" t="s">
        <v>6484</v>
      </c>
      <c r="C1033" t="s">
        <v>1267</v>
      </c>
      <c r="D1033" t="s">
        <v>6485</v>
      </c>
      <c r="E1033" t="s">
        <v>4</v>
      </c>
      <c r="F1033">
        <v>469</v>
      </c>
      <c r="G1033">
        <v>17</v>
      </c>
      <c r="H1033" t="s">
        <v>13</v>
      </c>
      <c r="I1033" t="b">
        <f t="shared" si="16"/>
        <v>0</v>
      </c>
    </row>
    <row r="1034" spans="1:9" x14ac:dyDescent="0.2">
      <c r="A1034" t="s">
        <v>3263</v>
      </c>
      <c r="B1034" t="s">
        <v>3264</v>
      </c>
      <c r="C1034" t="s">
        <v>3265</v>
      </c>
      <c r="D1034" t="s">
        <v>3266</v>
      </c>
      <c r="E1034" t="s">
        <v>4</v>
      </c>
      <c r="F1034">
        <v>476</v>
      </c>
      <c r="G1034">
        <v>470</v>
      </c>
      <c r="H1034" t="s">
        <v>13</v>
      </c>
      <c r="I1034" t="b">
        <f t="shared" si="16"/>
        <v>0</v>
      </c>
    </row>
    <row r="1035" spans="1:9" x14ac:dyDescent="0.2">
      <c r="A1035" t="s">
        <v>7168</v>
      </c>
      <c r="B1035" t="s">
        <v>7169</v>
      </c>
      <c r="C1035" t="s">
        <v>1906</v>
      </c>
      <c r="D1035" t="s">
        <v>64</v>
      </c>
      <c r="E1035" t="s">
        <v>4</v>
      </c>
      <c r="F1035">
        <v>253</v>
      </c>
      <c r="G1035">
        <v>43</v>
      </c>
      <c r="H1035" t="s">
        <v>13</v>
      </c>
      <c r="I1035" t="b">
        <f t="shared" si="16"/>
        <v>0</v>
      </c>
    </row>
    <row r="1036" spans="1:9" x14ac:dyDescent="0.2">
      <c r="A1036" t="s">
        <v>4830</v>
      </c>
      <c r="B1036" t="s">
        <v>4831</v>
      </c>
      <c r="C1036" t="s">
        <v>82</v>
      </c>
      <c r="D1036" t="s">
        <v>4777</v>
      </c>
      <c r="E1036" t="s">
        <v>38</v>
      </c>
      <c r="F1036">
        <v>33554</v>
      </c>
      <c r="G1036">
        <v>84</v>
      </c>
      <c r="H1036" t="s">
        <v>13</v>
      </c>
      <c r="I1036" t="b">
        <f t="shared" si="16"/>
        <v>0</v>
      </c>
    </row>
    <row r="1037" spans="1:9" x14ac:dyDescent="0.2">
      <c r="A1037" t="s">
        <v>4686</v>
      </c>
      <c r="B1037" t="s">
        <v>4687</v>
      </c>
      <c r="C1037" t="s">
        <v>4659</v>
      </c>
      <c r="D1037" t="s">
        <v>4660</v>
      </c>
      <c r="E1037" t="s">
        <v>4</v>
      </c>
      <c r="F1037">
        <v>5169</v>
      </c>
      <c r="G1037">
        <v>2709</v>
      </c>
      <c r="H1037" t="s">
        <v>13</v>
      </c>
      <c r="I1037" t="b">
        <f t="shared" si="16"/>
        <v>0</v>
      </c>
    </row>
    <row r="1038" spans="1:9" x14ac:dyDescent="0.2">
      <c r="A1038" t="s">
        <v>2140</v>
      </c>
      <c r="B1038" t="s">
        <v>2141</v>
      </c>
      <c r="C1038" t="s">
        <v>1116</v>
      </c>
      <c r="D1038" t="s">
        <v>2017</v>
      </c>
      <c r="E1038" t="s">
        <v>4</v>
      </c>
      <c r="F1038">
        <v>1605</v>
      </c>
      <c r="G1038">
        <v>288</v>
      </c>
      <c r="H1038" t="s">
        <v>13</v>
      </c>
      <c r="I1038" t="b">
        <f t="shared" si="16"/>
        <v>0</v>
      </c>
    </row>
    <row r="1039" spans="1:9" x14ac:dyDescent="0.2">
      <c r="A1039" t="s">
        <v>6122</v>
      </c>
      <c r="B1039" t="s">
        <v>6123</v>
      </c>
      <c r="C1039" t="s">
        <v>3608</v>
      </c>
      <c r="D1039" t="s">
        <v>3</v>
      </c>
      <c r="E1039" t="s">
        <v>4</v>
      </c>
      <c r="F1039">
        <v>0</v>
      </c>
      <c r="G1039">
        <v>45</v>
      </c>
      <c r="H1039" t="s">
        <v>1692</v>
      </c>
      <c r="I1039" t="b">
        <f t="shared" si="16"/>
        <v>0</v>
      </c>
    </row>
    <row r="1040" spans="1:9" x14ac:dyDescent="0.2">
      <c r="A1040" t="s">
        <v>3966</v>
      </c>
      <c r="B1040" t="s">
        <v>3967</v>
      </c>
      <c r="C1040" t="s">
        <v>3968</v>
      </c>
      <c r="D1040" t="s">
        <v>113</v>
      </c>
      <c r="E1040" t="s">
        <v>4</v>
      </c>
      <c r="F1040">
        <v>71</v>
      </c>
      <c r="G1040">
        <v>179</v>
      </c>
      <c r="H1040" t="s">
        <v>13</v>
      </c>
      <c r="I1040" t="b">
        <f t="shared" si="16"/>
        <v>0</v>
      </c>
    </row>
    <row r="1041" spans="1:9" x14ac:dyDescent="0.2">
      <c r="A1041" t="s">
        <v>3812</v>
      </c>
      <c r="B1041" t="s">
        <v>3813</v>
      </c>
      <c r="C1041" t="s">
        <v>3204</v>
      </c>
      <c r="D1041" t="s">
        <v>3814</v>
      </c>
      <c r="E1041" t="s">
        <v>4</v>
      </c>
      <c r="F1041">
        <v>587</v>
      </c>
      <c r="G1041">
        <v>128</v>
      </c>
      <c r="H1041" t="s">
        <v>13</v>
      </c>
      <c r="I1041" t="b">
        <f t="shared" si="16"/>
        <v>0</v>
      </c>
    </row>
    <row r="1042" spans="1:9" x14ac:dyDescent="0.2">
      <c r="A1042" t="s">
        <v>4223</v>
      </c>
      <c r="B1042" t="s">
        <v>4224</v>
      </c>
      <c r="C1042" t="s">
        <v>3564</v>
      </c>
      <c r="D1042" t="s">
        <v>4225</v>
      </c>
      <c r="E1042" t="s">
        <v>4</v>
      </c>
      <c r="F1042">
        <v>218</v>
      </c>
      <c r="G1042">
        <v>149</v>
      </c>
      <c r="H1042" t="s">
        <v>13</v>
      </c>
      <c r="I1042" t="b">
        <f t="shared" si="16"/>
        <v>0</v>
      </c>
    </row>
    <row r="1043" spans="1:9" x14ac:dyDescent="0.2">
      <c r="A1043" t="s">
        <v>1319</v>
      </c>
      <c r="B1043" t="s">
        <v>1320</v>
      </c>
      <c r="C1043" t="s">
        <v>1321</v>
      </c>
      <c r="D1043" t="s">
        <v>663</v>
      </c>
      <c r="E1043" t="s">
        <v>4</v>
      </c>
      <c r="F1043">
        <v>34</v>
      </c>
      <c r="G1043">
        <v>279</v>
      </c>
      <c r="H1043" t="s">
        <v>13</v>
      </c>
      <c r="I1043" t="b">
        <f t="shared" si="16"/>
        <v>0</v>
      </c>
    </row>
    <row r="1044" spans="1:9" x14ac:dyDescent="0.2">
      <c r="A1044" t="s">
        <v>5480</v>
      </c>
      <c r="B1044" t="s">
        <v>5481</v>
      </c>
      <c r="C1044" t="s">
        <v>5438</v>
      </c>
      <c r="D1044" t="s">
        <v>3</v>
      </c>
      <c r="E1044" t="s">
        <v>4</v>
      </c>
      <c r="F1044">
        <v>147</v>
      </c>
      <c r="G1044">
        <v>231</v>
      </c>
      <c r="H1044" t="s">
        <v>13</v>
      </c>
      <c r="I1044" t="b">
        <f t="shared" si="16"/>
        <v>0</v>
      </c>
    </row>
    <row r="1045" spans="1:9" x14ac:dyDescent="0.2">
      <c r="A1045" t="s">
        <v>6330</v>
      </c>
      <c r="B1045" t="s">
        <v>6331</v>
      </c>
      <c r="C1045" t="s">
        <v>818</v>
      </c>
      <c r="D1045" t="s">
        <v>5009</v>
      </c>
      <c r="E1045" t="s">
        <v>4</v>
      </c>
      <c r="F1045">
        <v>2</v>
      </c>
      <c r="G1045">
        <v>2</v>
      </c>
      <c r="H1045" t="s">
        <v>13</v>
      </c>
      <c r="I1045" t="b">
        <f t="shared" si="16"/>
        <v>0</v>
      </c>
    </row>
    <row r="1046" spans="1:9" x14ac:dyDescent="0.2">
      <c r="A1046" t="s">
        <v>347</v>
      </c>
      <c r="B1046" t="s">
        <v>348</v>
      </c>
      <c r="C1046" t="s">
        <v>349</v>
      </c>
      <c r="D1046" t="s">
        <v>350</v>
      </c>
      <c r="E1046" t="s">
        <v>4</v>
      </c>
      <c r="F1046">
        <v>26</v>
      </c>
      <c r="G1046">
        <v>144</v>
      </c>
      <c r="H1046" t="s">
        <v>13</v>
      </c>
      <c r="I1046" t="b">
        <f t="shared" si="16"/>
        <v>0</v>
      </c>
    </row>
    <row r="1047" spans="1:9" x14ac:dyDescent="0.2">
      <c r="A1047" t="s">
        <v>5117</v>
      </c>
      <c r="B1047" t="s">
        <v>5118</v>
      </c>
      <c r="C1047" t="s">
        <v>786</v>
      </c>
      <c r="D1047" t="s">
        <v>1352</v>
      </c>
      <c r="E1047" t="s">
        <v>4</v>
      </c>
      <c r="F1047">
        <v>4</v>
      </c>
      <c r="G1047">
        <v>14</v>
      </c>
      <c r="H1047" t="s">
        <v>13</v>
      </c>
      <c r="I1047" t="b">
        <f t="shared" si="16"/>
        <v>0</v>
      </c>
    </row>
    <row r="1048" spans="1:9" x14ac:dyDescent="0.2">
      <c r="A1048" t="s">
        <v>3023</v>
      </c>
      <c r="B1048" t="s">
        <v>3024</v>
      </c>
      <c r="C1048" t="s">
        <v>3025</v>
      </c>
      <c r="D1048" t="s">
        <v>3026</v>
      </c>
      <c r="E1048" t="s">
        <v>4</v>
      </c>
      <c r="F1048">
        <v>650</v>
      </c>
      <c r="G1048">
        <v>676</v>
      </c>
      <c r="H1048" t="s">
        <v>13</v>
      </c>
      <c r="I1048" t="b">
        <f t="shared" si="16"/>
        <v>0</v>
      </c>
    </row>
    <row r="1049" spans="1:9" x14ac:dyDescent="0.2">
      <c r="A1049" t="s">
        <v>5344</v>
      </c>
      <c r="B1049" t="s">
        <v>5345</v>
      </c>
      <c r="C1049" t="s">
        <v>1328</v>
      </c>
      <c r="D1049" t="s">
        <v>3</v>
      </c>
      <c r="E1049" t="s">
        <v>4</v>
      </c>
      <c r="F1049">
        <v>6</v>
      </c>
      <c r="G1049">
        <v>51</v>
      </c>
      <c r="H1049" t="s">
        <v>13</v>
      </c>
      <c r="I1049" t="b">
        <f t="shared" si="16"/>
        <v>0</v>
      </c>
    </row>
    <row r="1050" spans="1:9" x14ac:dyDescent="0.2">
      <c r="A1050" t="s">
        <v>7152</v>
      </c>
      <c r="B1050" t="s">
        <v>7153</v>
      </c>
      <c r="C1050" t="s">
        <v>391</v>
      </c>
      <c r="D1050" t="s">
        <v>7154</v>
      </c>
      <c r="E1050" t="s">
        <v>4</v>
      </c>
      <c r="F1050">
        <v>672</v>
      </c>
      <c r="G1050">
        <v>479</v>
      </c>
      <c r="H1050" t="s">
        <v>13</v>
      </c>
      <c r="I1050" t="b">
        <f t="shared" si="16"/>
        <v>0</v>
      </c>
    </row>
    <row r="1051" spans="1:9" x14ac:dyDescent="0.2">
      <c r="A1051" t="s">
        <v>6285</v>
      </c>
      <c r="B1051" t="s">
        <v>6286</v>
      </c>
      <c r="C1051" t="s">
        <v>1138</v>
      </c>
      <c r="D1051" t="s">
        <v>3</v>
      </c>
      <c r="E1051" t="s">
        <v>4</v>
      </c>
      <c r="F1051">
        <v>46</v>
      </c>
      <c r="G1051">
        <v>48</v>
      </c>
      <c r="H1051" t="s">
        <v>13</v>
      </c>
      <c r="I1051" t="b">
        <f t="shared" si="16"/>
        <v>0</v>
      </c>
    </row>
    <row r="1052" spans="1:9" x14ac:dyDescent="0.2">
      <c r="A1052" t="s">
        <v>1067</v>
      </c>
      <c r="B1052" t="s">
        <v>1068</v>
      </c>
      <c r="C1052" t="s">
        <v>1069</v>
      </c>
      <c r="D1052" t="s">
        <v>1066</v>
      </c>
      <c r="E1052" t="s">
        <v>4</v>
      </c>
      <c r="F1052">
        <v>130</v>
      </c>
      <c r="G1052">
        <v>239</v>
      </c>
      <c r="H1052" t="s">
        <v>13</v>
      </c>
      <c r="I1052" t="b">
        <f t="shared" si="16"/>
        <v>0</v>
      </c>
    </row>
    <row r="1053" spans="1:9" x14ac:dyDescent="0.2">
      <c r="A1053" t="s">
        <v>7057</v>
      </c>
      <c r="B1053" t="s">
        <v>7058</v>
      </c>
      <c r="C1053" t="s">
        <v>165</v>
      </c>
      <c r="D1053" t="s">
        <v>576</v>
      </c>
      <c r="E1053" t="s">
        <v>4</v>
      </c>
      <c r="F1053">
        <v>168</v>
      </c>
      <c r="G1053">
        <v>115</v>
      </c>
      <c r="H1053" t="s">
        <v>13</v>
      </c>
      <c r="I1053" t="b">
        <f t="shared" si="16"/>
        <v>1</v>
      </c>
    </row>
    <row r="1054" spans="1:9" x14ac:dyDescent="0.2">
      <c r="A1054" t="s">
        <v>574</v>
      </c>
      <c r="B1054" t="s">
        <v>575</v>
      </c>
      <c r="C1054" t="s">
        <v>165</v>
      </c>
      <c r="D1054" t="s">
        <v>576</v>
      </c>
      <c r="E1054" t="s">
        <v>4</v>
      </c>
      <c r="F1054">
        <v>168</v>
      </c>
      <c r="G1054">
        <v>115</v>
      </c>
      <c r="H1054" t="s">
        <v>13</v>
      </c>
      <c r="I1054" t="b">
        <f t="shared" si="16"/>
        <v>1</v>
      </c>
    </row>
    <row r="1055" spans="1:9" x14ac:dyDescent="0.2">
      <c r="A1055" t="s">
        <v>1189</v>
      </c>
      <c r="B1055" t="s">
        <v>1190</v>
      </c>
      <c r="C1055" t="s">
        <v>165</v>
      </c>
      <c r="D1055" t="s">
        <v>576</v>
      </c>
      <c r="E1055" t="s">
        <v>4</v>
      </c>
      <c r="F1055">
        <v>168</v>
      </c>
      <c r="G1055">
        <v>115</v>
      </c>
      <c r="H1055" t="s">
        <v>13</v>
      </c>
      <c r="I1055" t="b">
        <f t="shared" si="16"/>
        <v>1</v>
      </c>
    </row>
    <row r="1056" spans="1:9" x14ac:dyDescent="0.2">
      <c r="A1056" t="s">
        <v>1922</v>
      </c>
      <c r="B1056" t="s">
        <v>1923</v>
      </c>
      <c r="C1056" t="s">
        <v>165</v>
      </c>
      <c r="D1056" t="s">
        <v>576</v>
      </c>
      <c r="E1056" t="s">
        <v>4</v>
      </c>
      <c r="F1056">
        <v>168</v>
      </c>
      <c r="G1056">
        <v>115</v>
      </c>
      <c r="H1056" t="s">
        <v>13</v>
      </c>
      <c r="I1056" t="b">
        <f t="shared" si="16"/>
        <v>1</v>
      </c>
    </row>
    <row r="1057" spans="1:9" x14ac:dyDescent="0.2">
      <c r="A1057" t="s">
        <v>2675</v>
      </c>
      <c r="B1057" t="s">
        <v>2676</v>
      </c>
      <c r="C1057" t="s">
        <v>165</v>
      </c>
      <c r="D1057" t="s">
        <v>576</v>
      </c>
      <c r="E1057" t="s">
        <v>4</v>
      </c>
      <c r="F1057">
        <v>168</v>
      </c>
      <c r="G1057">
        <v>115</v>
      </c>
      <c r="H1057" t="s">
        <v>13</v>
      </c>
      <c r="I1057" t="b">
        <f t="shared" si="16"/>
        <v>1</v>
      </c>
    </row>
    <row r="1058" spans="1:9" x14ac:dyDescent="0.2">
      <c r="A1058" t="s">
        <v>3504</v>
      </c>
      <c r="B1058" t="s">
        <v>3505</v>
      </c>
      <c r="C1058" t="s">
        <v>165</v>
      </c>
      <c r="D1058" t="s">
        <v>576</v>
      </c>
      <c r="E1058" t="s">
        <v>4</v>
      </c>
      <c r="F1058">
        <v>168</v>
      </c>
      <c r="G1058">
        <v>115</v>
      </c>
      <c r="H1058" t="s">
        <v>13</v>
      </c>
      <c r="I1058" t="b">
        <f t="shared" si="16"/>
        <v>1</v>
      </c>
    </row>
    <row r="1059" spans="1:9" x14ac:dyDescent="0.2">
      <c r="A1059" t="s">
        <v>4263</v>
      </c>
      <c r="B1059" t="s">
        <v>4264</v>
      </c>
      <c r="C1059" t="s">
        <v>165</v>
      </c>
      <c r="D1059" t="s">
        <v>576</v>
      </c>
      <c r="E1059" t="s">
        <v>4</v>
      </c>
      <c r="F1059">
        <v>168</v>
      </c>
      <c r="G1059">
        <v>115</v>
      </c>
      <c r="H1059" t="s">
        <v>13</v>
      </c>
      <c r="I1059" t="b">
        <f t="shared" si="16"/>
        <v>1</v>
      </c>
    </row>
    <row r="1060" spans="1:9" x14ac:dyDescent="0.2">
      <c r="A1060" t="s">
        <v>4982</v>
      </c>
      <c r="B1060" t="s">
        <v>4985</v>
      </c>
      <c r="C1060" t="s">
        <v>165</v>
      </c>
      <c r="D1060" t="s">
        <v>576</v>
      </c>
      <c r="E1060" t="s">
        <v>4</v>
      </c>
      <c r="F1060">
        <v>168</v>
      </c>
      <c r="G1060">
        <v>115</v>
      </c>
      <c r="H1060" t="s">
        <v>13</v>
      </c>
      <c r="I1060" t="b">
        <f t="shared" si="16"/>
        <v>1</v>
      </c>
    </row>
    <row r="1061" spans="1:9" x14ac:dyDescent="0.2">
      <c r="A1061" t="s">
        <v>5625</v>
      </c>
      <c r="B1061" t="s">
        <v>5626</v>
      </c>
      <c r="C1061" t="s">
        <v>165</v>
      </c>
      <c r="D1061" t="s">
        <v>576</v>
      </c>
      <c r="E1061" t="s">
        <v>4</v>
      </c>
      <c r="F1061">
        <v>168</v>
      </c>
      <c r="G1061">
        <v>115</v>
      </c>
      <c r="H1061" t="s">
        <v>13</v>
      </c>
      <c r="I1061" t="b">
        <f t="shared" si="16"/>
        <v>1</v>
      </c>
    </row>
    <row r="1062" spans="1:9" x14ac:dyDescent="0.2">
      <c r="A1062" t="s">
        <v>6428</v>
      </c>
      <c r="B1062" t="s">
        <v>6429</v>
      </c>
      <c r="C1062" t="s">
        <v>165</v>
      </c>
      <c r="D1062" t="s">
        <v>576</v>
      </c>
      <c r="E1062" t="s">
        <v>4</v>
      </c>
      <c r="F1062">
        <v>168</v>
      </c>
      <c r="G1062">
        <v>115</v>
      </c>
      <c r="H1062" t="s">
        <v>13</v>
      </c>
      <c r="I1062" t="b">
        <f t="shared" si="16"/>
        <v>0</v>
      </c>
    </row>
    <row r="1063" spans="1:9" x14ac:dyDescent="0.2">
      <c r="A1063" t="s">
        <v>5526</v>
      </c>
      <c r="B1063" t="s">
        <v>5527</v>
      </c>
      <c r="C1063" t="s">
        <v>5224</v>
      </c>
      <c r="D1063" t="s">
        <v>734</v>
      </c>
      <c r="E1063" t="s">
        <v>4</v>
      </c>
      <c r="F1063">
        <v>160</v>
      </c>
      <c r="G1063">
        <v>176</v>
      </c>
      <c r="H1063" t="s">
        <v>13</v>
      </c>
      <c r="I1063" t="b">
        <f t="shared" si="16"/>
        <v>0</v>
      </c>
    </row>
    <row r="1064" spans="1:9" x14ac:dyDescent="0.2">
      <c r="A1064" t="s">
        <v>6239</v>
      </c>
      <c r="B1064" t="s">
        <v>6240</v>
      </c>
      <c r="C1064" t="s">
        <v>1618</v>
      </c>
      <c r="D1064" t="s">
        <v>3</v>
      </c>
      <c r="E1064" t="s">
        <v>4</v>
      </c>
      <c r="F1064">
        <v>5</v>
      </c>
      <c r="G1064">
        <v>95</v>
      </c>
      <c r="H1064" t="s">
        <v>13</v>
      </c>
      <c r="I1064" t="b">
        <f t="shared" si="16"/>
        <v>0</v>
      </c>
    </row>
    <row r="1065" spans="1:9" x14ac:dyDescent="0.2">
      <c r="A1065" t="s">
        <v>819</v>
      </c>
      <c r="B1065" t="s">
        <v>820</v>
      </c>
      <c r="C1065" t="s">
        <v>821</v>
      </c>
      <c r="D1065" t="s">
        <v>182</v>
      </c>
      <c r="E1065" t="s">
        <v>4</v>
      </c>
      <c r="F1065">
        <v>691</v>
      </c>
      <c r="G1065">
        <v>1513</v>
      </c>
      <c r="H1065" t="s">
        <v>13</v>
      </c>
      <c r="I1065" t="b">
        <f t="shared" si="16"/>
        <v>0</v>
      </c>
    </row>
    <row r="1066" spans="1:9" x14ac:dyDescent="0.2">
      <c r="A1066" t="s">
        <v>5732</v>
      </c>
      <c r="B1066" t="s">
        <v>5733</v>
      </c>
      <c r="C1066" t="s">
        <v>190</v>
      </c>
      <c r="D1066" t="s">
        <v>5571</v>
      </c>
      <c r="E1066" t="s">
        <v>4</v>
      </c>
      <c r="F1066">
        <v>117</v>
      </c>
      <c r="G1066">
        <v>455</v>
      </c>
      <c r="H1066" t="s">
        <v>13</v>
      </c>
      <c r="I1066" t="b">
        <f t="shared" si="16"/>
        <v>0</v>
      </c>
    </row>
    <row r="1067" spans="1:9" x14ac:dyDescent="0.2">
      <c r="A1067" t="s">
        <v>6512</v>
      </c>
      <c r="B1067" t="s">
        <v>6513</v>
      </c>
      <c r="C1067" t="s">
        <v>74</v>
      </c>
      <c r="D1067" t="s">
        <v>6514</v>
      </c>
      <c r="E1067" t="s">
        <v>4</v>
      </c>
      <c r="F1067">
        <v>843</v>
      </c>
      <c r="G1067">
        <v>493</v>
      </c>
      <c r="H1067" t="s">
        <v>13</v>
      </c>
      <c r="I1067" t="b">
        <f t="shared" si="16"/>
        <v>0</v>
      </c>
    </row>
    <row r="1068" spans="1:9" x14ac:dyDescent="0.2">
      <c r="A1068" t="s">
        <v>6694</v>
      </c>
      <c r="B1068" t="s">
        <v>6695</v>
      </c>
      <c r="C1068" t="s">
        <v>6696</v>
      </c>
      <c r="D1068" t="s">
        <v>3</v>
      </c>
      <c r="E1068" t="s">
        <v>4</v>
      </c>
      <c r="F1068">
        <v>3283</v>
      </c>
      <c r="G1068">
        <v>4499</v>
      </c>
      <c r="H1068" t="s">
        <v>5</v>
      </c>
      <c r="I1068" t="b">
        <f t="shared" si="16"/>
        <v>0</v>
      </c>
    </row>
    <row r="1069" spans="1:9" x14ac:dyDescent="0.2">
      <c r="A1069" t="s">
        <v>1807</v>
      </c>
      <c r="B1069" t="s">
        <v>1808</v>
      </c>
      <c r="C1069" t="s">
        <v>1012</v>
      </c>
      <c r="D1069" t="s">
        <v>1809</v>
      </c>
      <c r="E1069" t="s">
        <v>4</v>
      </c>
      <c r="F1069">
        <v>22</v>
      </c>
      <c r="G1069">
        <v>56</v>
      </c>
      <c r="H1069" t="s">
        <v>13</v>
      </c>
      <c r="I1069" t="b">
        <f t="shared" si="16"/>
        <v>0</v>
      </c>
    </row>
    <row r="1070" spans="1:9" x14ac:dyDescent="0.2">
      <c r="A1070" t="s">
        <v>3606</v>
      </c>
      <c r="B1070" t="s">
        <v>3607</v>
      </c>
      <c r="C1070" t="s">
        <v>3608</v>
      </c>
      <c r="D1070" t="s">
        <v>2990</v>
      </c>
      <c r="E1070" t="s">
        <v>4</v>
      </c>
      <c r="F1070">
        <v>18</v>
      </c>
      <c r="G1070">
        <v>141</v>
      </c>
      <c r="H1070" t="s">
        <v>13</v>
      </c>
      <c r="I1070" t="b">
        <f t="shared" si="16"/>
        <v>0</v>
      </c>
    </row>
    <row r="1071" spans="1:9" x14ac:dyDescent="0.2">
      <c r="A1071" t="s">
        <v>4748</v>
      </c>
      <c r="B1071" t="s">
        <v>4749</v>
      </c>
      <c r="C1071" t="s">
        <v>4605</v>
      </c>
      <c r="D1071" t="s">
        <v>3</v>
      </c>
      <c r="E1071" t="s">
        <v>4</v>
      </c>
      <c r="F1071">
        <v>354</v>
      </c>
      <c r="G1071">
        <v>384</v>
      </c>
      <c r="H1071" t="s">
        <v>13</v>
      </c>
      <c r="I1071" t="b">
        <f t="shared" si="16"/>
        <v>1</v>
      </c>
    </row>
    <row r="1072" spans="1:9" x14ac:dyDescent="0.2">
      <c r="A1072" t="s">
        <v>4807</v>
      </c>
      <c r="B1072" t="s">
        <v>4808</v>
      </c>
      <c r="C1072" t="s">
        <v>4605</v>
      </c>
      <c r="D1072" t="s">
        <v>3</v>
      </c>
      <c r="E1072" t="s">
        <v>4</v>
      </c>
      <c r="F1072">
        <v>354</v>
      </c>
      <c r="G1072">
        <v>384</v>
      </c>
      <c r="H1072" t="s">
        <v>13</v>
      </c>
      <c r="I1072" t="b">
        <f t="shared" si="16"/>
        <v>0</v>
      </c>
    </row>
    <row r="1073" spans="1:9" x14ac:dyDescent="0.2">
      <c r="A1073" t="s">
        <v>4943</v>
      </c>
      <c r="B1073" t="s">
        <v>4944</v>
      </c>
      <c r="C1073" t="s">
        <v>293</v>
      </c>
      <c r="D1073" t="s">
        <v>3</v>
      </c>
      <c r="E1073" t="s">
        <v>4</v>
      </c>
      <c r="F1073">
        <v>19711</v>
      </c>
      <c r="G1073">
        <v>34</v>
      </c>
      <c r="H1073" t="s">
        <v>363</v>
      </c>
      <c r="I1073" t="b">
        <f t="shared" si="16"/>
        <v>0</v>
      </c>
    </row>
    <row r="1074" spans="1:9" x14ac:dyDescent="0.2">
      <c r="A1074" t="s">
        <v>2308</v>
      </c>
      <c r="B1074" t="s">
        <v>2311</v>
      </c>
      <c r="C1074" t="s">
        <v>309</v>
      </c>
      <c r="D1074" t="s">
        <v>3</v>
      </c>
      <c r="E1074" t="s">
        <v>4</v>
      </c>
      <c r="F1074">
        <v>118</v>
      </c>
      <c r="G1074">
        <v>110</v>
      </c>
      <c r="H1074" t="s">
        <v>76</v>
      </c>
      <c r="I1074" t="b">
        <f t="shared" si="16"/>
        <v>0</v>
      </c>
    </row>
    <row r="1075" spans="1:9" x14ac:dyDescent="0.2">
      <c r="A1075" t="s">
        <v>5951</v>
      </c>
      <c r="B1075" t="s">
        <v>5952</v>
      </c>
      <c r="C1075" t="s">
        <v>1583</v>
      </c>
      <c r="D1075" t="s">
        <v>5953</v>
      </c>
      <c r="E1075" t="s">
        <v>4</v>
      </c>
      <c r="F1075">
        <v>243</v>
      </c>
      <c r="G1075">
        <v>235</v>
      </c>
      <c r="H1075" t="s">
        <v>13</v>
      </c>
      <c r="I1075" t="b">
        <f t="shared" si="16"/>
        <v>1</v>
      </c>
    </row>
    <row r="1076" spans="1:9" x14ac:dyDescent="0.2">
      <c r="A1076" t="s">
        <v>2975</v>
      </c>
      <c r="B1076" t="s">
        <v>2976</v>
      </c>
      <c r="C1076" t="s">
        <v>2977</v>
      </c>
      <c r="D1076" t="s">
        <v>3</v>
      </c>
      <c r="E1076" t="s">
        <v>4</v>
      </c>
      <c r="F1076">
        <v>444</v>
      </c>
      <c r="G1076">
        <v>301</v>
      </c>
      <c r="H1076" t="s">
        <v>13</v>
      </c>
      <c r="I1076" t="b">
        <f t="shared" si="16"/>
        <v>0</v>
      </c>
    </row>
    <row r="1077" spans="1:9" x14ac:dyDescent="0.2">
      <c r="A1077" t="s">
        <v>106</v>
      </c>
      <c r="B1077" t="s">
        <v>107</v>
      </c>
      <c r="C1077" t="s">
        <v>108</v>
      </c>
      <c r="D1077" t="s">
        <v>109</v>
      </c>
      <c r="E1077" t="s">
        <v>4</v>
      </c>
      <c r="F1077">
        <v>17</v>
      </c>
      <c r="G1077">
        <v>39</v>
      </c>
      <c r="H1077" t="s">
        <v>13</v>
      </c>
      <c r="I1077" t="b">
        <f t="shared" si="16"/>
        <v>0</v>
      </c>
    </row>
    <row r="1078" spans="1:9" x14ac:dyDescent="0.2">
      <c r="A1078" t="s">
        <v>4451</v>
      </c>
      <c r="B1078" t="s">
        <v>4452</v>
      </c>
      <c r="C1078" t="s">
        <v>190</v>
      </c>
      <c r="D1078" t="s">
        <v>4453</v>
      </c>
      <c r="E1078" t="s">
        <v>4</v>
      </c>
      <c r="F1078">
        <v>5173</v>
      </c>
      <c r="G1078">
        <v>5108</v>
      </c>
      <c r="H1078" t="s">
        <v>13</v>
      </c>
      <c r="I1078" t="b">
        <f t="shared" si="16"/>
        <v>0</v>
      </c>
    </row>
    <row r="1079" spans="1:9" x14ac:dyDescent="0.2">
      <c r="A1079" t="s">
        <v>946</v>
      </c>
      <c r="B1079" t="s">
        <v>947</v>
      </c>
      <c r="C1079" t="s">
        <v>948</v>
      </c>
      <c r="D1079" t="s">
        <v>3</v>
      </c>
      <c r="E1079" t="s">
        <v>4</v>
      </c>
      <c r="F1079">
        <v>146</v>
      </c>
      <c r="G1079">
        <v>142</v>
      </c>
      <c r="H1079" t="s">
        <v>50</v>
      </c>
      <c r="I1079" t="b">
        <f t="shared" si="16"/>
        <v>0</v>
      </c>
    </row>
    <row r="1080" spans="1:9" x14ac:dyDescent="0.2">
      <c r="A1080" t="s">
        <v>2389</v>
      </c>
      <c r="B1080" t="s">
        <v>2390</v>
      </c>
      <c r="C1080" t="s">
        <v>2391</v>
      </c>
      <c r="D1080" t="s">
        <v>2392</v>
      </c>
      <c r="E1080" t="s">
        <v>4</v>
      </c>
      <c r="F1080">
        <v>76</v>
      </c>
      <c r="G1080">
        <v>272</v>
      </c>
      <c r="H1080" t="s">
        <v>1092</v>
      </c>
      <c r="I1080" t="b">
        <f t="shared" si="16"/>
        <v>0</v>
      </c>
    </row>
    <row r="1081" spans="1:9" x14ac:dyDescent="0.2">
      <c r="A1081" t="s">
        <v>3321</v>
      </c>
      <c r="B1081" t="s">
        <v>3324</v>
      </c>
      <c r="C1081" t="s">
        <v>3325</v>
      </c>
      <c r="D1081" t="s">
        <v>3326</v>
      </c>
      <c r="E1081" t="s">
        <v>4</v>
      </c>
      <c r="F1081">
        <v>70</v>
      </c>
      <c r="G1081">
        <v>233</v>
      </c>
      <c r="H1081" t="s">
        <v>363</v>
      </c>
      <c r="I1081" t="b">
        <f t="shared" si="16"/>
        <v>0</v>
      </c>
    </row>
    <row r="1082" spans="1:9" x14ac:dyDescent="0.2">
      <c r="A1082" t="s">
        <v>4156</v>
      </c>
      <c r="B1082" t="s">
        <v>4157</v>
      </c>
      <c r="C1082" t="s">
        <v>4158</v>
      </c>
      <c r="D1082" t="s">
        <v>3</v>
      </c>
      <c r="E1082" t="s">
        <v>4</v>
      </c>
      <c r="F1082">
        <v>26</v>
      </c>
      <c r="G1082">
        <v>50</v>
      </c>
      <c r="H1082" t="s">
        <v>114</v>
      </c>
      <c r="I1082" t="b">
        <f t="shared" si="16"/>
        <v>0</v>
      </c>
    </row>
    <row r="1083" spans="1:9" x14ac:dyDescent="0.2">
      <c r="A1083" t="s">
        <v>2625</v>
      </c>
      <c r="B1083" t="s">
        <v>2626</v>
      </c>
      <c r="C1083" t="s">
        <v>241</v>
      </c>
      <c r="D1083" t="s">
        <v>2627</v>
      </c>
      <c r="E1083" t="s">
        <v>4</v>
      </c>
      <c r="F1083">
        <v>310</v>
      </c>
      <c r="G1083">
        <v>273</v>
      </c>
      <c r="H1083" t="s">
        <v>13</v>
      </c>
      <c r="I1083" t="b">
        <f t="shared" si="16"/>
        <v>0</v>
      </c>
    </row>
    <row r="1084" spans="1:9" x14ac:dyDescent="0.2">
      <c r="A1084" t="s">
        <v>2698</v>
      </c>
      <c r="B1084" t="s">
        <v>2699</v>
      </c>
      <c r="C1084" t="s">
        <v>873</v>
      </c>
      <c r="D1084" t="s">
        <v>3</v>
      </c>
      <c r="E1084" t="s">
        <v>4</v>
      </c>
      <c r="F1084">
        <v>0</v>
      </c>
      <c r="G1084">
        <v>14</v>
      </c>
      <c r="H1084" t="s">
        <v>86</v>
      </c>
      <c r="I1084" t="b">
        <f t="shared" si="16"/>
        <v>0</v>
      </c>
    </row>
    <row r="1085" spans="1:9" x14ac:dyDescent="0.2">
      <c r="A1085" t="s">
        <v>3565</v>
      </c>
      <c r="B1085" t="s">
        <v>3566</v>
      </c>
      <c r="C1085" t="s">
        <v>2871</v>
      </c>
      <c r="D1085" t="s">
        <v>3567</v>
      </c>
      <c r="E1085" t="s">
        <v>4</v>
      </c>
      <c r="F1085">
        <v>13378</v>
      </c>
      <c r="G1085">
        <v>1958</v>
      </c>
      <c r="H1085" t="s">
        <v>13</v>
      </c>
      <c r="I1085" t="b">
        <f t="shared" si="16"/>
        <v>0</v>
      </c>
    </row>
    <row r="1086" spans="1:9" x14ac:dyDescent="0.2">
      <c r="A1086" t="s">
        <v>4483</v>
      </c>
      <c r="B1086" t="s">
        <v>4484</v>
      </c>
      <c r="C1086" t="s">
        <v>4485</v>
      </c>
      <c r="D1086" t="s">
        <v>1372</v>
      </c>
      <c r="E1086" t="s">
        <v>4</v>
      </c>
      <c r="F1086">
        <v>196</v>
      </c>
      <c r="G1086">
        <v>209</v>
      </c>
      <c r="H1086" t="s">
        <v>13</v>
      </c>
      <c r="I1086" t="b">
        <f t="shared" si="16"/>
        <v>0</v>
      </c>
    </row>
    <row r="1087" spans="1:9" x14ac:dyDescent="0.2">
      <c r="A1087" t="s">
        <v>5402</v>
      </c>
      <c r="B1087" t="s">
        <v>5403</v>
      </c>
      <c r="C1087" t="s">
        <v>5404</v>
      </c>
      <c r="D1087" t="s">
        <v>5405</v>
      </c>
      <c r="E1087" t="s">
        <v>4</v>
      </c>
      <c r="F1087">
        <v>159</v>
      </c>
      <c r="G1087">
        <v>416</v>
      </c>
      <c r="H1087" t="s">
        <v>13</v>
      </c>
      <c r="I1087" t="b">
        <f t="shared" si="16"/>
        <v>0</v>
      </c>
    </row>
    <row r="1088" spans="1:9" x14ac:dyDescent="0.2">
      <c r="A1088" t="s">
        <v>1271</v>
      </c>
      <c r="B1088" t="s">
        <v>1272</v>
      </c>
      <c r="C1088" t="s">
        <v>1273</v>
      </c>
      <c r="D1088" t="s">
        <v>1274</v>
      </c>
      <c r="E1088" t="s">
        <v>4</v>
      </c>
      <c r="F1088">
        <v>416</v>
      </c>
      <c r="G1088">
        <v>594</v>
      </c>
      <c r="H1088" t="s">
        <v>13</v>
      </c>
      <c r="I1088" t="b">
        <f t="shared" si="16"/>
        <v>0</v>
      </c>
    </row>
    <row r="1089" spans="1:9" x14ac:dyDescent="0.2">
      <c r="A1089" t="s">
        <v>2308</v>
      </c>
      <c r="B1089" t="s">
        <v>2309</v>
      </c>
      <c r="C1089" t="s">
        <v>1346</v>
      </c>
      <c r="D1089" t="s">
        <v>2310</v>
      </c>
      <c r="E1089" t="s">
        <v>4</v>
      </c>
      <c r="F1089">
        <v>683</v>
      </c>
      <c r="G1089">
        <v>149</v>
      </c>
      <c r="H1089" t="s">
        <v>13</v>
      </c>
      <c r="I1089" t="b">
        <f t="shared" si="16"/>
        <v>0</v>
      </c>
    </row>
    <row r="1090" spans="1:9" x14ac:dyDescent="0.2">
      <c r="A1090" t="s">
        <v>6559</v>
      </c>
      <c r="B1090" t="s">
        <v>6560</v>
      </c>
      <c r="C1090" t="s">
        <v>2402</v>
      </c>
      <c r="D1090" t="s">
        <v>3</v>
      </c>
      <c r="E1090" t="s">
        <v>4</v>
      </c>
      <c r="F1090">
        <v>372</v>
      </c>
      <c r="G1090">
        <v>572</v>
      </c>
      <c r="H1090" t="s">
        <v>342</v>
      </c>
      <c r="I1090" t="b">
        <f t="shared" si="16"/>
        <v>0</v>
      </c>
    </row>
    <row r="1091" spans="1:9" x14ac:dyDescent="0.2">
      <c r="A1091" t="s">
        <v>1885</v>
      </c>
      <c r="B1091" t="s">
        <v>1886</v>
      </c>
      <c r="C1091" t="s">
        <v>1254</v>
      </c>
      <c r="D1091" t="s">
        <v>1255</v>
      </c>
      <c r="E1091" t="s">
        <v>4</v>
      </c>
      <c r="F1091">
        <v>1354</v>
      </c>
      <c r="G1091">
        <v>1070</v>
      </c>
      <c r="H1091" t="s">
        <v>13</v>
      </c>
      <c r="I1091" t="b">
        <f t="shared" ref="I1091:I1154" si="17">isDup(B1091, B1092, 0.7)</f>
        <v>0</v>
      </c>
    </row>
    <row r="1092" spans="1:9" x14ac:dyDescent="0.2">
      <c r="A1092" t="s">
        <v>5796</v>
      </c>
      <c r="B1092" t="s">
        <v>5797</v>
      </c>
      <c r="C1092" t="s">
        <v>5798</v>
      </c>
      <c r="D1092" t="s">
        <v>326</v>
      </c>
      <c r="E1092" t="s">
        <v>4</v>
      </c>
      <c r="F1092">
        <v>667</v>
      </c>
      <c r="G1092">
        <v>148</v>
      </c>
      <c r="H1092" t="s">
        <v>13</v>
      </c>
      <c r="I1092" t="b">
        <f t="shared" si="17"/>
        <v>0</v>
      </c>
    </row>
    <row r="1093" spans="1:9" x14ac:dyDescent="0.2">
      <c r="A1093" t="s">
        <v>4411</v>
      </c>
      <c r="B1093" t="s">
        <v>4412</v>
      </c>
      <c r="C1093" t="s">
        <v>3635</v>
      </c>
      <c r="D1093" t="s">
        <v>538</v>
      </c>
      <c r="E1093" t="s">
        <v>4</v>
      </c>
      <c r="F1093">
        <v>129</v>
      </c>
      <c r="G1093">
        <v>240</v>
      </c>
      <c r="H1093" t="s">
        <v>13</v>
      </c>
      <c r="I1093" t="b">
        <f t="shared" si="17"/>
        <v>0</v>
      </c>
    </row>
    <row r="1094" spans="1:9" x14ac:dyDescent="0.2">
      <c r="A1094" t="s">
        <v>5137</v>
      </c>
      <c r="B1094" t="s">
        <v>5138</v>
      </c>
      <c r="C1094" t="s">
        <v>93</v>
      </c>
      <c r="D1094" t="s">
        <v>94</v>
      </c>
      <c r="E1094" t="s">
        <v>4</v>
      </c>
      <c r="F1094">
        <v>136</v>
      </c>
      <c r="G1094">
        <v>11</v>
      </c>
      <c r="H1094" t="s">
        <v>13</v>
      </c>
      <c r="I1094" t="b">
        <f t="shared" si="17"/>
        <v>0</v>
      </c>
    </row>
    <row r="1095" spans="1:9" x14ac:dyDescent="0.2">
      <c r="A1095" t="s">
        <v>77</v>
      </c>
      <c r="B1095" t="s">
        <v>78</v>
      </c>
      <c r="C1095" t="s">
        <v>79</v>
      </c>
      <c r="D1095" t="s">
        <v>3</v>
      </c>
      <c r="E1095" t="s">
        <v>4</v>
      </c>
      <c r="F1095">
        <v>17</v>
      </c>
      <c r="G1095">
        <v>207</v>
      </c>
      <c r="H1095" t="s">
        <v>13</v>
      </c>
      <c r="I1095" t="b">
        <f t="shared" si="17"/>
        <v>0</v>
      </c>
    </row>
    <row r="1096" spans="1:9" x14ac:dyDescent="0.2">
      <c r="A1096" t="s">
        <v>4941</v>
      </c>
      <c r="B1096" t="s">
        <v>4942</v>
      </c>
      <c r="C1096" t="s">
        <v>579</v>
      </c>
      <c r="D1096" t="s">
        <v>3001</v>
      </c>
      <c r="E1096" t="s">
        <v>4</v>
      </c>
      <c r="F1096">
        <v>4809</v>
      </c>
      <c r="G1096">
        <v>693</v>
      </c>
      <c r="H1096" t="s">
        <v>13</v>
      </c>
      <c r="I1096" t="b">
        <f t="shared" si="17"/>
        <v>0</v>
      </c>
    </row>
    <row r="1097" spans="1:9" x14ac:dyDescent="0.2">
      <c r="A1097" t="s">
        <v>1566</v>
      </c>
      <c r="B1097" t="s">
        <v>1567</v>
      </c>
      <c r="C1097" t="s">
        <v>1568</v>
      </c>
      <c r="D1097" t="s">
        <v>3</v>
      </c>
      <c r="E1097" t="s">
        <v>4</v>
      </c>
      <c r="F1097">
        <v>54</v>
      </c>
      <c r="G1097">
        <v>233</v>
      </c>
      <c r="H1097" t="s">
        <v>1569</v>
      </c>
      <c r="I1097" t="b">
        <f t="shared" si="17"/>
        <v>0</v>
      </c>
    </row>
    <row r="1098" spans="1:9" x14ac:dyDescent="0.2">
      <c r="A1098" t="s">
        <v>5260</v>
      </c>
      <c r="B1098" t="s">
        <v>5261</v>
      </c>
      <c r="C1098" t="s">
        <v>2279</v>
      </c>
      <c r="D1098" t="s">
        <v>5262</v>
      </c>
      <c r="E1098" t="s">
        <v>4</v>
      </c>
      <c r="F1098">
        <v>6752</v>
      </c>
      <c r="G1098">
        <v>2991</v>
      </c>
      <c r="H1098" t="s">
        <v>13</v>
      </c>
      <c r="I1098" t="b">
        <f t="shared" si="17"/>
        <v>0</v>
      </c>
    </row>
    <row r="1099" spans="1:9" x14ac:dyDescent="0.2">
      <c r="A1099" t="s">
        <v>2762</v>
      </c>
      <c r="B1099" t="s">
        <v>2763</v>
      </c>
      <c r="C1099" t="s">
        <v>391</v>
      </c>
      <c r="D1099" t="s">
        <v>2764</v>
      </c>
      <c r="E1099" t="s">
        <v>4</v>
      </c>
      <c r="F1099">
        <v>744</v>
      </c>
      <c r="G1099">
        <v>551</v>
      </c>
      <c r="H1099" t="s">
        <v>13</v>
      </c>
      <c r="I1099" t="b">
        <f t="shared" si="17"/>
        <v>0</v>
      </c>
    </row>
    <row r="1100" spans="1:9" x14ac:dyDescent="0.2">
      <c r="A1100" t="s">
        <v>4471</v>
      </c>
      <c r="B1100" t="s">
        <v>4472</v>
      </c>
      <c r="C1100" t="s">
        <v>3852</v>
      </c>
      <c r="D1100" t="s">
        <v>4473</v>
      </c>
      <c r="E1100" t="s">
        <v>4</v>
      </c>
      <c r="F1100">
        <v>573</v>
      </c>
      <c r="G1100">
        <v>419</v>
      </c>
      <c r="H1100" t="s">
        <v>13</v>
      </c>
      <c r="I1100" t="b">
        <f t="shared" si="17"/>
        <v>0</v>
      </c>
    </row>
    <row r="1101" spans="1:9" x14ac:dyDescent="0.2">
      <c r="A1101" t="s">
        <v>2769</v>
      </c>
      <c r="B1101" t="s">
        <v>2770</v>
      </c>
      <c r="C1101" t="s">
        <v>2028</v>
      </c>
      <c r="D1101" t="s">
        <v>2771</v>
      </c>
      <c r="E1101" t="s">
        <v>4</v>
      </c>
      <c r="F1101">
        <v>1322</v>
      </c>
      <c r="G1101">
        <v>1009</v>
      </c>
      <c r="H1101" t="s">
        <v>13</v>
      </c>
      <c r="I1101" t="b">
        <f t="shared" si="17"/>
        <v>0</v>
      </c>
    </row>
    <row r="1102" spans="1:9" x14ac:dyDescent="0.2">
      <c r="A1102" t="s">
        <v>6945</v>
      </c>
      <c r="B1102" t="s">
        <v>6946</v>
      </c>
      <c r="C1102" t="s">
        <v>4754</v>
      </c>
      <c r="D1102" t="s">
        <v>3</v>
      </c>
      <c r="E1102" t="s">
        <v>4</v>
      </c>
      <c r="F1102">
        <v>2</v>
      </c>
      <c r="G1102">
        <v>3</v>
      </c>
      <c r="H1102" t="s">
        <v>13</v>
      </c>
      <c r="I1102" t="b">
        <f t="shared" si="17"/>
        <v>0</v>
      </c>
    </row>
    <row r="1103" spans="1:9" x14ac:dyDescent="0.2">
      <c r="A1103" t="s">
        <v>4015</v>
      </c>
      <c r="B1103" t="s">
        <v>4016</v>
      </c>
      <c r="C1103" t="s">
        <v>4017</v>
      </c>
      <c r="D1103" t="s">
        <v>4018</v>
      </c>
      <c r="E1103" t="s">
        <v>4</v>
      </c>
      <c r="F1103">
        <v>11321</v>
      </c>
      <c r="G1103">
        <v>1633</v>
      </c>
      <c r="H1103" t="s">
        <v>13</v>
      </c>
      <c r="I1103" t="b">
        <f t="shared" si="17"/>
        <v>0</v>
      </c>
    </row>
    <row r="1104" spans="1:9" x14ac:dyDescent="0.2">
      <c r="A1104" t="s">
        <v>2532</v>
      </c>
      <c r="B1104" t="s">
        <v>2533</v>
      </c>
      <c r="C1104" t="s">
        <v>2534</v>
      </c>
      <c r="D1104" t="s">
        <v>3</v>
      </c>
      <c r="E1104" t="s">
        <v>4</v>
      </c>
      <c r="F1104">
        <v>79</v>
      </c>
      <c r="G1104">
        <v>100</v>
      </c>
      <c r="H1104" t="s">
        <v>13</v>
      </c>
      <c r="I1104" t="b">
        <f t="shared" si="17"/>
        <v>0</v>
      </c>
    </row>
    <row r="1105" spans="1:9" x14ac:dyDescent="0.2">
      <c r="A1105" t="s">
        <v>5656</v>
      </c>
      <c r="B1105" t="s">
        <v>5658</v>
      </c>
      <c r="C1105" t="s">
        <v>1230</v>
      </c>
      <c r="D1105" t="s">
        <v>1231</v>
      </c>
      <c r="E1105" t="s">
        <v>4</v>
      </c>
      <c r="F1105">
        <v>427</v>
      </c>
      <c r="G1105">
        <v>768</v>
      </c>
      <c r="H1105" t="s">
        <v>13</v>
      </c>
      <c r="I1105" t="b">
        <f t="shared" si="17"/>
        <v>0</v>
      </c>
    </row>
    <row r="1106" spans="1:9" x14ac:dyDescent="0.2">
      <c r="A1106" t="s">
        <v>3795</v>
      </c>
      <c r="B1106" t="s">
        <v>3796</v>
      </c>
      <c r="C1106" t="s">
        <v>3797</v>
      </c>
      <c r="D1106" t="s">
        <v>101</v>
      </c>
      <c r="E1106" t="s">
        <v>4</v>
      </c>
      <c r="F1106">
        <v>251</v>
      </c>
      <c r="G1106">
        <v>307</v>
      </c>
      <c r="H1106" t="s">
        <v>13</v>
      </c>
      <c r="I1106" t="b">
        <f t="shared" si="17"/>
        <v>0</v>
      </c>
    </row>
    <row r="1107" spans="1:9" x14ac:dyDescent="0.2">
      <c r="A1107" t="s">
        <v>1532</v>
      </c>
      <c r="B1107" t="s">
        <v>1533</v>
      </c>
      <c r="C1107" t="s">
        <v>1534</v>
      </c>
      <c r="D1107" t="s">
        <v>1535</v>
      </c>
      <c r="E1107" t="s">
        <v>4</v>
      </c>
      <c r="F1107">
        <v>25</v>
      </c>
      <c r="G1107">
        <v>43</v>
      </c>
      <c r="H1107" t="s">
        <v>13</v>
      </c>
      <c r="I1107" t="b">
        <f t="shared" si="17"/>
        <v>0</v>
      </c>
    </row>
    <row r="1108" spans="1:9" x14ac:dyDescent="0.2">
      <c r="A1108" t="s">
        <v>2985</v>
      </c>
      <c r="B1108" t="s">
        <v>2986</v>
      </c>
      <c r="C1108" t="s">
        <v>41</v>
      </c>
      <c r="D1108" t="s">
        <v>2987</v>
      </c>
      <c r="E1108" t="s">
        <v>4</v>
      </c>
      <c r="F1108">
        <v>75</v>
      </c>
      <c r="G1108">
        <v>284</v>
      </c>
      <c r="H1108" t="s">
        <v>13</v>
      </c>
      <c r="I1108" t="b">
        <f t="shared" si="17"/>
        <v>0</v>
      </c>
    </row>
    <row r="1109" spans="1:9" x14ac:dyDescent="0.2">
      <c r="A1109" t="s">
        <v>6536</v>
      </c>
      <c r="B1109" t="s">
        <v>6537</v>
      </c>
      <c r="C1109" t="s">
        <v>254</v>
      </c>
      <c r="D1109" t="s">
        <v>6538</v>
      </c>
      <c r="E1109" t="s">
        <v>38</v>
      </c>
      <c r="F1109">
        <v>60056</v>
      </c>
      <c r="G1109">
        <v>1201</v>
      </c>
      <c r="H1109" t="s">
        <v>13</v>
      </c>
      <c r="I1109" t="b">
        <f t="shared" si="17"/>
        <v>0</v>
      </c>
    </row>
    <row r="1110" spans="1:9" x14ac:dyDescent="0.2">
      <c r="A1110" t="s">
        <v>6551</v>
      </c>
      <c r="B1110" t="s">
        <v>6552</v>
      </c>
      <c r="C1110" t="s">
        <v>429</v>
      </c>
      <c r="D1110" t="s">
        <v>3</v>
      </c>
      <c r="E1110" t="s">
        <v>4</v>
      </c>
      <c r="F1110">
        <v>19</v>
      </c>
      <c r="G1110">
        <v>276</v>
      </c>
      <c r="H1110" t="s">
        <v>13</v>
      </c>
      <c r="I1110" t="b">
        <f t="shared" si="17"/>
        <v>0</v>
      </c>
    </row>
    <row r="1111" spans="1:9" x14ac:dyDescent="0.2">
      <c r="A1111" t="s">
        <v>5158</v>
      </c>
      <c r="B1111" t="s">
        <v>5159</v>
      </c>
      <c r="C1111" t="s">
        <v>5160</v>
      </c>
      <c r="D1111" t="s">
        <v>3</v>
      </c>
      <c r="E1111" t="s">
        <v>4</v>
      </c>
      <c r="F1111">
        <v>10312</v>
      </c>
      <c r="G1111">
        <v>11025</v>
      </c>
      <c r="H1111" t="s">
        <v>5</v>
      </c>
      <c r="I1111" t="b">
        <f t="shared" si="17"/>
        <v>0</v>
      </c>
    </row>
    <row r="1112" spans="1:9" x14ac:dyDescent="0.2">
      <c r="A1112" t="s">
        <v>3386</v>
      </c>
      <c r="B1112" t="s">
        <v>3387</v>
      </c>
      <c r="C1112" t="s">
        <v>3388</v>
      </c>
      <c r="D1112" t="s">
        <v>101</v>
      </c>
      <c r="E1112" t="s">
        <v>4</v>
      </c>
      <c r="F1112">
        <v>3355</v>
      </c>
      <c r="G1112">
        <v>456</v>
      </c>
      <c r="H1112" t="s">
        <v>13</v>
      </c>
      <c r="I1112" t="b">
        <f t="shared" si="17"/>
        <v>0</v>
      </c>
    </row>
    <row r="1113" spans="1:9" x14ac:dyDescent="0.2">
      <c r="A1113" t="s">
        <v>4028</v>
      </c>
      <c r="B1113" t="s">
        <v>4030</v>
      </c>
      <c r="C1113" t="s">
        <v>1944</v>
      </c>
      <c r="D1113" t="s">
        <v>3</v>
      </c>
      <c r="E1113" t="s">
        <v>4</v>
      </c>
      <c r="F1113">
        <v>13</v>
      </c>
      <c r="G1113">
        <v>207</v>
      </c>
      <c r="H1113" t="s">
        <v>2184</v>
      </c>
      <c r="I1113" t="b">
        <f t="shared" si="17"/>
        <v>0</v>
      </c>
    </row>
    <row r="1114" spans="1:9" x14ac:dyDescent="0.2">
      <c r="A1114" t="s">
        <v>6362</v>
      </c>
      <c r="B1114" t="s">
        <v>6363</v>
      </c>
      <c r="C1114" t="s">
        <v>3769</v>
      </c>
      <c r="D1114" t="s">
        <v>1340</v>
      </c>
      <c r="E1114" t="s">
        <v>4</v>
      </c>
      <c r="F1114">
        <v>119</v>
      </c>
      <c r="G1114">
        <v>877</v>
      </c>
      <c r="H1114" t="s">
        <v>13</v>
      </c>
      <c r="I1114" t="b">
        <f t="shared" si="17"/>
        <v>0</v>
      </c>
    </row>
    <row r="1115" spans="1:9" x14ac:dyDescent="0.2">
      <c r="A1115" t="s">
        <v>6007</v>
      </c>
      <c r="B1115" t="s">
        <v>6008</v>
      </c>
      <c r="C1115" t="s">
        <v>6009</v>
      </c>
      <c r="D1115" t="s">
        <v>6010</v>
      </c>
      <c r="E1115" t="s">
        <v>4</v>
      </c>
      <c r="F1115">
        <v>1064</v>
      </c>
      <c r="G1115">
        <v>362</v>
      </c>
      <c r="H1115" t="s">
        <v>13</v>
      </c>
      <c r="I1115" t="b">
        <f t="shared" si="17"/>
        <v>0</v>
      </c>
    </row>
    <row r="1116" spans="1:9" x14ac:dyDescent="0.2">
      <c r="A1116" t="s">
        <v>2566</v>
      </c>
      <c r="B1116" t="s">
        <v>2567</v>
      </c>
      <c r="C1116" t="s">
        <v>832</v>
      </c>
      <c r="D1116" t="s">
        <v>3</v>
      </c>
      <c r="E1116" t="s">
        <v>4</v>
      </c>
      <c r="F1116">
        <v>74</v>
      </c>
      <c r="G1116">
        <v>161</v>
      </c>
      <c r="H1116" t="s">
        <v>266</v>
      </c>
      <c r="I1116" t="b">
        <f t="shared" si="17"/>
        <v>0</v>
      </c>
    </row>
    <row r="1117" spans="1:9" x14ac:dyDescent="0.2">
      <c r="A1117" t="s">
        <v>2044</v>
      </c>
      <c r="B1117" t="s">
        <v>2045</v>
      </c>
      <c r="C1117" t="s">
        <v>1423</v>
      </c>
      <c r="D1117" t="s">
        <v>3</v>
      </c>
      <c r="E1117" t="s">
        <v>4</v>
      </c>
      <c r="F1117">
        <v>15</v>
      </c>
      <c r="G1117">
        <v>86</v>
      </c>
      <c r="H1117" t="s">
        <v>13</v>
      </c>
      <c r="I1117" t="b">
        <f t="shared" si="17"/>
        <v>0</v>
      </c>
    </row>
    <row r="1118" spans="1:9" x14ac:dyDescent="0.2">
      <c r="A1118" t="s">
        <v>1442</v>
      </c>
      <c r="B1118" t="s">
        <v>1443</v>
      </c>
      <c r="C1118" t="s">
        <v>309</v>
      </c>
      <c r="D1118" t="s">
        <v>3</v>
      </c>
      <c r="E1118" t="s">
        <v>4</v>
      </c>
      <c r="F1118">
        <v>118</v>
      </c>
      <c r="G1118">
        <v>110</v>
      </c>
      <c r="H1118" t="s">
        <v>76</v>
      </c>
      <c r="I1118" t="b">
        <f t="shared" si="17"/>
        <v>0</v>
      </c>
    </row>
    <row r="1119" spans="1:9" x14ac:dyDescent="0.2">
      <c r="A1119" t="s">
        <v>1620</v>
      </c>
      <c r="B1119" t="s">
        <v>1621</v>
      </c>
      <c r="C1119" t="s">
        <v>1622</v>
      </c>
      <c r="D1119" t="s">
        <v>3</v>
      </c>
      <c r="E1119" t="s">
        <v>4</v>
      </c>
      <c r="F1119">
        <v>25</v>
      </c>
      <c r="G1119">
        <v>290</v>
      </c>
      <c r="H1119" t="s">
        <v>13</v>
      </c>
      <c r="I1119" t="b">
        <f t="shared" si="17"/>
        <v>0</v>
      </c>
    </row>
    <row r="1120" spans="1:9" x14ac:dyDescent="0.2">
      <c r="A1120" t="s">
        <v>4627</v>
      </c>
      <c r="B1120" t="s">
        <v>4628</v>
      </c>
      <c r="C1120" t="s">
        <v>568</v>
      </c>
      <c r="D1120" t="s">
        <v>4629</v>
      </c>
      <c r="E1120" t="s">
        <v>4</v>
      </c>
      <c r="F1120">
        <v>57</v>
      </c>
      <c r="G1120">
        <v>237</v>
      </c>
      <c r="H1120" t="s">
        <v>13</v>
      </c>
      <c r="I1120" t="b">
        <f t="shared" si="17"/>
        <v>0</v>
      </c>
    </row>
    <row r="1121" spans="1:9" x14ac:dyDescent="0.2">
      <c r="A1121" t="s">
        <v>1329</v>
      </c>
      <c r="B1121" t="s">
        <v>1330</v>
      </c>
      <c r="C1121" t="s">
        <v>1331</v>
      </c>
      <c r="D1121" t="s">
        <v>3</v>
      </c>
      <c r="E1121" t="s">
        <v>4</v>
      </c>
      <c r="F1121">
        <v>48</v>
      </c>
      <c r="G1121">
        <v>165</v>
      </c>
      <c r="H1121" t="s">
        <v>13</v>
      </c>
      <c r="I1121" t="b">
        <f t="shared" si="17"/>
        <v>0</v>
      </c>
    </row>
    <row r="1122" spans="1:9" x14ac:dyDescent="0.2">
      <c r="A1122" t="s">
        <v>6966</v>
      </c>
      <c r="B1122" t="s">
        <v>6967</v>
      </c>
      <c r="C1122" t="s">
        <v>2062</v>
      </c>
      <c r="D1122" t="s">
        <v>3</v>
      </c>
      <c r="E1122" t="s">
        <v>4</v>
      </c>
      <c r="F1122">
        <v>50</v>
      </c>
      <c r="G1122">
        <v>138</v>
      </c>
      <c r="H1122" t="s">
        <v>13</v>
      </c>
      <c r="I1122" t="b">
        <f t="shared" si="17"/>
        <v>0</v>
      </c>
    </row>
    <row r="1123" spans="1:9" x14ac:dyDescent="0.2">
      <c r="A1123" t="s">
        <v>5709</v>
      </c>
      <c r="B1123" t="s">
        <v>5710</v>
      </c>
      <c r="C1123" t="s">
        <v>942</v>
      </c>
      <c r="D1123" t="s">
        <v>3</v>
      </c>
      <c r="E1123" t="s">
        <v>4</v>
      </c>
      <c r="F1123">
        <v>17</v>
      </c>
      <c r="G1123">
        <v>148</v>
      </c>
      <c r="H1123" t="s">
        <v>13</v>
      </c>
      <c r="I1123" t="b">
        <f t="shared" si="17"/>
        <v>0</v>
      </c>
    </row>
    <row r="1124" spans="1:9" x14ac:dyDescent="0.2">
      <c r="A1124" t="s">
        <v>423</v>
      </c>
      <c r="B1124" t="s">
        <v>424</v>
      </c>
      <c r="C1124" t="s">
        <v>315</v>
      </c>
      <c r="D1124" t="s">
        <v>316</v>
      </c>
      <c r="E1124" t="s">
        <v>4</v>
      </c>
      <c r="F1124">
        <v>207</v>
      </c>
      <c r="G1124">
        <v>630</v>
      </c>
      <c r="H1124" t="s">
        <v>13</v>
      </c>
      <c r="I1124" t="b">
        <f t="shared" si="17"/>
        <v>0</v>
      </c>
    </row>
    <row r="1125" spans="1:9" x14ac:dyDescent="0.2">
      <c r="A1125" t="s">
        <v>3005</v>
      </c>
      <c r="B1125" t="s">
        <v>3006</v>
      </c>
      <c r="C1125" t="s">
        <v>2367</v>
      </c>
      <c r="D1125" t="s">
        <v>3</v>
      </c>
      <c r="E1125" t="s">
        <v>4</v>
      </c>
      <c r="F1125">
        <v>222</v>
      </c>
      <c r="G1125">
        <v>224</v>
      </c>
      <c r="H1125" t="s">
        <v>13</v>
      </c>
      <c r="I1125" t="b">
        <f t="shared" si="17"/>
        <v>0</v>
      </c>
    </row>
    <row r="1126" spans="1:9" x14ac:dyDescent="0.2">
      <c r="A1126" t="s">
        <v>1289</v>
      </c>
      <c r="B1126" t="s">
        <v>1290</v>
      </c>
      <c r="C1126" t="s">
        <v>1291</v>
      </c>
      <c r="D1126" t="s">
        <v>1292</v>
      </c>
      <c r="E1126" t="s">
        <v>4</v>
      </c>
      <c r="F1126">
        <v>850</v>
      </c>
      <c r="G1126">
        <v>262</v>
      </c>
      <c r="H1126" t="s">
        <v>13</v>
      </c>
      <c r="I1126" t="b">
        <f t="shared" si="17"/>
        <v>0</v>
      </c>
    </row>
    <row r="1127" spans="1:9" x14ac:dyDescent="0.2">
      <c r="A1127" t="s">
        <v>3389</v>
      </c>
      <c r="B1127" t="s">
        <v>3390</v>
      </c>
      <c r="C1127" t="s">
        <v>3391</v>
      </c>
      <c r="D1127" t="s">
        <v>3392</v>
      </c>
      <c r="E1127" t="s">
        <v>4</v>
      </c>
      <c r="F1127">
        <v>1035</v>
      </c>
      <c r="G1127">
        <v>1628</v>
      </c>
      <c r="H1127" t="s">
        <v>13</v>
      </c>
      <c r="I1127" t="b">
        <f t="shared" si="17"/>
        <v>0</v>
      </c>
    </row>
    <row r="1128" spans="1:9" x14ac:dyDescent="0.2">
      <c r="A1128" t="s">
        <v>3511</v>
      </c>
      <c r="B1128" t="s">
        <v>3512</v>
      </c>
      <c r="C1128" t="s">
        <v>3513</v>
      </c>
      <c r="D1128" t="s">
        <v>172</v>
      </c>
      <c r="E1128" t="s">
        <v>4</v>
      </c>
      <c r="F1128">
        <v>96</v>
      </c>
      <c r="G1128">
        <v>73</v>
      </c>
      <c r="H1128" t="s">
        <v>13</v>
      </c>
      <c r="I1128" t="b">
        <f t="shared" si="17"/>
        <v>0</v>
      </c>
    </row>
    <row r="1129" spans="1:9" x14ac:dyDescent="0.2">
      <c r="A1129" t="s">
        <v>4324</v>
      </c>
      <c r="B1129" t="s">
        <v>4325</v>
      </c>
      <c r="C1129" t="s">
        <v>1838</v>
      </c>
      <c r="D1129" t="s">
        <v>3</v>
      </c>
      <c r="E1129" t="s">
        <v>4</v>
      </c>
      <c r="F1129">
        <v>123</v>
      </c>
      <c r="G1129">
        <v>93</v>
      </c>
      <c r="H1129" t="s">
        <v>13</v>
      </c>
      <c r="I1129" t="b">
        <f t="shared" si="17"/>
        <v>0</v>
      </c>
    </row>
    <row r="1130" spans="1:9" x14ac:dyDescent="0.2">
      <c r="A1130" t="s">
        <v>5406</v>
      </c>
      <c r="B1130" t="s">
        <v>5407</v>
      </c>
      <c r="C1130" t="s">
        <v>1985</v>
      </c>
      <c r="D1130" t="s">
        <v>3</v>
      </c>
      <c r="E1130" t="s">
        <v>4</v>
      </c>
      <c r="F1130">
        <v>128</v>
      </c>
      <c r="G1130">
        <v>427</v>
      </c>
      <c r="H1130" t="s">
        <v>13</v>
      </c>
      <c r="I1130" t="b">
        <f t="shared" si="17"/>
        <v>0</v>
      </c>
    </row>
    <row r="1131" spans="1:9" x14ac:dyDescent="0.2">
      <c r="A1131" t="s">
        <v>2034</v>
      </c>
      <c r="B1131" t="s">
        <v>2035</v>
      </c>
      <c r="C1131" t="s">
        <v>898</v>
      </c>
      <c r="D1131" t="s">
        <v>1657</v>
      </c>
      <c r="E1131" t="s">
        <v>4</v>
      </c>
      <c r="F1131">
        <v>601</v>
      </c>
      <c r="G1131">
        <v>23</v>
      </c>
      <c r="H1131" t="s">
        <v>13</v>
      </c>
      <c r="I1131" t="b">
        <f t="shared" si="17"/>
        <v>0</v>
      </c>
    </row>
    <row r="1132" spans="1:9" x14ac:dyDescent="0.2">
      <c r="A1132" t="s">
        <v>3932</v>
      </c>
      <c r="B1132" t="s">
        <v>3933</v>
      </c>
      <c r="C1132" t="s">
        <v>2646</v>
      </c>
      <c r="D1132" t="s">
        <v>3690</v>
      </c>
      <c r="E1132" t="s">
        <v>4</v>
      </c>
      <c r="F1132">
        <v>39272</v>
      </c>
      <c r="G1132">
        <v>193</v>
      </c>
      <c r="H1132" t="s">
        <v>13</v>
      </c>
      <c r="I1132" t="b">
        <f t="shared" si="17"/>
        <v>0</v>
      </c>
    </row>
    <row r="1133" spans="1:9" x14ac:dyDescent="0.2">
      <c r="A1133" t="s">
        <v>1570</v>
      </c>
      <c r="B1133" t="s">
        <v>1571</v>
      </c>
      <c r="C1133" t="s">
        <v>1572</v>
      </c>
      <c r="D1133" t="s">
        <v>1573</v>
      </c>
      <c r="E1133" t="s">
        <v>4</v>
      </c>
      <c r="F1133">
        <v>1310</v>
      </c>
      <c r="G1133">
        <v>3065</v>
      </c>
      <c r="H1133" t="s">
        <v>13</v>
      </c>
      <c r="I1133" t="b">
        <f t="shared" si="17"/>
        <v>0</v>
      </c>
    </row>
    <row r="1134" spans="1:9" x14ac:dyDescent="0.2">
      <c r="A1134" t="s">
        <v>3992</v>
      </c>
      <c r="B1134" t="s">
        <v>3993</v>
      </c>
      <c r="C1134" t="s">
        <v>579</v>
      </c>
      <c r="D1134" t="s">
        <v>3</v>
      </c>
      <c r="E1134" t="s">
        <v>4</v>
      </c>
      <c r="F1134">
        <v>562</v>
      </c>
      <c r="G1134">
        <v>193</v>
      </c>
      <c r="H1134" t="s">
        <v>5</v>
      </c>
      <c r="I1134" t="b">
        <f t="shared" si="17"/>
        <v>0</v>
      </c>
    </row>
    <row r="1135" spans="1:9" x14ac:dyDescent="0.2">
      <c r="A1135" t="s">
        <v>553</v>
      </c>
      <c r="B1135" t="s">
        <v>554</v>
      </c>
      <c r="C1135" t="s">
        <v>70</v>
      </c>
      <c r="D1135" t="s">
        <v>555</v>
      </c>
      <c r="E1135" t="s">
        <v>4</v>
      </c>
      <c r="F1135">
        <v>759</v>
      </c>
      <c r="G1135">
        <v>867</v>
      </c>
      <c r="H1135" t="s">
        <v>13</v>
      </c>
      <c r="I1135" t="b">
        <f t="shared" si="17"/>
        <v>0</v>
      </c>
    </row>
    <row r="1136" spans="1:9" x14ac:dyDescent="0.2">
      <c r="A1136" t="s">
        <v>2412</v>
      </c>
      <c r="B1136" t="s">
        <v>2413</v>
      </c>
      <c r="C1136" t="s">
        <v>230</v>
      </c>
      <c r="D1136" t="s">
        <v>2414</v>
      </c>
      <c r="E1136" t="s">
        <v>4</v>
      </c>
      <c r="F1136">
        <v>241</v>
      </c>
      <c r="G1136">
        <v>301</v>
      </c>
      <c r="H1136" t="s">
        <v>13</v>
      </c>
      <c r="I1136" t="b">
        <f t="shared" si="17"/>
        <v>0</v>
      </c>
    </row>
    <row r="1137" spans="1:9" x14ac:dyDescent="0.2">
      <c r="A1137" t="s">
        <v>4923</v>
      </c>
      <c r="B1137" t="s">
        <v>4924</v>
      </c>
      <c r="C1137" t="s">
        <v>4925</v>
      </c>
      <c r="D1137" t="s">
        <v>3</v>
      </c>
      <c r="E1137" t="s">
        <v>4</v>
      </c>
      <c r="F1137">
        <v>64</v>
      </c>
      <c r="G1137">
        <v>97</v>
      </c>
      <c r="H1137" t="s">
        <v>13</v>
      </c>
      <c r="I1137" t="b">
        <f t="shared" si="17"/>
        <v>0</v>
      </c>
    </row>
    <row r="1138" spans="1:9" x14ac:dyDescent="0.2">
      <c r="A1138" t="s">
        <v>4695</v>
      </c>
      <c r="B1138" t="s">
        <v>4696</v>
      </c>
      <c r="C1138" t="s">
        <v>3588</v>
      </c>
      <c r="D1138" t="s">
        <v>3</v>
      </c>
      <c r="E1138" t="s">
        <v>4</v>
      </c>
      <c r="F1138">
        <v>92</v>
      </c>
      <c r="G1138">
        <v>83</v>
      </c>
      <c r="H1138" t="s">
        <v>13</v>
      </c>
      <c r="I1138" t="b">
        <f t="shared" si="17"/>
        <v>0</v>
      </c>
    </row>
    <row r="1139" spans="1:9" x14ac:dyDescent="0.2">
      <c r="A1139" t="s">
        <v>6572</v>
      </c>
      <c r="B1139" t="s">
        <v>6573</v>
      </c>
      <c r="C1139" t="s">
        <v>4080</v>
      </c>
      <c r="D1139" t="s">
        <v>3</v>
      </c>
      <c r="E1139" t="s">
        <v>4</v>
      </c>
      <c r="F1139">
        <v>1569</v>
      </c>
      <c r="G1139">
        <v>1822</v>
      </c>
      <c r="H1139" t="s">
        <v>13</v>
      </c>
      <c r="I1139" t="b">
        <f t="shared" si="17"/>
        <v>0</v>
      </c>
    </row>
    <row r="1140" spans="1:9" x14ac:dyDescent="0.2">
      <c r="A1140" t="s">
        <v>5466</v>
      </c>
      <c r="B1140" t="s">
        <v>5467</v>
      </c>
      <c r="C1140" t="s">
        <v>5468</v>
      </c>
      <c r="D1140" t="s">
        <v>101</v>
      </c>
      <c r="E1140" t="s">
        <v>4</v>
      </c>
      <c r="F1140">
        <v>5744</v>
      </c>
      <c r="G1140">
        <v>6127</v>
      </c>
      <c r="H1140" t="s">
        <v>5</v>
      </c>
      <c r="I1140" t="b">
        <f t="shared" si="17"/>
        <v>0</v>
      </c>
    </row>
    <row r="1141" spans="1:9" x14ac:dyDescent="0.2">
      <c r="A1141" t="s">
        <v>3422</v>
      </c>
      <c r="B1141" t="s">
        <v>3423</v>
      </c>
      <c r="C1141" t="s">
        <v>1618</v>
      </c>
      <c r="D1141" t="s">
        <v>3</v>
      </c>
      <c r="E1141" t="s">
        <v>4</v>
      </c>
      <c r="F1141">
        <v>225</v>
      </c>
      <c r="G1141">
        <v>909</v>
      </c>
      <c r="H1141" t="s">
        <v>13</v>
      </c>
      <c r="I1141" t="b">
        <f t="shared" si="17"/>
        <v>0</v>
      </c>
    </row>
    <row r="1142" spans="1:9" x14ac:dyDescent="0.2">
      <c r="A1142" t="s">
        <v>2160</v>
      </c>
      <c r="B1142" t="s">
        <v>2162</v>
      </c>
      <c r="C1142" t="s">
        <v>2163</v>
      </c>
      <c r="D1142" t="s">
        <v>3</v>
      </c>
      <c r="E1142" t="s">
        <v>4</v>
      </c>
      <c r="F1142">
        <v>347</v>
      </c>
      <c r="G1142">
        <v>270</v>
      </c>
      <c r="H1142" t="s">
        <v>13</v>
      </c>
      <c r="I1142" t="b">
        <f t="shared" si="17"/>
        <v>0</v>
      </c>
    </row>
    <row r="1143" spans="1:9" x14ac:dyDescent="0.2">
      <c r="A1143" t="s">
        <v>1281</v>
      </c>
      <c r="B1143" t="s">
        <v>1282</v>
      </c>
      <c r="C1143" t="s">
        <v>1283</v>
      </c>
      <c r="D1143" t="s">
        <v>3</v>
      </c>
      <c r="E1143" t="s">
        <v>4</v>
      </c>
      <c r="F1143">
        <v>3</v>
      </c>
      <c r="G1143">
        <v>132</v>
      </c>
      <c r="H1143" t="s">
        <v>13</v>
      </c>
      <c r="I1143" t="b">
        <f t="shared" si="17"/>
        <v>0</v>
      </c>
    </row>
    <row r="1144" spans="1:9" x14ac:dyDescent="0.2">
      <c r="A1144" t="s">
        <v>960</v>
      </c>
      <c r="B1144" t="s">
        <v>961</v>
      </c>
      <c r="C1144" t="s">
        <v>962</v>
      </c>
      <c r="D1144" t="s">
        <v>3</v>
      </c>
      <c r="E1144" t="s">
        <v>4</v>
      </c>
      <c r="F1144">
        <v>214</v>
      </c>
      <c r="G1144">
        <v>393</v>
      </c>
      <c r="H1144" t="s">
        <v>13</v>
      </c>
      <c r="I1144" t="b">
        <f t="shared" si="17"/>
        <v>0</v>
      </c>
    </row>
    <row r="1145" spans="1:9" x14ac:dyDescent="0.2">
      <c r="A1145" t="s">
        <v>3427</v>
      </c>
      <c r="B1145" t="s">
        <v>3428</v>
      </c>
      <c r="C1145" t="s">
        <v>3429</v>
      </c>
      <c r="D1145" t="s">
        <v>3430</v>
      </c>
      <c r="E1145" t="s">
        <v>4</v>
      </c>
      <c r="F1145">
        <v>1552</v>
      </c>
      <c r="G1145">
        <v>433</v>
      </c>
      <c r="H1145" t="s">
        <v>13</v>
      </c>
      <c r="I1145" t="b">
        <f t="shared" si="17"/>
        <v>0</v>
      </c>
    </row>
    <row r="1146" spans="1:9" x14ac:dyDescent="0.2">
      <c r="A1146" t="s">
        <v>5272</v>
      </c>
      <c r="B1146" t="s">
        <v>5273</v>
      </c>
      <c r="C1146" t="s">
        <v>293</v>
      </c>
      <c r="D1146" t="s">
        <v>3</v>
      </c>
      <c r="E1146" t="s">
        <v>4</v>
      </c>
      <c r="F1146">
        <v>3634</v>
      </c>
      <c r="G1146">
        <v>3732</v>
      </c>
      <c r="H1146" t="s">
        <v>13</v>
      </c>
      <c r="I1146" t="b">
        <f t="shared" si="17"/>
        <v>0</v>
      </c>
    </row>
    <row r="1147" spans="1:9" x14ac:dyDescent="0.2">
      <c r="A1147" t="s">
        <v>3960</v>
      </c>
      <c r="B1147" t="s">
        <v>3961</v>
      </c>
      <c r="C1147" t="s">
        <v>595</v>
      </c>
      <c r="D1147" t="s">
        <v>599</v>
      </c>
      <c r="E1147" t="s">
        <v>4</v>
      </c>
      <c r="F1147">
        <v>91</v>
      </c>
      <c r="G1147">
        <v>751</v>
      </c>
      <c r="H1147" t="s">
        <v>13</v>
      </c>
      <c r="I1147" t="b">
        <f t="shared" si="17"/>
        <v>0</v>
      </c>
    </row>
    <row r="1148" spans="1:9" x14ac:dyDescent="0.2">
      <c r="A1148" t="s">
        <v>4530</v>
      </c>
      <c r="B1148" t="s">
        <v>4531</v>
      </c>
      <c r="C1148" t="s">
        <v>279</v>
      </c>
      <c r="D1148" t="s">
        <v>569</v>
      </c>
      <c r="E1148" t="s">
        <v>4</v>
      </c>
      <c r="F1148">
        <v>299</v>
      </c>
      <c r="G1148">
        <v>310</v>
      </c>
      <c r="H1148" t="s">
        <v>13</v>
      </c>
      <c r="I1148" t="b">
        <f t="shared" si="17"/>
        <v>0</v>
      </c>
    </row>
    <row r="1149" spans="1:9" x14ac:dyDescent="0.2">
      <c r="A1149" t="s">
        <v>4565</v>
      </c>
      <c r="B1149" t="s">
        <v>4566</v>
      </c>
      <c r="C1149" t="s">
        <v>4567</v>
      </c>
      <c r="D1149" t="s">
        <v>3</v>
      </c>
      <c r="E1149" t="s">
        <v>4</v>
      </c>
      <c r="F1149">
        <v>13</v>
      </c>
      <c r="G1149">
        <v>50</v>
      </c>
      <c r="H1149" t="s">
        <v>13</v>
      </c>
      <c r="I1149" t="b">
        <f t="shared" si="17"/>
        <v>0</v>
      </c>
    </row>
    <row r="1150" spans="1:9" x14ac:dyDescent="0.2">
      <c r="A1150" t="s">
        <v>1718</v>
      </c>
      <c r="B1150" t="s">
        <v>1719</v>
      </c>
      <c r="C1150" t="s">
        <v>1720</v>
      </c>
      <c r="D1150" t="s">
        <v>1721</v>
      </c>
      <c r="E1150" t="s">
        <v>4</v>
      </c>
      <c r="F1150">
        <v>202</v>
      </c>
      <c r="G1150">
        <v>424</v>
      </c>
      <c r="H1150" t="s">
        <v>13</v>
      </c>
      <c r="I1150" t="b">
        <f t="shared" si="17"/>
        <v>0</v>
      </c>
    </row>
    <row r="1151" spans="1:9" x14ac:dyDescent="0.2">
      <c r="A1151" t="s">
        <v>735</v>
      </c>
      <c r="B1151" t="s">
        <v>736</v>
      </c>
      <c r="C1151" t="s">
        <v>737</v>
      </c>
      <c r="D1151" t="s">
        <v>3</v>
      </c>
      <c r="E1151" t="s">
        <v>4</v>
      </c>
      <c r="F1151">
        <v>46</v>
      </c>
      <c r="G1151">
        <v>96</v>
      </c>
      <c r="H1151" t="s">
        <v>13</v>
      </c>
      <c r="I1151" t="b">
        <f t="shared" si="17"/>
        <v>0</v>
      </c>
    </row>
    <row r="1152" spans="1:9" x14ac:dyDescent="0.2">
      <c r="A1152" t="s">
        <v>926</v>
      </c>
      <c r="B1152" t="s">
        <v>927</v>
      </c>
      <c r="C1152" t="s">
        <v>558</v>
      </c>
      <c r="D1152" t="s">
        <v>928</v>
      </c>
      <c r="E1152" t="s">
        <v>4</v>
      </c>
      <c r="F1152">
        <v>4140</v>
      </c>
      <c r="G1152">
        <v>2233</v>
      </c>
      <c r="H1152" t="s">
        <v>86</v>
      </c>
      <c r="I1152" t="b">
        <f t="shared" si="17"/>
        <v>0</v>
      </c>
    </row>
    <row r="1153" spans="1:9" x14ac:dyDescent="0.2">
      <c r="A1153" t="s">
        <v>1760</v>
      </c>
      <c r="B1153" t="s">
        <v>1761</v>
      </c>
      <c r="C1153" t="s">
        <v>60</v>
      </c>
      <c r="D1153" t="s">
        <v>3</v>
      </c>
      <c r="E1153" t="s">
        <v>4</v>
      </c>
      <c r="F1153">
        <v>77</v>
      </c>
      <c r="G1153">
        <v>115</v>
      </c>
      <c r="H1153" t="s">
        <v>13</v>
      </c>
      <c r="I1153" t="b">
        <f t="shared" si="17"/>
        <v>0</v>
      </c>
    </row>
    <row r="1154" spans="1:9" x14ac:dyDescent="0.2">
      <c r="A1154" t="s">
        <v>1421</v>
      </c>
      <c r="B1154" t="s">
        <v>1422</v>
      </c>
      <c r="C1154" t="s">
        <v>1423</v>
      </c>
      <c r="D1154" t="s">
        <v>3</v>
      </c>
      <c r="E1154" t="s">
        <v>4</v>
      </c>
      <c r="F1154">
        <v>21</v>
      </c>
      <c r="G1154">
        <v>101</v>
      </c>
      <c r="H1154" t="s">
        <v>13</v>
      </c>
      <c r="I1154" t="b">
        <f t="shared" si="17"/>
        <v>0</v>
      </c>
    </row>
    <row r="1155" spans="1:9" x14ac:dyDescent="0.2">
      <c r="A1155" t="s">
        <v>4784</v>
      </c>
      <c r="B1155" t="s">
        <v>4785</v>
      </c>
      <c r="C1155" t="s">
        <v>513</v>
      </c>
      <c r="D1155" t="s">
        <v>4513</v>
      </c>
      <c r="E1155" t="s">
        <v>4</v>
      </c>
      <c r="F1155">
        <v>129</v>
      </c>
      <c r="G1155">
        <v>603</v>
      </c>
      <c r="H1155" t="s">
        <v>13</v>
      </c>
      <c r="I1155" t="b">
        <f t="shared" ref="I1155:I1218" si="18">isDup(B1155, B1156, 0.7)</f>
        <v>0</v>
      </c>
    </row>
    <row r="1156" spans="1:9" x14ac:dyDescent="0.2">
      <c r="A1156" t="s">
        <v>4648</v>
      </c>
      <c r="B1156" t="s">
        <v>4649</v>
      </c>
      <c r="C1156" t="s">
        <v>4650</v>
      </c>
      <c r="D1156" t="s">
        <v>4651</v>
      </c>
      <c r="E1156" t="s">
        <v>4</v>
      </c>
      <c r="F1156">
        <v>1607</v>
      </c>
      <c r="G1156">
        <v>1364</v>
      </c>
      <c r="H1156" t="s">
        <v>13</v>
      </c>
      <c r="I1156" t="b">
        <f t="shared" si="18"/>
        <v>0</v>
      </c>
    </row>
    <row r="1157" spans="1:9" x14ac:dyDescent="0.2">
      <c r="A1157" t="s">
        <v>1144</v>
      </c>
      <c r="B1157" t="s">
        <v>1145</v>
      </c>
      <c r="C1157" t="s">
        <v>1142</v>
      </c>
      <c r="D1157" t="s">
        <v>1143</v>
      </c>
      <c r="E1157" t="s">
        <v>4</v>
      </c>
      <c r="F1157">
        <v>4774</v>
      </c>
      <c r="G1157">
        <v>1095</v>
      </c>
      <c r="H1157" t="s">
        <v>13</v>
      </c>
      <c r="I1157" t="b">
        <f t="shared" si="18"/>
        <v>0</v>
      </c>
    </row>
    <row r="1158" spans="1:9" x14ac:dyDescent="0.2">
      <c r="A1158" t="s">
        <v>1064</v>
      </c>
      <c r="B1158" t="s">
        <v>1065</v>
      </c>
      <c r="C1158" t="s">
        <v>764</v>
      </c>
      <c r="D1158" t="s">
        <v>1066</v>
      </c>
      <c r="E1158" t="s">
        <v>4</v>
      </c>
      <c r="F1158">
        <v>4493</v>
      </c>
      <c r="G1158">
        <v>4254</v>
      </c>
      <c r="H1158" t="s">
        <v>13</v>
      </c>
      <c r="I1158" t="b">
        <f t="shared" si="18"/>
        <v>0</v>
      </c>
    </row>
    <row r="1159" spans="1:9" x14ac:dyDescent="0.2">
      <c r="A1159" t="s">
        <v>3417</v>
      </c>
      <c r="B1159" t="s">
        <v>3418</v>
      </c>
      <c r="C1159" t="s">
        <v>2871</v>
      </c>
      <c r="D1159" t="s">
        <v>3</v>
      </c>
      <c r="E1159" t="s">
        <v>4</v>
      </c>
      <c r="F1159">
        <v>15</v>
      </c>
      <c r="G1159">
        <v>368</v>
      </c>
      <c r="H1159" t="s">
        <v>13</v>
      </c>
      <c r="I1159" t="b">
        <f t="shared" si="18"/>
        <v>0</v>
      </c>
    </row>
    <row r="1160" spans="1:9" x14ac:dyDescent="0.2">
      <c r="A1160" t="s">
        <v>3791</v>
      </c>
      <c r="B1160" t="s">
        <v>3792</v>
      </c>
      <c r="C1160" t="s">
        <v>1587</v>
      </c>
      <c r="D1160" t="s">
        <v>242</v>
      </c>
      <c r="E1160" t="s">
        <v>4</v>
      </c>
      <c r="F1160">
        <v>95</v>
      </c>
      <c r="G1160">
        <v>68</v>
      </c>
      <c r="H1160" t="s">
        <v>13</v>
      </c>
      <c r="I1160" t="b">
        <f t="shared" si="18"/>
        <v>0</v>
      </c>
    </row>
    <row r="1161" spans="1:9" x14ac:dyDescent="0.2">
      <c r="A1161" t="s">
        <v>2377</v>
      </c>
      <c r="B1161" t="s">
        <v>2378</v>
      </c>
      <c r="C1161" t="s">
        <v>2379</v>
      </c>
      <c r="D1161" t="s">
        <v>3</v>
      </c>
      <c r="E1161" t="s">
        <v>4</v>
      </c>
      <c r="F1161">
        <v>33252</v>
      </c>
      <c r="G1161">
        <v>505</v>
      </c>
      <c r="H1161" t="s">
        <v>13</v>
      </c>
      <c r="I1161" t="b">
        <f t="shared" si="18"/>
        <v>0</v>
      </c>
    </row>
    <row r="1162" spans="1:9" x14ac:dyDescent="0.2">
      <c r="A1162" t="s">
        <v>6039</v>
      </c>
      <c r="B1162" t="s">
        <v>6040</v>
      </c>
      <c r="C1162" t="s">
        <v>2490</v>
      </c>
      <c r="D1162" t="s">
        <v>6041</v>
      </c>
      <c r="E1162" t="s">
        <v>4</v>
      </c>
      <c r="F1162">
        <v>149</v>
      </c>
      <c r="G1162">
        <v>162</v>
      </c>
      <c r="H1162" t="s">
        <v>13</v>
      </c>
      <c r="I1162" t="b">
        <f t="shared" si="18"/>
        <v>0</v>
      </c>
    </row>
    <row r="1163" spans="1:9" x14ac:dyDescent="0.2">
      <c r="A1163" t="s">
        <v>6232</v>
      </c>
      <c r="B1163" t="s">
        <v>6233</v>
      </c>
      <c r="C1163" t="s">
        <v>185</v>
      </c>
      <c r="D1163" t="s">
        <v>6234</v>
      </c>
      <c r="E1163" t="s">
        <v>4</v>
      </c>
      <c r="F1163">
        <v>15</v>
      </c>
      <c r="G1163">
        <v>109</v>
      </c>
      <c r="H1163" t="s">
        <v>13</v>
      </c>
      <c r="I1163" t="b">
        <f t="shared" si="18"/>
        <v>0</v>
      </c>
    </row>
    <row r="1164" spans="1:9" x14ac:dyDescent="0.2">
      <c r="A1164" t="s">
        <v>6584</v>
      </c>
      <c r="B1164" t="s">
        <v>6585</v>
      </c>
      <c r="C1164" t="s">
        <v>4061</v>
      </c>
      <c r="D1164" t="s">
        <v>326</v>
      </c>
      <c r="E1164" t="s">
        <v>4</v>
      </c>
      <c r="F1164">
        <v>27</v>
      </c>
      <c r="G1164">
        <v>54</v>
      </c>
      <c r="H1164" t="s">
        <v>13</v>
      </c>
      <c r="I1164" t="b">
        <f t="shared" si="18"/>
        <v>0</v>
      </c>
    </row>
    <row r="1165" spans="1:9" x14ac:dyDescent="0.2">
      <c r="A1165" t="s">
        <v>2261</v>
      </c>
      <c r="B1165" t="s">
        <v>2262</v>
      </c>
      <c r="C1165" t="s">
        <v>2263</v>
      </c>
      <c r="D1165" t="s">
        <v>64</v>
      </c>
      <c r="E1165" t="s">
        <v>4</v>
      </c>
      <c r="F1165">
        <v>16</v>
      </c>
      <c r="G1165">
        <v>64</v>
      </c>
      <c r="H1165" t="s">
        <v>13</v>
      </c>
      <c r="I1165" t="b">
        <f t="shared" si="18"/>
        <v>0</v>
      </c>
    </row>
    <row r="1166" spans="1:9" x14ac:dyDescent="0.2">
      <c r="A1166" t="s">
        <v>317</v>
      </c>
      <c r="B1166" t="s">
        <v>318</v>
      </c>
      <c r="C1166" t="s">
        <v>319</v>
      </c>
      <c r="D1166" t="s">
        <v>320</v>
      </c>
      <c r="E1166" t="s">
        <v>4</v>
      </c>
      <c r="F1166">
        <v>720</v>
      </c>
      <c r="G1166">
        <v>1404</v>
      </c>
      <c r="H1166" t="s">
        <v>13</v>
      </c>
      <c r="I1166" t="b">
        <f t="shared" si="18"/>
        <v>0</v>
      </c>
    </row>
    <row r="1167" spans="1:9" x14ac:dyDescent="0.2">
      <c r="A1167" t="s">
        <v>6282</v>
      </c>
      <c r="B1167" t="s">
        <v>6283</v>
      </c>
      <c r="C1167" t="s">
        <v>5891</v>
      </c>
      <c r="D1167" t="s">
        <v>6284</v>
      </c>
      <c r="E1167" t="s">
        <v>4</v>
      </c>
      <c r="F1167">
        <v>48</v>
      </c>
      <c r="G1167">
        <v>99</v>
      </c>
      <c r="H1167" t="s">
        <v>13</v>
      </c>
      <c r="I1167" t="b">
        <f t="shared" si="18"/>
        <v>0</v>
      </c>
    </row>
    <row r="1168" spans="1:9" x14ac:dyDescent="0.2">
      <c r="A1168" t="s">
        <v>6192</v>
      </c>
      <c r="B1168" t="s">
        <v>6193</v>
      </c>
      <c r="C1168" t="s">
        <v>5220</v>
      </c>
      <c r="D1168" t="s">
        <v>3</v>
      </c>
      <c r="E1168" t="s">
        <v>4</v>
      </c>
      <c r="F1168">
        <v>3</v>
      </c>
      <c r="G1168">
        <v>5</v>
      </c>
      <c r="H1168" t="s">
        <v>13</v>
      </c>
      <c r="I1168" t="b">
        <f t="shared" si="18"/>
        <v>0</v>
      </c>
    </row>
    <row r="1169" spans="1:9" x14ac:dyDescent="0.2">
      <c r="A1169" t="s">
        <v>5434</v>
      </c>
      <c r="B1169" t="s">
        <v>5435</v>
      </c>
      <c r="C1169" t="s">
        <v>4609</v>
      </c>
      <c r="D1169" t="s">
        <v>403</v>
      </c>
      <c r="E1169" t="s">
        <v>4</v>
      </c>
      <c r="F1169">
        <v>35815</v>
      </c>
      <c r="G1169">
        <v>1551</v>
      </c>
      <c r="H1169" t="s">
        <v>13</v>
      </c>
      <c r="I1169" t="b">
        <f t="shared" si="18"/>
        <v>0</v>
      </c>
    </row>
    <row r="1170" spans="1:9" x14ac:dyDescent="0.2">
      <c r="A1170" t="s">
        <v>2875</v>
      </c>
      <c r="B1170" t="s">
        <v>2876</v>
      </c>
      <c r="C1170" t="s">
        <v>1423</v>
      </c>
      <c r="D1170" t="s">
        <v>2877</v>
      </c>
      <c r="E1170" t="s">
        <v>4</v>
      </c>
      <c r="F1170">
        <v>2264</v>
      </c>
      <c r="G1170">
        <v>2351</v>
      </c>
      <c r="H1170" t="s">
        <v>13</v>
      </c>
      <c r="I1170" t="b">
        <f t="shared" si="18"/>
        <v>0</v>
      </c>
    </row>
    <row r="1171" spans="1:9" x14ac:dyDescent="0.2">
      <c r="A1171" t="s">
        <v>397</v>
      </c>
      <c r="B1171" t="s">
        <v>398</v>
      </c>
      <c r="C1171" t="s">
        <v>399</v>
      </c>
      <c r="D1171" t="s">
        <v>3</v>
      </c>
      <c r="E1171" t="s">
        <v>4</v>
      </c>
      <c r="F1171">
        <v>9</v>
      </c>
      <c r="G1171">
        <v>85</v>
      </c>
      <c r="H1171" t="s">
        <v>13</v>
      </c>
      <c r="I1171" t="b">
        <f t="shared" si="18"/>
        <v>0</v>
      </c>
    </row>
    <row r="1172" spans="1:9" x14ac:dyDescent="0.2">
      <c r="A1172" t="s">
        <v>3482</v>
      </c>
      <c r="B1172" t="s">
        <v>3483</v>
      </c>
      <c r="C1172" t="s">
        <v>3484</v>
      </c>
      <c r="D1172" t="s">
        <v>3485</v>
      </c>
      <c r="E1172" t="s">
        <v>4</v>
      </c>
      <c r="F1172">
        <v>3326</v>
      </c>
      <c r="G1172">
        <v>1973</v>
      </c>
      <c r="H1172" t="s">
        <v>13</v>
      </c>
      <c r="I1172" t="b">
        <f t="shared" si="18"/>
        <v>0</v>
      </c>
    </row>
    <row r="1173" spans="1:9" x14ac:dyDescent="0.2">
      <c r="A1173" t="s">
        <v>3200</v>
      </c>
      <c r="B1173" t="s">
        <v>3201</v>
      </c>
      <c r="C1173" t="s">
        <v>1324</v>
      </c>
      <c r="D1173" t="s">
        <v>3</v>
      </c>
      <c r="E1173" t="s">
        <v>4</v>
      </c>
      <c r="F1173">
        <v>23</v>
      </c>
      <c r="G1173">
        <v>253</v>
      </c>
      <c r="H1173" t="s">
        <v>13</v>
      </c>
      <c r="I1173" t="b">
        <f t="shared" si="18"/>
        <v>0</v>
      </c>
    </row>
    <row r="1174" spans="1:9" x14ac:dyDescent="0.2">
      <c r="A1174" t="s">
        <v>2018</v>
      </c>
      <c r="B1174" t="s">
        <v>2019</v>
      </c>
      <c r="C1174" t="s">
        <v>2020</v>
      </c>
      <c r="D1174" t="s">
        <v>3</v>
      </c>
      <c r="E1174" t="s">
        <v>4</v>
      </c>
      <c r="F1174">
        <v>48</v>
      </c>
      <c r="G1174">
        <v>246</v>
      </c>
      <c r="H1174" t="s">
        <v>13</v>
      </c>
      <c r="I1174" t="b">
        <f t="shared" si="18"/>
        <v>0</v>
      </c>
    </row>
    <row r="1175" spans="1:9" x14ac:dyDescent="0.2">
      <c r="A1175" t="s">
        <v>1979</v>
      </c>
      <c r="B1175" t="s">
        <v>1980</v>
      </c>
      <c r="C1175" t="s">
        <v>1981</v>
      </c>
      <c r="D1175" t="s">
        <v>1982</v>
      </c>
      <c r="E1175" t="s">
        <v>4</v>
      </c>
      <c r="F1175">
        <v>85</v>
      </c>
      <c r="G1175">
        <v>229</v>
      </c>
      <c r="H1175" t="s">
        <v>645</v>
      </c>
      <c r="I1175" t="b">
        <f t="shared" si="18"/>
        <v>0</v>
      </c>
    </row>
    <row r="1176" spans="1:9" x14ac:dyDescent="0.2">
      <c r="A1176" t="s">
        <v>6966</v>
      </c>
      <c r="B1176" t="s">
        <v>6968</v>
      </c>
      <c r="C1176" t="s">
        <v>4187</v>
      </c>
      <c r="D1176" t="s">
        <v>98</v>
      </c>
      <c r="E1176" t="s">
        <v>4</v>
      </c>
      <c r="F1176">
        <v>40</v>
      </c>
      <c r="G1176">
        <v>136</v>
      </c>
      <c r="H1176" t="s">
        <v>13</v>
      </c>
      <c r="I1176" t="b">
        <f t="shared" si="18"/>
        <v>0</v>
      </c>
    </row>
    <row r="1177" spans="1:9" x14ac:dyDescent="0.2">
      <c r="A1177" t="s">
        <v>2077</v>
      </c>
      <c r="B1177" t="s">
        <v>2078</v>
      </c>
      <c r="C1177" t="s">
        <v>2079</v>
      </c>
      <c r="D1177" t="s">
        <v>2080</v>
      </c>
      <c r="E1177" t="s">
        <v>4</v>
      </c>
      <c r="F1177">
        <v>207</v>
      </c>
      <c r="G1177">
        <v>322</v>
      </c>
      <c r="H1177" t="s">
        <v>50</v>
      </c>
      <c r="I1177" t="b">
        <f t="shared" si="18"/>
        <v>0</v>
      </c>
    </row>
    <row r="1178" spans="1:9" x14ac:dyDescent="0.2">
      <c r="A1178" t="s">
        <v>5840</v>
      </c>
      <c r="B1178" t="s">
        <v>5841</v>
      </c>
      <c r="C1178" t="s">
        <v>5842</v>
      </c>
      <c r="D1178" t="s">
        <v>326</v>
      </c>
      <c r="E1178" t="s">
        <v>4</v>
      </c>
      <c r="F1178">
        <v>143</v>
      </c>
      <c r="G1178">
        <v>285</v>
      </c>
      <c r="H1178" t="s">
        <v>13</v>
      </c>
      <c r="I1178" t="b">
        <f t="shared" si="18"/>
        <v>1</v>
      </c>
    </row>
    <row r="1179" spans="1:9" x14ac:dyDescent="0.2">
      <c r="A1179" t="s">
        <v>3469</v>
      </c>
      <c r="B1179" t="s">
        <v>3470</v>
      </c>
      <c r="C1179" t="s">
        <v>824</v>
      </c>
      <c r="D1179" t="s">
        <v>3471</v>
      </c>
      <c r="E1179" t="s">
        <v>4</v>
      </c>
      <c r="F1179">
        <v>579</v>
      </c>
      <c r="G1179">
        <v>92</v>
      </c>
      <c r="H1179" t="s">
        <v>13</v>
      </c>
      <c r="I1179" t="b">
        <f t="shared" si="18"/>
        <v>0</v>
      </c>
    </row>
    <row r="1180" spans="1:9" x14ac:dyDescent="0.2">
      <c r="A1180" t="s">
        <v>1355</v>
      </c>
      <c r="B1180" t="s">
        <v>1356</v>
      </c>
      <c r="C1180" t="s">
        <v>97</v>
      </c>
      <c r="D1180" t="s">
        <v>3</v>
      </c>
      <c r="E1180" t="s">
        <v>4</v>
      </c>
      <c r="F1180">
        <v>12</v>
      </c>
      <c r="G1180">
        <v>6</v>
      </c>
      <c r="H1180" t="s">
        <v>13</v>
      </c>
      <c r="I1180" t="b">
        <f t="shared" si="18"/>
        <v>0</v>
      </c>
    </row>
    <row r="1181" spans="1:9" x14ac:dyDescent="0.2">
      <c r="A1181" t="s">
        <v>243</v>
      </c>
      <c r="B1181" t="s">
        <v>244</v>
      </c>
      <c r="C1181" t="s">
        <v>245</v>
      </c>
      <c r="D1181" t="s">
        <v>3</v>
      </c>
      <c r="E1181" t="s">
        <v>4</v>
      </c>
      <c r="F1181">
        <v>2788</v>
      </c>
      <c r="G1181">
        <v>760</v>
      </c>
      <c r="H1181" t="s">
        <v>13</v>
      </c>
      <c r="I1181" t="b">
        <f t="shared" si="18"/>
        <v>0</v>
      </c>
    </row>
    <row r="1182" spans="1:9" x14ac:dyDescent="0.2">
      <c r="A1182" t="s">
        <v>4848</v>
      </c>
      <c r="B1182" t="s">
        <v>4849</v>
      </c>
      <c r="C1182" t="s">
        <v>662</v>
      </c>
      <c r="D1182" t="s">
        <v>4850</v>
      </c>
      <c r="E1182" t="s">
        <v>4</v>
      </c>
      <c r="F1182">
        <v>768</v>
      </c>
      <c r="G1182">
        <v>499</v>
      </c>
      <c r="H1182" t="s">
        <v>13</v>
      </c>
      <c r="I1182" t="b">
        <f t="shared" si="18"/>
        <v>0</v>
      </c>
    </row>
    <row r="1183" spans="1:9" x14ac:dyDescent="0.2">
      <c r="A1183" t="s">
        <v>2961</v>
      </c>
      <c r="B1183" t="s">
        <v>2962</v>
      </c>
      <c r="C1183" t="s">
        <v>2028</v>
      </c>
      <c r="D1183" t="s">
        <v>2771</v>
      </c>
      <c r="E1183" t="s">
        <v>4</v>
      </c>
      <c r="F1183">
        <v>1323</v>
      </c>
      <c r="G1183">
        <v>1009</v>
      </c>
      <c r="H1183" t="s">
        <v>13</v>
      </c>
      <c r="I1183" t="b">
        <f t="shared" si="18"/>
        <v>0</v>
      </c>
    </row>
    <row r="1184" spans="1:9" x14ac:dyDescent="0.2">
      <c r="A1184" t="s">
        <v>677</v>
      </c>
      <c r="B1184" t="s">
        <v>678</v>
      </c>
      <c r="C1184" t="s">
        <v>679</v>
      </c>
      <c r="D1184" t="s">
        <v>680</v>
      </c>
      <c r="E1184" t="s">
        <v>4</v>
      </c>
      <c r="F1184">
        <v>51</v>
      </c>
      <c r="G1184">
        <v>152</v>
      </c>
      <c r="H1184" t="s">
        <v>13</v>
      </c>
      <c r="I1184" t="b">
        <f t="shared" si="18"/>
        <v>0</v>
      </c>
    </row>
    <row r="1185" spans="1:9" x14ac:dyDescent="0.2">
      <c r="A1185" t="s">
        <v>299</v>
      </c>
      <c r="B1185" t="s">
        <v>300</v>
      </c>
      <c r="C1185" t="s">
        <v>301</v>
      </c>
      <c r="D1185" t="s">
        <v>302</v>
      </c>
      <c r="E1185" t="s">
        <v>4</v>
      </c>
      <c r="F1185">
        <v>51</v>
      </c>
      <c r="G1185">
        <v>62</v>
      </c>
      <c r="H1185" t="s">
        <v>13</v>
      </c>
      <c r="I1185" t="b">
        <f t="shared" si="18"/>
        <v>1</v>
      </c>
    </row>
    <row r="1186" spans="1:9" x14ac:dyDescent="0.2">
      <c r="A1186" t="s">
        <v>908</v>
      </c>
      <c r="B1186" t="s">
        <v>909</v>
      </c>
      <c r="C1186" t="s">
        <v>301</v>
      </c>
      <c r="D1186" t="s">
        <v>302</v>
      </c>
      <c r="E1186" t="s">
        <v>4</v>
      </c>
      <c r="F1186">
        <v>51</v>
      </c>
      <c r="G1186">
        <v>62</v>
      </c>
      <c r="H1186" t="s">
        <v>13</v>
      </c>
      <c r="I1186" t="b">
        <f t="shared" si="18"/>
        <v>1</v>
      </c>
    </row>
    <row r="1187" spans="1:9" x14ac:dyDescent="0.2">
      <c r="A1187" t="s">
        <v>1589</v>
      </c>
      <c r="B1187" t="s">
        <v>1590</v>
      </c>
      <c r="C1187" t="s">
        <v>301</v>
      </c>
      <c r="D1187" t="s">
        <v>302</v>
      </c>
      <c r="E1187" t="s">
        <v>4</v>
      </c>
      <c r="F1187">
        <v>51</v>
      </c>
      <c r="G1187">
        <v>62</v>
      </c>
      <c r="H1187" t="s">
        <v>13</v>
      </c>
      <c r="I1187" t="b">
        <f t="shared" si="18"/>
        <v>1</v>
      </c>
    </row>
    <row r="1188" spans="1:9" x14ac:dyDescent="0.2">
      <c r="A1188" t="s">
        <v>3908</v>
      </c>
      <c r="B1188" t="s">
        <v>3909</v>
      </c>
      <c r="C1188" t="s">
        <v>301</v>
      </c>
      <c r="D1188" t="s">
        <v>302</v>
      </c>
      <c r="E1188" t="s">
        <v>4</v>
      </c>
      <c r="F1188">
        <v>51</v>
      </c>
      <c r="G1188">
        <v>62</v>
      </c>
      <c r="H1188" t="s">
        <v>13</v>
      </c>
      <c r="I1188" t="b">
        <f t="shared" si="18"/>
        <v>1</v>
      </c>
    </row>
    <row r="1189" spans="1:9" x14ac:dyDescent="0.2">
      <c r="A1189" t="s">
        <v>5348</v>
      </c>
      <c r="B1189" t="s">
        <v>5349</v>
      </c>
      <c r="C1189" t="s">
        <v>301</v>
      </c>
      <c r="D1189" t="s">
        <v>302</v>
      </c>
      <c r="E1189" t="s">
        <v>4</v>
      </c>
      <c r="F1189">
        <v>51</v>
      </c>
      <c r="G1189">
        <v>62</v>
      </c>
      <c r="H1189" t="s">
        <v>13</v>
      </c>
      <c r="I1189" t="b">
        <f t="shared" si="18"/>
        <v>1</v>
      </c>
    </row>
    <row r="1190" spans="1:9" x14ac:dyDescent="0.2">
      <c r="A1190" t="s">
        <v>4664</v>
      </c>
      <c r="B1190" t="s">
        <v>4665</v>
      </c>
      <c r="C1190" t="s">
        <v>301</v>
      </c>
      <c r="D1190" t="s">
        <v>302</v>
      </c>
      <c r="E1190" t="s">
        <v>4</v>
      </c>
      <c r="F1190">
        <v>51</v>
      </c>
      <c r="G1190">
        <v>62</v>
      </c>
      <c r="H1190" t="s">
        <v>13</v>
      </c>
      <c r="I1190" t="b">
        <f t="shared" si="18"/>
        <v>1</v>
      </c>
    </row>
    <row r="1191" spans="1:9" x14ac:dyDescent="0.2">
      <c r="A1191" t="s">
        <v>2336</v>
      </c>
      <c r="B1191" t="s">
        <v>2337</v>
      </c>
      <c r="C1191" t="s">
        <v>301</v>
      </c>
      <c r="D1191" t="s">
        <v>302</v>
      </c>
      <c r="E1191" t="s">
        <v>4</v>
      </c>
      <c r="F1191">
        <v>51</v>
      </c>
      <c r="G1191">
        <v>62</v>
      </c>
      <c r="H1191" t="s">
        <v>13</v>
      </c>
      <c r="I1191" t="b">
        <f t="shared" si="18"/>
        <v>1</v>
      </c>
    </row>
    <row r="1192" spans="1:9" x14ac:dyDescent="0.2">
      <c r="A1192" t="s">
        <v>6035</v>
      </c>
      <c r="B1192" t="s">
        <v>6036</v>
      </c>
      <c r="C1192" t="s">
        <v>301</v>
      </c>
      <c r="D1192" t="s">
        <v>302</v>
      </c>
      <c r="E1192" t="s">
        <v>4</v>
      </c>
      <c r="F1192">
        <v>51</v>
      </c>
      <c r="G1192">
        <v>62</v>
      </c>
      <c r="H1192" t="s">
        <v>13</v>
      </c>
      <c r="I1192" t="b">
        <f t="shared" si="18"/>
        <v>1</v>
      </c>
    </row>
    <row r="1193" spans="1:9" x14ac:dyDescent="0.2">
      <c r="A1193" t="s">
        <v>3108</v>
      </c>
      <c r="B1193" t="s">
        <v>3109</v>
      </c>
      <c r="C1193" t="s">
        <v>301</v>
      </c>
      <c r="D1193" t="s">
        <v>302</v>
      </c>
      <c r="E1193" t="s">
        <v>4</v>
      </c>
      <c r="F1193">
        <v>51</v>
      </c>
      <c r="G1193">
        <v>62</v>
      </c>
      <c r="H1193" t="s">
        <v>13</v>
      </c>
      <c r="I1193" t="b">
        <f t="shared" si="18"/>
        <v>1</v>
      </c>
    </row>
    <row r="1194" spans="1:9" x14ac:dyDescent="0.2">
      <c r="A1194" t="s">
        <v>6798</v>
      </c>
      <c r="B1194" t="s">
        <v>6799</v>
      </c>
      <c r="C1194" t="s">
        <v>301</v>
      </c>
      <c r="D1194" t="s">
        <v>302</v>
      </c>
      <c r="E1194" t="s">
        <v>4</v>
      </c>
      <c r="F1194">
        <v>51</v>
      </c>
      <c r="G1194">
        <v>62</v>
      </c>
      <c r="H1194" t="s">
        <v>13</v>
      </c>
      <c r="I1194" t="b">
        <f t="shared" si="18"/>
        <v>0</v>
      </c>
    </row>
    <row r="1195" spans="1:9" x14ac:dyDescent="0.2">
      <c r="A1195" t="s">
        <v>4500</v>
      </c>
      <c r="B1195" t="s">
        <v>4501</v>
      </c>
      <c r="C1195" t="s">
        <v>2738</v>
      </c>
      <c r="D1195" t="s">
        <v>4502</v>
      </c>
      <c r="E1195" t="s">
        <v>4</v>
      </c>
      <c r="F1195">
        <v>473</v>
      </c>
      <c r="G1195">
        <v>270</v>
      </c>
      <c r="H1195" t="s">
        <v>13</v>
      </c>
      <c r="I1195" t="b">
        <f t="shared" si="18"/>
        <v>0</v>
      </c>
    </row>
    <row r="1196" spans="1:9" x14ac:dyDescent="0.2">
      <c r="A1196" t="s">
        <v>1704</v>
      </c>
      <c r="B1196" t="s">
        <v>1705</v>
      </c>
      <c r="C1196" t="s">
        <v>1706</v>
      </c>
      <c r="D1196" t="s">
        <v>1255</v>
      </c>
      <c r="E1196" t="s">
        <v>4</v>
      </c>
      <c r="F1196">
        <v>0</v>
      </c>
      <c r="G1196">
        <v>12</v>
      </c>
      <c r="H1196" t="s">
        <v>13</v>
      </c>
      <c r="I1196" t="b">
        <f t="shared" si="18"/>
        <v>0</v>
      </c>
    </row>
    <row r="1197" spans="1:9" x14ac:dyDescent="0.2">
      <c r="A1197" t="s">
        <v>4623</v>
      </c>
      <c r="B1197" t="s">
        <v>4624</v>
      </c>
      <c r="C1197" t="s">
        <v>2665</v>
      </c>
      <c r="D1197" t="s">
        <v>2666</v>
      </c>
      <c r="E1197" t="s">
        <v>4</v>
      </c>
      <c r="F1197">
        <v>7</v>
      </c>
      <c r="G1197">
        <v>285</v>
      </c>
      <c r="H1197" t="s">
        <v>13</v>
      </c>
      <c r="I1197" t="b">
        <f t="shared" si="18"/>
        <v>0</v>
      </c>
    </row>
    <row r="1198" spans="1:9" x14ac:dyDescent="0.2">
      <c r="A1198" t="s">
        <v>3033</v>
      </c>
      <c r="B1198" t="s">
        <v>3034</v>
      </c>
      <c r="C1198" t="s">
        <v>3035</v>
      </c>
      <c r="D1198" t="s">
        <v>3</v>
      </c>
      <c r="E1198" t="s">
        <v>4</v>
      </c>
      <c r="F1198">
        <v>128</v>
      </c>
      <c r="G1198">
        <v>114</v>
      </c>
      <c r="H1198" t="s">
        <v>13</v>
      </c>
      <c r="I1198" t="b">
        <f t="shared" si="18"/>
        <v>1</v>
      </c>
    </row>
    <row r="1199" spans="1:9" x14ac:dyDescent="0.2">
      <c r="A1199" t="s">
        <v>4670</v>
      </c>
      <c r="B1199" t="s">
        <v>4671</v>
      </c>
      <c r="C1199" t="s">
        <v>3011</v>
      </c>
      <c r="D1199" t="s">
        <v>4672</v>
      </c>
      <c r="E1199" t="s">
        <v>4</v>
      </c>
      <c r="F1199">
        <v>1227</v>
      </c>
      <c r="G1199">
        <v>751</v>
      </c>
      <c r="H1199" t="s">
        <v>13</v>
      </c>
      <c r="I1199" t="b">
        <f t="shared" si="18"/>
        <v>0</v>
      </c>
    </row>
    <row r="1200" spans="1:9" x14ac:dyDescent="0.2">
      <c r="A1200" t="s">
        <v>2609</v>
      </c>
      <c r="B1200" t="s">
        <v>2610</v>
      </c>
      <c r="C1200" t="s">
        <v>2611</v>
      </c>
      <c r="D1200" t="s">
        <v>3</v>
      </c>
      <c r="E1200" t="s">
        <v>4</v>
      </c>
      <c r="F1200">
        <v>9646</v>
      </c>
      <c r="G1200">
        <v>45</v>
      </c>
      <c r="H1200" t="s">
        <v>13</v>
      </c>
      <c r="I1200" t="b">
        <f t="shared" si="18"/>
        <v>0</v>
      </c>
    </row>
    <row r="1201" spans="1:9" x14ac:dyDescent="0.2">
      <c r="A1201" t="s">
        <v>4591</v>
      </c>
      <c r="B1201" t="s">
        <v>4592</v>
      </c>
      <c r="C1201" t="s">
        <v>4593</v>
      </c>
      <c r="D1201" t="s">
        <v>4594</v>
      </c>
      <c r="E1201" t="s">
        <v>4</v>
      </c>
      <c r="F1201">
        <v>94</v>
      </c>
      <c r="G1201">
        <v>54</v>
      </c>
      <c r="H1201" t="s">
        <v>13</v>
      </c>
      <c r="I1201" t="b">
        <f t="shared" si="18"/>
        <v>0</v>
      </c>
    </row>
    <row r="1202" spans="1:9" x14ac:dyDescent="0.2">
      <c r="A1202" t="s">
        <v>1467</v>
      </c>
      <c r="B1202" t="s">
        <v>1468</v>
      </c>
      <c r="C1202" t="s">
        <v>1469</v>
      </c>
      <c r="D1202" t="s">
        <v>3</v>
      </c>
      <c r="E1202" t="s">
        <v>4</v>
      </c>
      <c r="F1202">
        <v>53</v>
      </c>
      <c r="G1202">
        <v>375</v>
      </c>
      <c r="H1202" t="s">
        <v>13</v>
      </c>
      <c r="I1202" t="b">
        <f t="shared" si="18"/>
        <v>0</v>
      </c>
    </row>
    <row r="1203" spans="1:9" x14ac:dyDescent="0.2">
      <c r="A1203" t="s">
        <v>3446</v>
      </c>
      <c r="B1203" t="s">
        <v>3447</v>
      </c>
      <c r="C1203" t="s">
        <v>3448</v>
      </c>
      <c r="D1203" t="s">
        <v>3449</v>
      </c>
      <c r="E1203" t="s">
        <v>4</v>
      </c>
      <c r="F1203">
        <v>84</v>
      </c>
      <c r="G1203">
        <v>316</v>
      </c>
      <c r="H1203" t="s">
        <v>13</v>
      </c>
      <c r="I1203" t="b">
        <f t="shared" si="18"/>
        <v>0</v>
      </c>
    </row>
    <row r="1204" spans="1:9" x14ac:dyDescent="0.2">
      <c r="A1204" t="s">
        <v>6499</v>
      </c>
      <c r="B1204" t="s">
        <v>6500</v>
      </c>
      <c r="C1204" t="s">
        <v>6501</v>
      </c>
      <c r="D1204" t="s">
        <v>3</v>
      </c>
      <c r="E1204" t="s">
        <v>4</v>
      </c>
      <c r="F1204">
        <v>35</v>
      </c>
      <c r="G1204">
        <v>52</v>
      </c>
      <c r="H1204" t="s">
        <v>13</v>
      </c>
      <c r="I1204" t="b">
        <f t="shared" si="18"/>
        <v>0</v>
      </c>
    </row>
    <row r="1205" spans="1:9" x14ac:dyDescent="0.2">
      <c r="A1205" t="s">
        <v>7204</v>
      </c>
      <c r="B1205" t="s">
        <v>7205</v>
      </c>
      <c r="C1205" t="s">
        <v>4617</v>
      </c>
      <c r="D1205" t="s">
        <v>3</v>
      </c>
      <c r="E1205" t="s">
        <v>4</v>
      </c>
      <c r="F1205">
        <v>171</v>
      </c>
      <c r="G1205">
        <v>351</v>
      </c>
      <c r="H1205" t="s">
        <v>13</v>
      </c>
      <c r="I1205" t="b">
        <f t="shared" si="18"/>
        <v>0</v>
      </c>
    </row>
    <row r="1206" spans="1:9" x14ac:dyDescent="0.2">
      <c r="A1206" t="s">
        <v>2818</v>
      </c>
      <c r="B1206" t="s">
        <v>2819</v>
      </c>
      <c r="C1206" t="s">
        <v>283</v>
      </c>
      <c r="D1206" t="s">
        <v>3</v>
      </c>
      <c r="E1206" t="s">
        <v>4</v>
      </c>
      <c r="F1206">
        <v>24</v>
      </c>
      <c r="G1206">
        <v>242</v>
      </c>
      <c r="H1206" t="s">
        <v>13</v>
      </c>
      <c r="I1206" t="b">
        <f t="shared" si="18"/>
        <v>0</v>
      </c>
    </row>
    <row r="1207" spans="1:9" x14ac:dyDescent="0.2">
      <c r="A1207" t="s">
        <v>2677</v>
      </c>
      <c r="B1207" t="s">
        <v>2678</v>
      </c>
      <c r="C1207" t="s">
        <v>2679</v>
      </c>
      <c r="D1207" t="s">
        <v>3</v>
      </c>
      <c r="E1207" t="s">
        <v>4</v>
      </c>
      <c r="F1207">
        <v>275</v>
      </c>
      <c r="G1207">
        <v>200</v>
      </c>
      <c r="H1207" t="s">
        <v>374</v>
      </c>
      <c r="I1207" t="b">
        <f t="shared" si="18"/>
        <v>0</v>
      </c>
    </row>
    <row r="1208" spans="1:9" x14ac:dyDescent="0.2">
      <c r="A1208" t="s">
        <v>4757</v>
      </c>
      <c r="B1208" t="s">
        <v>4758</v>
      </c>
      <c r="C1208" t="s">
        <v>4759</v>
      </c>
      <c r="D1208" t="s">
        <v>3</v>
      </c>
      <c r="E1208" t="s">
        <v>4</v>
      </c>
      <c r="F1208">
        <v>3182</v>
      </c>
      <c r="G1208">
        <v>4464</v>
      </c>
      <c r="H1208" t="s">
        <v>13</v>
      </c>
      <c r="I1208" t="b">
        <f t="shared" si="18"/>
        <v>0</v>
      </c>
    </row>
    <row r="1209" spans="1:9" x14ac:dyDescent="0.2">
      <c r="A1209" t="s">
        <v>2932</v>
      </c>
      <c r="B1209" t="s">
        <v>2933</v>
      </c>
      <c r="C1209" t="s">
        <v>2934</v>
      </c>
      <c r="D1209" t="s">
        <v>3</v>
      </c>
      <c r="E1209" t="s">
        <v>4</v>
      </c>
      <c r="F1209">
        <v>15</v>
      </c>
      <c r="G1209">
        <v>159</v>
      </c>
      <c r="H1209" t="s">
        <v>374</v>
      </c>
      <c r="I1209" t="b">
        <f t="shared" si="18"/>
        <v>0</v>
      </c>
    </row>
    <row r="1210" spans="1:9" x14ac:dyDescent="0.2">
      <c r="A1210" t="s">
        <v>2332</v>
      </c>
      <c r="B1210" t="s">
        <v>2333</v>
      </c>
      <c r="C1210" t="s">
        <v>2334</v>
      </c>
      <c r="D1210" t="s">
        <v>2335</v>
      </c>
      <c r="E1210" t="s">
        <v>4</v>
      </c>
      <c r="F1210">
        <v>120</v>
      </c>
      <c r="G1210">
        <v>140</v>
      </c>
      <c r="H1210" t="s">
        <v>13</v>
      </c>
      <c r="I1210" t="b">
        <f t="shared" si="18"/>
        <v>0</v>
      </c>
    </row>
    <row r="1211" spans="1:9" x14ac:dyDescent="0.2">
      <c r="A1211" t="s">
        <v>2644</v>
      </c>
      <c r="B1211" t="s">
        <v>2645</v>
      </c>
      <c r="C1211" t="s">
        <v>2646</v>
      </c>
      <c r="D1211" t="s">
        <v>2647</v>
      </c>
      <c r="E1211" t="s">
        <v>4</v>
      </c>
      <c r="F1211">
        <v>312</v>
      </c>
      <c r="G1211">
        <v>182</v>
      </c>
      <c r="H1211" t="s">
        <v>13</v>
      </c>
      <c r="I1211" t="b">
        <f t="shared" si="18"/>
        <v>0</v>
      </c>
    </row>
    <row r="1212" spans="1:9" x14ac:dyDescent="0.2">
      <c r="A1212" t="s">
        <v>3294</v>
      </c>
      <c r="B1212" t="s">
        <v>3295</v>
      </c>
      <c r="C1212" t="s">
        <v>2942</v>
      </c>
      <c r="D1212" t="s">
        <v>3296</v>
      </c>
      <c r="E1212" t="s">
        <v>4</v>
      </c>
      <c r="F1212">
        <v>266</v>
      </c>
      <c r="G1212">
        <v>687</v>
      </c>
      <c r="H1212" t="s">
        <v>13</v>
      </c>
      <c r="I1212" t="b">
        <f t="shared" si="18"/>
        <v>0</v>
      </c>
    </row>
    <row r="1213" spans="1:9" x14ac:dyDescent="0.2">
      <c r="A1213" t="s">
        <v>6682</v>
      </c>
      <c r="B1213" t="s">
        <v>6683</v>
      </c>
      <c r="C1213" t="s">
        <v>2212</v>
      </c>
      <c r="D1213" t="s">
        <v>6684</v>
      </c>
      <c r="E1213" t="s">
        <v>4</v>
      </c>
      <c r="F1213">
        <v>9</v>
      </c>
      <c r="G1213">
        <v>8</v>
      </c>
      <c r="H1213" t="s">
        <v>13</v>
      </c>
      <c r="I1213" t="b">
        <f t="shared" si="18"/>
        <v>1</v>
      </c>
    </row>
    <row r="1214" spans="1:9" x14ac:dyDescent="0.2">
      <c r="A1214" t="s">
        <v>6697</v>
      </c>
      <c r="B1214" t="s">
        <v>6698</v>
      </c>
      <c r="C1214" t="s">
        <v>2212</v>
      </c>
      <c r="D1214" t="s">
        <v>6684</v>
      </c>
      <c r="E1214" t="s">
        <v>4</v>
      </c>
      <c r="F1214">
        <v>9</v>
      </c>
      <c r="G1214">
        <v>8</v>
      </c>
      <c r="H1214" t="s">
        <v>13</v>
      </c>
      <c r="I1214" t="b">
        <f t="shared" si="18"/>
        <v>0</v>
      </c>
    </row>
    <row r="1215" spans="1:9" x14ac:dyDescent="0.2">
      <c r="A1215" t="s">
        <v>4436</v>
      </c>
      <c r="B1215" t="s">
        <v>4437</v>
      </c>
      <c r="C1215" t="s">
        <v>4438</v>
      </c>
      <c r="D1215" t="s">
        <v>1376</v>
      </c>
      <c r="E1215" t="s">
        <v>4</v>
      </c>
      <c r="F1215">
        <v>144</v>
      </c>
      <c r="G1215">
        <v>539</v>
      </c>
      <c r="H1215" t="s">
        <v>13</v>
      </c>
      <c r="I1215" t="b">
        <f t="shared" si="18"/>
        <v>0</v>
      </c>
    </row>
    <row r="1216" spans="1:9" x14ac:dyDescent="0.2">
      <c r="A1216" t="s">
        <v>3317</v>
      </c>
      <c r="B1216" t="s">
        <v>3318</v>
      </c>
      <c r="C1216" t="s">
        <v>3319</v>
      </c>
      <c r="D1216" t="s">
        <v>3320</v>
      </c>
      <c r="E1216" t="s">
        <v>4</v>
      </c>
      <c r="F1216">
        <v>187</v>
      </c>
      <c r="G1216">
        <v>530</v>
      </c>
      <c r="H1216" t="s">
        <v>13</v>
      </c>
      <c r="I1216" t="b">
        <f t="shared" si="18"/>
        <v>0</v>
      </c>
    </row>
    <row r="1217" spans="1:9" x14ac:dyDescent="0.2">
      <c r="A1217" t="s">
        <v>2363</v>
      </c>
      <c r="B1217" t="s">
        <v>2364</v>
      </c>
      <c r="C1217" t="s">
        <v>309</v>
      </c>
      <c r="D1217" t="s">
        <v>3</v>
      </c>
      <c r="E1217" t="s">
        <v>4</v>
      </c>
      <c r="F1217">
        <v>118</v>
      </c>
      <c r="G1217">
        <v>110</v>
      </c>
      <c r="H1217" t="s">
        <v>76</v>
      </c>
      <c r="I1217" t="b">
        <f t="shared" si="18"/>
        <v>0</v>
      </c>
    </row>
    <row r="1218" spans="1:9" x14ac:dyDescent="0.2">
      <c r="A1218" t="s">
        <v>360</v>
      </c>
      <c r="B1218" t="s">
        <v>361</v>
      </c>
      <c r="C1218" t="s">
        <v>362</v>
      </c>
      <c r="D1218" t="s">
        <v>3</v>
      </c>
      <c r="E1218" t="s">
        <v>4</v>
      </c>
      <c r="F1218">
        <v>6</v>
      </c>
      <c r="G1218">
        <v>91</v>
      </c>
      <c r="H1218" t="s">
        <v>363</v>
      </c>
      <c r="I1218" t="b">
        <f t="shared" si="18"/>
        <v>0</v>
      </c>
    </row>
    <row r="1219" spans="1:9" x14ac:dyDescent="0.2">
      <c r="A1219" t="s">
        <v>4563</v>
      </c>
      <c r="B1219" t="s">
        <v>4564</v>
      </c>
      <c r="C1219" t="s">
        <v>3733</v>
      </c>
      <c r="D1219" t="s">
        <v>1347</v>
      </c>
      <c r="E1219" t="s">
        <v>4</v>
      </c>
      <c r="F1219">
        <v>170</v>
      </c>
      <c r="G1219">
        <v>1093</v>
      </c>
      <c r="H1219" t="s">
        <v>13</v>
      </c>
      <c r="I1219" t="b">
        <f t="shared" ref="I1219:I1282" si="19">isDup(B1219, B1220, 0.7)</f>
        <v>0</v>
      </c>
    </row>
    <row r="1220" spans="1:9" x14ac:dyDescent="0.2">
      <c r="A1220" t="s">
        <v>5922</v>
      </c>
      <c r="B1220" t="s">
        <v>5923</v>
      </c>
      <c r="C1220" t="s">
        <v>5924</v>
      </c>
      <c r="D1220" t="s">
        <v>3</v>
      </c>
      <c r="E1220" t="s">
        <v>4</v>
      </c>
      <c r="F1220">
        <v>82</v>
      </c>
      <c r="G1220">
        <v>569</v>
      </c>
      <c r="H1220" t="s">
        <v>13</v>
      </c>
      <c r="I1220" t="b">
        <f t="shared" si="19"/>
        <v>0</v>
      </c>
    </row>
    <row r="1221" spans="1:9" x14ac:dyDescent="0.2">
      <c r="A1221" t="s">
        <v>3042</v>
      </c>
      <c r="B1221" t="s">
        <v>3043</v>
      </c>
      <c r="C1221" t="s">
        <v>895</v>
      </c>
      <c r="D1221" t="s">
        <v>3044</v>
      </c>
      <c r="E1221" t="s">
        <v>4</v>
      </c>
      <c r="F1221">
        <v>79</v>
      </c>
      <c r="G1221">
        <v>543</v>
      </c>
      <c r="H1221" t="s">
        <v>13</v>
      </c>
      <c r="I1221" t="b">
        <f t="shared" si="19"/>
        <v>0</v>
      </c>
    </row>
    <row r="1222" spans="1:9" x14ac:dyDescent="0.2">
      <c r="A1222" t="s">
        <v>2816</v>
      </c>
      <c r="B1222" t="s">
        <v>2817</v>
      </c>
      <c r="C1222" t="s">
        <v>568</v>
      </c>
      <c r="D1222" t="s">
        <v>64</v>
      </c>
      <c r="E1222" t="s">
        <v>4</v>
      </c>
      <c r="F1222">
        <v>42</v>
      </c>
      <c r="G1222">
        <v>209</v>
      </c>
      <c r="H1222" t="s">
        <v>13</v>
      </c>
      <c r="I1222" t="b">
        <f t="shared" si="19"/>
        <v>0</v>
      </c>
    </row>
    <row r="1223" spans="1:9" x14ac:dyDescent="0.2">
      <c r="A1223" t="s">
        <v>354</v>
      </c>
      <c r="B1223" t="s">
        <v>355</v>
      </c>
      <c r="C1223" t="s">
        <v>283</v>
      </c>
      <c r="D1223" t="s">
        <v>3</v>
      </c>
      <c r="E1223" t="s">
        <v>4</v>
      </c>
      <c r="F1223">
        <v>22</v>
      </c>
      <c r="G1223">
        <v>240</v>
      </c>
      <c r="H1223" t="s">
        <v>13</v>
      </c>
      <c r="I1223" t="b">
        <f t="shared" si="19"/>
        <v>0</v>
      </c>
    </row>
    <row r="1224" spans="1:9" x14ac:dyDescent="0.2">
      <c r="A1224" t="s">
        <v>6685</v>
      </c>
      <c r="B1224" t="s">
        <v>6686</v>
      </c>
      <c r="C1224" t="s">
        <v>1254</v>
      </c>
      <c r="D1224" t="s">
        <v>326</v>
      </c>
      <c r="E1224" t="s">
        <v>4</v>
      </c>
      <c r="F1224">
        <v>55</v>
      </c>
      <c r="G1224">
        <v>305</v>
      </c>
      <c r="H1224" t="s">
        <v>13</v>
      </c>
      <c r="I1224" t="b">
        <f t="shared" si="19"/>
        <v>0</v>
      </c>
    </row>
    <row r="1225" spans="1:9" x14ac:dyDescent="0.2">
      <c r="A1225" t="s">
        <v>2509</v>
      </c>
      <c r="B1225" t="s">
        <v>2510</v>
      </c>
      <c r="C1225" t="s">
        <v>1991</v>
      </c>
      <c r="D1225" t="s">
        <v>2511</v>
      </c>
      <c r="E1225" t="s">
        <v>4</v>
      </c>
      <c r="F1225">
        <v>191</v>
      </c>
      <c r="G1225">
        <v>648</v>
      </c>
      <c r="H1225" t="s">
        <v>13</v>
      </c>
      <c r="I1225" t="b">
        <f t="shared" si="19"/>
        <v>0</v>
      </c>
    </row>
    <row r="1226" spans="1:9" x14ac:dyDescent="0.2">
      <c r="A1226" t="s">
        <v>4318</v>
      </c>
      <c r="B1226" t="s">
        <v>4319</v>
      </c>
      <c r="C1226" t="s">
        <v>2395</v>
      </c>
      <c r="D1226" t="s">
        <v>3</v>
      </c>
      <c r="E1226" t="s">
        <v>4</v>
      </c>
      <c r="F1226">
        <v>123</v>
      </c>
      <c r="G1226">
        <v>235</v>
      </c>
      <c r="H1226" t="s">
        <v>13</v>
      </c>
      <c r="I1226" t="b">
        <f t="shared" si="19"/>
        <v>0</v>
      </c>
    </row>
    <row r="1227" spans="1:9" x14ac:dyDescent="0.2">
      <c r="A1227" t="s">
        <v>6400</v>
      </c>
      <c r="B1227" t="s">
        <v>6401</v>
      </c>
      <c r="C1227" t="s">
        <v>6402</v>
      </c>
      <c r="D1227" t="s">
        <v>6403</v>
      </c>
      <c r="E1227" t="s">
        <v>4</v>
      </c>
      <c r="F1227">
        <v>321</v>
      </c>
      <c r="G1227">
        <v>58</v>
      </c>
      <c r="H1227" t="s">
        <v>13</v>
      </c>
      <c r="I1227" t="b">
        <f t="shared" si="19"/>
        <v>0</v>
      </c>
    </row>
    <row r="1228" spans="1:9" x14ac:dyDescent="0.2">
      <c r="A1228" t="s">
        <v>6386</v>
      </c>
      <c r="B1228" t="s">
        <v>6387</v>
      </c>
      <c r="C1228" t="s">
        <v>873</v>
      </c>
      <c r="D1228" t="s">
        <v>6388</v>
      </c>
      <c r="E1228" t="s">
        <v>4</v>
      </c>
      <c r="F1228">
        <v>77</v>
      </c>
      <c r="G1228">
        <v>146</v>
      </c>
      <c r="H1228" t="s">
        <v>13</v>
      </c>
      <c r="I1228" t="b">
        <f t="shared" si="19"/>
        <v>0</v>
      </c>
    </row>
    <row r="1229" spans="1:9" x14ac:dyDescent="0.2">
      <c r="A1229" t="s">
        <v>1390</v>
      </c>
      <c r="B1229" t="s">
        <v>1391</v>
      </c>
      <c r="C1229" t="s">
        <v>1392</v>
      </c>
      <c r="D1229" t="s">
        <v>3</v>
      </c>
      <c r="E1229" t="s">
        <v>4</v>
      </c>
      <c r="F1229">
        <v>10</v>
      </c>
      <c r="G1229">
        <v>23</v>
      </c>
      <c r="H1229" t="s">
        <v>13</v>
      </c>
      <c r="I1229" t="b">
        <f t="shared" si="19"/>
        <v>0</v>
      </c>
    </row>
    <row r="1230" spans="1:9" x14ac:dyDescent="0.2">
      <c r="A1230" t="s">
        <v>1983</v>
      </c>
      <c r="B1230" t="s">
        <v>1984</v>
      </c>
      <c r="C1230" t="s">
        <v>1985</v>
      </c>
      <c r="D1230" t="s">
        <v>3</v>
      </c>
      <c r="E1230" t="s">
        <v>4</v>
      </c>
      <c r="F1230">
        <v>65</v>
      </c>
      <c r="G1230">
        <v>81</v>
      </c>
      <c r="H1230" t="s">
        <v>13</v>
      </c>
      <c r="I1230" t="b">
        <f t="shared" si="19"/>
        <v>0</v>
      </c>
    </row>
    <row r="1231" spans="1:9" x14ac:dyDescent="0.2">
      <c r="A1231" t="s">
        <v>5374</v>
      </c>
      <c r="B1231" t="s">
        <v>5375</v>
      </c>
      <c r="C1231" t="s">
        <v>5376</v>
      </c>
      <c r="D1231" t="s">
        <v>3</v>
      </c>
      <c r="E1231" t="s">
        <v>4</v>
      </c>
      <c r="F1231">
        <v>403</v>
      </c>
      <c r="G1231">
        <v>746</v>
      </c>
      <c r="H1231" t="s">
        <v>13</v>
      </c>
      <c r="I1231" t="b">
        <f t="shared" si="19"/>
        <v>0</v>
      </c>
    </row>
    <row r="1232" spans="1:9" x14ac:dyDescent="0.2">
      <c r="A1232" t="s">
        <v>5456</v>
      </c>
      <c r="B1232" t="s">
        <v>5457</v>
      </c>
      <c r="C1232" t="s">
        <v>5458</v>
      </c>
      <c r="D1232" t="s">
        <v>5459</v>
      </c>
      <c r="E1232" t="s">
        <v>4</v>
      </c>
      <c r="F1232">
        <v>192</v>
      </c>
      <c r="G1232">
        <v>198</v>
      </c>
      <c r="H1232" t="s">
        <v>13</v>
      </c>
      <c r="I1232" t="b">
        <f t="shared" si="19"/>
        <v>0</v>
      </c>
    </row>
    <row r="1233" spans="1:9" x14ac:dyDescent="0.2">
      <c r="A1233" t="s">
        <v>5165</v>
      </c>
      <c r="B1233" t="s">
        <v>5166</v>
      </c>
      <c r="C1233" t="s">
        <v>5167</v>
      </c>
      <c r="D1233" t="s">
        <v>4817</v>
      </c>
      <c r="E1233" t="s">
        <v>4</v>
      </c>
      <c r="F1233">
        <v>3</v>
      </c>
      <c r="G1233">
        <v>30</v>
      </c>
      <c r="H1233" t="s">
        <v>13</v>
      </c>
      <c r="I1233" t="b">
        <f t="shared" si="19"/>
        <v>0</v>
      </c>
    </row>
    <row r="1234" spans="1:9" x14ac:dyDescent="0.2">
      <c r="A1234" t="s">
        <v>1667</v>
      </c>
      <c r="B1234" t="s">
        <v>1668</v>
      </c>
      <c r="C1234" t="s">
        <v>1669</v>
      </c>
      <c r="D1234" t="s">
        <v>1670</v>
      </c>
      <c r="E1234" t="s">
        <v>4</v>
      </c>
      <c r="F1234">
        <v>105</v>
      </c>
      <c r="G1234">
        <v>178</v>
      </c>
      <c r="H1234" t="s">
        <v>13</v>
      </c>
      <c r="I1234" t="b">
        <f t="shared" si="19"/>
        <v>0</v>
      </c>
    </row>
    <row r="1235" spans="1:9" x14ac:dyDescent="0.2">
      <c r="A1235" t="s">
        <v>5426</v>
      </c>
      <c r="B1235" t="s">
        <v>5427</v>
      </c>
      <c r="C1235" t="s">
        <v>3635</v>
      </c>
      <c r="D1235" t="s">
        <v>5428</v>
      </c>
      <c r="E1235" t="s">
        <v>4</v>
      </c>
      <c r="F1235">
        <v>4248</v>
      </c>
      <c r="G1235">
        <v>1721</v>
      </c>
      <c r="H1235" t="s">
        <v>13</v>
      </c>
      <c r="I1235" t="b">
        <f t="shared" si="19"/>
        <v>0</v>
      </c>
    </row>
    <row r="1236" spans="1:9" x14ac:dyDescent="0.2">
      <c r="A1236" t="s">
        <v>6295</v>
      </c>
      <c r="B1236" t="s">
        <v>6296</v>
      </c>
      <c r="C1236" t="s">
        <v>6297</v>
      </c>
      <c r="D1236" t="s">
        <v>550</v>
      </c>
      <c r="E1236" t="s">
        <v>4</v>
      </c>
      <c r="F1236">
        <v>1594</v>
      </c>
      <c r="G1236">
        <v>2660</v>
      </c>
      <c r="H1236" t="s">
        <v>13</v>
      </c>
      <c r="I1236" t="b">
        <f t="shared" si="19"/>
        <v>0</v>
      </c>
    </row>
    <row r="1237" spans="1:9" x14ac:dyDescent="0.2">
      <c r="A1237" t="s">
        <v>6740</v>
      </c>
      <c r="B1237" t="s">
        <v>6741</v>
      </c>
      <c r="C1237" t="s">
        <v>6742</v>
      </c>
      <c r="D1237" t="s">
        <v>6743</v>
      </c>
      <c r="E1237" t="s">
        <v>4</v>
      </c>
      <c r="F1237">
        <v>98</v>
      </c>
      <c r="G1237">
        <v>159</v>
      </c>
      <c r="H1237" t="s">
        <v>13</v>
      </c>
      <c r="I1237" t="b">
        <f t="shared" si="19"/>
        <v>0</v>
      </c>
    </row>
    <row r="1238" spans="1:9" x14ac:dyDescent="0.2">
      <c r="A1238" t="s">
        <v>256</v>
      </c>
      <c r="B1238" t="s">
        <v>257</v>
      </c>
      <c r="C1238" t="s">
        <v>258</v>
      </c>
      <c r="D1238" t="s">
        <v>259</v>
      </c>
      <c r="E1238" t="s">
        <v>4</v>
      </c>
      <c r="F1238">
        <v>46</v>
      </c>
      <c r="G1238">
        <v>126</v>
      </c>
      <c r="H1238" t="s">
        <v>13</v>
      </c>
      <c r="I1238" t="b">
        <f t="shared" si="19"/>
        <v>0</v>
      </c>
    </row>
    <row r="1239" spans="1:9" x14ac:dyDescent="0.2">
      <c r="A1239" t="s">
        <v>5147</v>
      </c>
      <c r="B1239" t="s">
        <v>5148</v>
      </c>
      <c r="C1239" t="s">
        <v>1499</v>
      </c>
      <c r="D1239" t="s">
        <v>3</v>
      </c>
      <c r="E1239" t="s">
        <v>4</v>
      </c>
      <c r="F1239">
        <v>64</v>
      </c>
      <c r="G1239">
        <v>71</v>
      </c>
      <c r="H1239" t="s">
        <v>13</v>
      </c>
      <c r="I1239" t="b">
        <f t="shared" si="19"/>
        <v>0</v>
      </c>
    </row>
    <row r="1240" spans="1:9" x14ac:dyDescent="0.2">
      <c r="A1240" t="s">
        <v>2365</v>
      </c>
      <c r="B1240" t="s">
        <v>2366</v>
      </c>
      <c r="C1240" t="s">
        <v>2367</v>
      </c>
      <c r="D1240" t="s">
        <v>3</v>
      </c>
      <c r="E1240" t="s">
        <v>4</v>
      </c>
      <c r="F1240">
        <v>222</v>
      </c>
      <c r="G1240">
        <v>224</v>
      </c>
      <c r="H1240" t="s">
        <v>13</v>
      </c>
      <c r="I1240" t="b">
        <f t="shared" si="19"/>
        <v>0</v>
      </c>
    </row>
    <row r="1241" spans="1:9" x14ac:dyDescent="0.2">
      <c r="A1241" t="s">
        <v>4742</v>
      </c>
      <c r="B1241" t="s">
        <v>4743</v>
      </c>
      <c r="C1241" t="s">
        <v>3769</v>
      </c>
      <c r="D1241" t="s">
        <v>64</v>
      </c>
      <c r="E1241" t="s">
        <v>4</v>
      </c>
      <c r="F1241">
        <v>162</v>
      </c>
      <c r="G1241">
        <v>362</v>
      </c>
      <c r="H1241" t="s">
        <v>13</v>
      </c>
      <c r="I1241" t="b">
        <f t="shared" si="19"/>
        <v>0</v>
      </c>
    </row>
    <row r="1242" spans="1:9" x14ac:dyDescent="0.2">
      <c r="A1242" t="s">
        <v>2579</v>
      </c>
      <c r="B1242" t="s">
        <v>2580</v>
      </c>
      <c r="C1242" t="s">
        <v>2581</v>
      </c>
      <c r="D1242" t="s">
        <v>320</v>
      </c>
      <c r="E1242" t="s">
        <v>4</v>
      </c>
      <c r="F1242">
        <v>159</v>
      </c>
      <c r="G1242">
        <v>122</v>
      </c>
      <c r="H1242" t="s">
        <v>13</v>
      </c>
      <c r="I1242" t="b">
        <f t="shared" si="19"/>
        <v>0</v>
      </c>
    </row>
    <row r="1243" spans="1:9" x14ac:dyDescent="0.2">
      <c r="A1243" t="s">
        <v>3450</v>
      </c>
      <c r="B1243" t="s">
        <v>3452</v>
      </c>
      <c r="C1243" t="s">
        <v>1572</v>
      </c>
      <c r="D1243" t="s">
        <v>3453</v>
      </c>
      <c r="E1243" t="s">
        <v>4</v>
      </c>
      <c r="F1243">
        <v>183</v>
      </c>
      <c r="G1243">
        <v>358</v>
      </c>
      <c r="H1243" t="s">
        <v>13</v>
      </c>
      <c r="I1243" t="b">
        <f t="shared" si="19"/>
        <v>0</v>
      </c>
    </row>
    <row r="1244" spans="1:9" x14ac:dyDescent="0.2">
      <c r="A1244" t="s">
        <v>5279</v>
      </c>
      <c r="B1244" t="s">
        <v>5280</v>
      </c>
      <c r="C1244" t="s">
        <v>5281</v>
      </c>
      <c r="D1244" t="s">
        <v>1027</v>
      </c>
      <c r="E1244" t="s">
        <v>4</v>
      </c>
      <c r="F1244">
        <v>6</v>
      </c>
      <c r="G1244">
        <v>36</v>
      </c>
      <c r="H1244" t="s">
        <v>13</v>
      </c>
      <c r="I1244" t="b">
        <f t="shared" si="19"/>
        <v>0</v>
      </c>
    </row>
    <row r="1245" spans="1:9" x14ac:dyDescent="0.2">
      <c r="A1245" t="s">
        <v>535</v>
      </c>
      <c r="B1245" t="s">
        <v>536</v>
      </c>
      <c r="C1245" t="s">
        <v>537</v>
      </c>
      <c r="D1245" t="s">
        <v>538</v>
      </c>
      <c r="E1245" t="s">
        <v>4</v>
      </c>
      <c r="F1245">
        <v>543</v>
      </c>
      <c r="G1245">
        <v>179</v>
      </c>
      <c r="H1245" t="s">
        <v>13</v>
      </c>
      <c r="I1245" t="b">
        <f t="shared" si="19"/>
        <v>0</v>
      </c>
    </row>
    <row r="1246" spans="1:9" x14ac:dyDescent="0.2">
      <c r="A1246" t="s">
        <v>2547</v>
      </c>
      <c r="B1246" t="s">
        <v>2548</v>
      </c>
      <c r="C1246" t="s">
        <v>2549</v>
      </c>
      <c r="D1246" t="s">
        <v>2550</v>
      </c>
      <c r="E1246" t="s">
        <v>4</v>
      </c>
      <c r="F1246">
        <v>34</v>
      </c>
      <c r="G1246">
        <v>70</v>
      </c>
      <c r="H1246" t="s">
        <v>13</v>
      </c>
      <c r="I1246" t="b">
        <f t="shared" si="19"/>
        <v>0</v>
      </c>
    </row>
    <row r="1247" spans="1:9" x14ac:dyDescent="0.2">
      <c r="A1247" t="s">
        <v>6406</v>
      </c>
      <c r="B1247" t="s">
        <v>6407</v>
      </c>
      <c r="C1247" t="s">
        <v>6408</v>
      </c>
      <c r="D1247" t="s">
        <v>6409</v>
      </c>
      <c r="E1247" t="s">
        <v>4</v>
      </c>
      <c r="F1247">
        <v>28</v>
      </c>
      <c r="G1247">
        <v>188</v>
      </c>
      <c r="H1247" t="s">
        <v>13</v>
      </c>
      <c r="I1247" t="b">
        <f t="shared" si="19"/>
        <v>0</v>
      </c>
    </row>
    <row r="1248" spans="1:9" x14ac:dyDescent="0.2">
      <c r="A1248" t="s">
        <v>3359</v>
      </c>
      <c r="B1248" t="s">
        <v>3360</v>
      </c>
      <c r="C1248" t="s">
        <v>513</v>
      </c>
      <c r="D1248" t="s">
        <v>3361</v>
      </c>
      <c r="E1248" t="s">
        <v>4</v>
      </c>
      <c r="F1248">
        <v>326</v>
      </c>
      <c r="G1248">
        <v>393</v>
      </c>
      <c r="H1248" t="s">
        <v>13</v>
      </c>
      <c r="I1248" t="b">
        <f t="shared" si="19"/>
        <v>1</v>
      </c>
    </row>
    <row r="1249" spans="1:9" x14ac:dyDescent="0.2">
      <c r="A1249" t="s">
        <v>7184</v>
      </c>
      <c r="B1249" t="s">
        <v>7185</v>
      </c>
      <c r="C1249" t="s">
        <v>1947</v>
      </c>
      <c r="D1249" t="s">
        <v>7186</v>
      </c>
      <c r="E1249" t="s">
        <v>4</v>
      </c>
      <c r="F1249">
        <v>942</v>
      </c>
      <c r="G1249">
        <v>1121</v>
      </c>
      <c r="H1249" t="s">
        <v>13</v>
      </c>
      <c r="I1249" t="b">
        <f t="shared" si="19"/>
        <v>0</v>
      </c>
    </row>
    <row r="1250" spans="1:9" x14ac:dyDescent="0.2">
      <c r="A1250" t="s">
        <v>1014</v>
      </c>
      <c r="B1250" t="s">
        <v>1015</v>
      </c>
      <c r="C1250" t="s">
        <v>1016</v>
      </c>
      <c r="D1250" t="s">
        <v>3</v>
      </c>
      <c r="E1250" t="s">
        <v>4</v>
      </c>
      <c r="F1250">
        <v>57</v>
      </c>
      <c r="G1250">
        <v>45</v>
      </c>
      <c r="H1250" t="s">
        <v>13</v>
      </c>
      <c r="I1250" t="b">
        <f t="shared" si="19"/>
        <v>0</v>
      </c>
    </row>
    <row r="1251" spans="1:9" x14ac:dyDescent="0.2">
      <c r="A1251" t="s">
        <v>4009</v>
      </c>
      <c r="B1251" t="s">
        <v>4010</v>
      </c>
      <c r="C1251" t="s">
        <v>4011</v>
      </c>
      <c r="D1251" t="s">
        <v>3</v>
      </c>
      <c r="E1251" t="s">
        <v>4</v>
      </c>
      <c r="F1251">
        <v>1</v>
      </c>
      <c r="G1251">
        <v>1</v>
      </c>
      <c r="H1251" t="s">
        <v>13</v>
      </c>
      <c r="I1251" t="b">
        <f t="shared" si="19"/>
        <v>0</v>
      </c>
    </row>
    <row r="1252" spans="1:9" x14ac:dyDescent="0.2">
      <c r="A1252" t="s">
        <v>1458</v>
      </c>
      <c r="B1252" t="s">
        <v>1459</v>
      </c>
      <c r="C1252" t="s">
        <v>1460</v>
      </c>
      <c r="D1252" t="s">
        <v>403</v>
      </c>
      <c r="E1252" t="s">
        <v>4</v>
      </c>
      <c r="F1252">
        <v>547</v>
      </c>
      <c r="G1252">
        <v>720</v>
      </c>
      <c r="H1252" t="s">
        <v>13</v>
      </c>
      <c r="I1252" t="b">
        <f t="shared" si="19"/>
        <v>0</v>
      </c>
    </row>
    <row r="1253" spans="1:9" x14ac:dyDescent="0.2">
      <c r="A1253" t="s">
        <v>135</v>
      </c>
      <c r="B1253" t="s">
        <v>136</v>
      </c>
      <c r="C1253" t="s">
        <v>137</v>
      </c>
      <c r="D1253" t="s">
        <v>3</v>
      </c>
      <c r="E1253" t="s">
        <v>4</v>
      </c>
      <c r="F1253">
        <v>6</v>
      </c>
      <c r="G1253">
        <v>45</v>
      </c>
      <c r="H1253" t="s">
        <v>13</v>
      </c>
      <c r="I1253" t="b">
        <f t="shared" si="19"/>
        <v>1</v>
      </c>
    </row>
    <row r="1254" spans="1:9" x14ac:dyDescent="0.2">
      <c r="A1254" t="s">
        <v>5539</v>
      </c>
      <c r="B1254" t="s">
        <v>5540</v>
      </c>
      <c r="C1254" t="s">
        <v>1572</v>
      </c>
      <c r="D1254" t="s">
        <v>5541</v>
      </c>
      <c r="E1254" t="s">
        <v>4</v>
      </c>
      <c r="F1254">
        <v>137</v>
      </c>
      <c r="G1254">
        <v>404</v>
      </c>
      <c r="H1254" t="s">
        <v>13</v>
      </c>
      <c r="I1254" t="b">
        <f t="shared" si="19"/>
        <v>0</v>
      </c>
    </row>
    <row r="1255" spans="1:9" x14ac:dyDescent="0.2">
      <c r="A1255" t="s">
        <v>4140</v>
      </c>
      <c r="B1255" t="s">
        <v>4141</v>
      </c>
      <c r="C1255" t="s">
        <v>4142</v>
      </c>
      <c r="D1255" t="s">
        <v>4143</v>
      </c>
      <c r="E1255" t="s">
        <v>4</v>
      </c>
      <c r="F1255">
        <v>1</v>
      </c>
      <c r="G1255">
        <v>7</v>
      </c>
      <c r="H1255" t="s">
        <v>1584</v>
      </c>
      <c r="I1255" t="b">
        <f t="shared" si="19"/>
        <v>0</v>
      </c>
    </row>
    <row r="1256" spans="1:9" x14ac:dyDescent="0.2">
      <c r="A1256" t="s">
        <v>4329</v>
      </c>
      <c r="B1256" t="s">
        <v>4333</v>
      </c>
      <c r="C1256" t="s">
        <v>4114</v>
      </c>
      <c r="D1256" t="s">
        <v>3</v>
      </c>
      <c r="E1256" t="s">
        <v>4</v>
      </c>
      <c r="F1256">
        <v>9</v>
      </c>
      <c r="G1256">
        <v>57</v>
      </c>
      <c r="H1256" t="s">
        <v>13</v>
      </c>
      <c r="I1256" t="b">
        <f t="shared" si="19"/>
        <v>0</v>
      </c>
    </row>
    <row r="1257" spans="1:9" x14ac:dyDescent="0.2">
      <c r="A1257" t="s">
        <v>6654</v>
      </c>
      <c r="B1257" t="s">
        <v>6655</v>
      </c>
      <c r="C1257" t="s">
        <v>459</v>
      </c>
      <c r="D1257" t="s">
        <v>216</v>
      </c>
      <c r="E1257" t="s">
        <v>4</v>
      </c>
      <c r="F1257">
        <v>178</v>
      </c>
      <c r="G1257">
        <v>135</v>
      </c>
      <c r="H1257" t="s">
        <v>13</v>
      </c>
      <c r="I1257" t="b">
        <f t="shared" si="19"/>
        <v>0</v>
      </c>
    </row>
    <row r="1258" spans="1:9" x14ac:dyDescent="0.2">
      <c r="A1258" t="s">
        <v>5531</v>
      </c>
      <c r="B1258" t="s">
        <v>5532</v>
      </c>
      <c r="C1258" t="s">
        <v>5533</v>
      </c>
      <c r="D1258" t="s">
        <v>3</v>
      </c>
      <c r="E1258" t="s">
        <v>4</v>
      </c>
      <c r="F1258">
        <v>3194</v>
      </c>
      <c r="G1258">
        <v>3136</v>
      </c>
      <c r="H1258" t="s">
        <v>5</v>
      </c>
      <c r="I1258" t="b">
        <f t="shared" si="19"/>
        <v>0</v>
      </c>
    </row>
    <row r="1259" spans="1:9" x14ac:dyDescent="0.2">
      <c r="A1259" t="s">
        <v>3303</v>
      </c>
      <c r="B1259" t="s">
        <v>3304</v>
      </c>
      <c r="C1259" t="s">
        <v>3305</v>
      </c>
      <c r="D1259" t="s">
        <v>3</v>
      </c>
      <c r="E1259" t="s">
        <v>4</v>
      </c>
      <c r="F1259">
        <v>5395</v>
      </c>
      <c r="G1259">
        <v>698</v>
      </c>
      <c r="H1259" t="s">
        <v>13</v>
      </c>
      <c r="I1259" t="b">
        <f t="shared" si="19"/>
        <v>0</v>
      </c>
    </row>
    <row r="1260" spans="1:9" x14ac:dyDescent="0.2">
      <c r="A1260" t="s">
        <v>1716</v>
      </c>
      <c r="B1260" t="s">
        <v>1717</v>
      </c>
      <c r="C1260" t="s">
        <v>1596</v>
      </c>
      <c r="D1260" t="s">
        <v>1597</v>
      </c>
      <c r="E1260" t="s">
        <v>4</v>
      </c>
      <c r="F1260">
        <v>4</v>
      </c>
      <c r="G1260">
        <v>0</v>
      </c>
      <c r="H1260" t="s">
        <v>13</v>
      </c>
      <c r="I1260" t="b">
        <f t="shared" si="19"/>
        <v>0</v>
      </c>
    </row>
    <row r="1261" spans="1:9" x14ac:dyDescent="0.2">
      <c r="A1261" t="s">
        <v>4947</v>
      </c>
      <c r="B1261" t="s">
        <v>4948</v>
      </c>
      <c r="C1261" t="s">
        <v>4949</v>
      </c>
      <c r="D1261" t="s">
        <v>3</v>
      </c>
      <c r="E1261" t="s">
        <v>4</v>
      </c>
      <c r="F1261">
        <v>48</v>
      </c>
      <c r="G1261">
        <v>149</v>
      </c>
      <c r="H1261" t="s">
        <v>645</v>
      </c>
      <c r="I1261" t="b">
        <f t="shared" si="19"/>
        <v>0</v>
      </c>
    </row>
    <row r="1262" spans="1:9" x14ac:dyDescent="0.2">
      <c r="A1262" t="s">
        <v>6462</v>
      </c>
      <c r="B1262" t="s">
        <v>6463</v>
      </c>
      <c r="C1262" t="s">
        <v>1375</v>
      </c>
      <c r="D1262" t="s">
        <v>3</v>
      </c>
      <c r="E1262" t="s">
        <v>4</v>
      </c>
      <c r="F1262">
        <v>62</v>
      </c>
      <c r="G1262">
        <v>130</v>
      </c>
      <c r="H1262" t="s">
        <v>13</v>
      </c>
      <c r="I1262" t="b">
        <f t="shared" si="19"/>
        <v>0</v>
      </c>
    </row>
    <row r="1263" spans="1:9" x14ac:dyDescent="0.2">
      <c r="A1263" t="s">
        <v>6370</v>
      </c>
      <c r="B1263" t="s">
        <v>6371</v>
      </c>
      <c r="C1263" t="s">
        <v>3557</v>
      </c>
      <c r="D1263" t="s">
        <v>6372</v>
      </c>
      <c r="E1263" t="s">
        <v>4</v>
      </c>
      <c r="F1263">
        <v>319</v>
      </c>
      <c r="G1263">
        <v>582</v>
      </c>
      <c r="H1263" t="s">
        <v>13</v>
      </c>
      <c r="I1263" t="b">
        <f t="shared" si="19"/>
        <v>0</v>
      </c>
    </row>
    <row r="1264" spans="1:9" x14ac:dyDescent="0.2">
      <c r="A1264" t="s">
        <v>3339</v>
      </c>
      <c r="B1264" t="s">
        <v>3340</v>
      </c>
      <c r="C1264" t="s">
        <v>1026</v>
      </c>
      <c r="D1264" t="s">
        <v>3</v>
      </c>
      <c r="E1264" t="s">
        <v>4</v>
      </c>
      <c r="F1264">
        <v>82</v>
      </c>
      <c r="G1264">
        <v>238</v>
      </c>
      <c r="H1264" t="s">
        <v>13</v>
      </c>
      <c r="I1264" t="b">
        <f t="shared" si="19"/>
        <v>0</v>
      </c>
    </row>
    <row r="1265" spans="1:9" x14ac:dyDescent="0.2">
      <c r="A1265" t="s">
        <v>6790</v>
      </c>
      <c r="B1265" t="s">
        <v>6791</v>
      </c>
      <c r="C1265" t="s">
        <v>595</v>
      </c>
      <c r="D1265" t="s">
        <v>1845</v>
      </c>
      <c r="E1265" t="s">
        <v>4</v>
      </c>
      <c r="F1265">
        <v>1282</v>
      </c>
      <c r="G1265">
        <v>270</v>
      </c>
      <c r="H1265" t="s">
        <v>13</v>
      </c>
      <c r="I1265" t="b">
        <f t="shared" si="19"/>
        <v>0</v>
      </c>
    </row>
    <row r="1266" spans="1:9" x14ac:dyDescent="0.2">
      <c r="A1266" t="s">
        <v>6809</v>
      </c>
      <c r="B1266" t="s">
        <v>6810</v>
      </c>
      <c r="C1266" t="s">
        <v>323</v>
      </c>
      <c r="D1266" t="s">
        <v>3</v>
      </c>
      <c r="E1266" t="s">
        <v>4</v>
      </c>
      <c r="F1266">
        <v>19</v>
      </c>
      <c r="G1266">
        <v>75</v>
      </c>
      <c r="H1266" t="s">
        <v>13</v>
      </c>
      <c r="I1266" t="b">
        <f t="shared" si="19"/>
        <v>0</v>
      </c>
    </row>
    <row r="1267" spans="1:9" x14ac:dyDescent="0.2">
      <c r="A1267" t="s">
        <v>2454</v>
      </c>
      <c r="B1267" t="s">
        <v>2455</v>
      </c>
      <c r="C1267" t="s">
        <v>315</v>
      </c>
      <c r="D1267" t="s">
        <v>2456</v>
      </c>
      <c r="E1267" t="s">
        <v>4</v>
      </c>
      <c r="F1267">
        <v>23</v>
      </c>
      <c r="G1267">
        <v>150</v>
      </c>
      <c r="H1267" t="s">
        <v>13</v>
      </c>
      <c r="I1267" t="b">
        <f t="shared" si="19"/>
        <v>0</v>
      </c>
    </row>
    <row r="1268" spans="1:9" x14ac:dyDescent="0.2">
      <c r="A1268" t="s">
        <v>6169</v>
      </c>
      <c r="B1268" t="s">
        <v>6170</v>
      </c>
      <c r="C1268" t="s">
        <v>4911</v>
      </c>
      <c r="D1268" t="s">
        <v>3</v>
      </c>
      <c r="E1268" t="s">
        <v>4</v>
      </c>
      <c r="F1268">
        <v>1515</v>
      </c>
      <c r="G1268">
        <v>5002</v>
      </c>
      <c r="H1268" t="s">
        <v>33</v>
      </c>
      <c r="I1268" t="b">
        <f t="shared" si="19"/>
        <v>0</v>
      </c>
    </row>
    <row r="1269" spans="1:9" x14ac:dyDescent="0.2">
      <c r="A1269" t="s">
        <v>3112</v>
      </c>
      <c r="B1269" t="s">
        <v>3113</v>
      </c>
      <c r="C1269" t="s">
        <v>777</v>
      </c>
      <c r="D1269" t="s">
        <v>3</v>
      </c>
      <c r="E1269" t="s">
        <v>4</v>
      </c>
      <c r="F1269">
        <v>8</v>
      </c>
      <c r="G1269">
        <v>29</v>
      </c>
      <c r="H1269" t="s">
        <v>13</v>
      </c>
      <c r="I1269" t="b">
        <f t="shared" si="19"/>
        <v>0</v>
      </c>
    </row>
    <row r="1270" spans="1:9" x14ac:dyDescent="0.2">
      <c r="A1270" t="s">
        <v>1878</v>
      </c>
      <c r="B1270" t="s">
        <v>1879</v>
      </c>
      <c r="C1270" t="s">
        <v>1639</v>
      </c>
      <c r="D1270" t="s">
        <v>1640</v>
      </c>
      <c r="E1270" t="s">
        <v>4</v>
      </c>
      <c r="F1270">
        <v>85</v>
      </c>
      <c r="G1270">
        <v>113</v>
      </c>
      <c r="H1270" t="s">
        <v>13</v>
      </c>
      <c r="I1270" t="b">
        <f t="shared" si="19"/>
        <v>0</v>
      </c>
    </row>
    <row r="1271" spans="1:9" x14ac:dyDescent="0.2">
      <c r="A1271" t="s">
        <v>7220</v>
      </c>
      <c r="B1271" t="s">
        <v>7221</v>
      </c>
      <c r="C1271" t="s">
        <v>1258</v>
      </c>
      <c r="D1271" t="s">
        <v>3</v>
      </c>
      <c r="E1271" t="s">
        <v>4</v>
      </c>
      <c r="F1271">
        <v>377</v>
      </c>
      <c r="G1271">
        <v>1113</v>
      </c>
      <c r="H1271" t="s">
        <v>33</v>
      </c>
      <c r="I1271" t="b">
        <f t="shared" si="19"/>
        <v>0</v>
      </c>
    </row>
    <row r="1272" spans="1:9" x14ac:dyDescent="0.2">
      <c r="A1272" t="s">
        <v>5473</v>
      </c>
      <c r="B1272" t="s">
        <v>5474</v>
      </c>
      <c r="C1272" t="s">
        <v>5475</v>
      </c>
      <c r="D1272" t="s">
        <v>5476</v>
      </c>
      <c r="E1272" t="s">
        <v>4</v>
      </c>
      <c r="F1272">
        <v>134</v>
      </c>
      <c r="G1272">
        <v>205</v>
      </c>
      <c r="H1272" t="s">
        <v>13</v>
      </c>
      <c r="I1272" t="b">
        <f t="shared" si="19"/>
        <v>1</v>
      </c>
    </row>
    <row r="1273" spans="1:9" x14ac:dyDescent="0.2">
      <c r="A1273" t="s">
        <v>5887</v>
      </c>
      <c r="B1273" t="s">
        <v>5888</v>
      </c>
      <c r="C1273" t="s">
        <v>1534</v>
      </c>
      <c r="D1273" t="s">
        <v>2276</v>
      </c>
      <c r="E1273" t="s">
        <v>4</v>
      </c>
      <c r="F1273">
        <v>313</v>
      </c>
      <c r="G1273">
        <v>79</v>
      </c>
      <c r="H1273" t="s">
        <v>13</v>
      </c>
      <c r="I1273" t="b">
        <f t="shared" si="19"/>
        <v>0</v>
      </c>
    </row>
    <row r="1274" spans="1:9" x14ac:dyDescent="0.2">
      <c r="A1274" t="s">
        <v>4926</v>
      </c>
      <c r="B1274" t="s">
        <v>4927</v>
      </c>
      <c r="C1274" t="s">
        <v>4647</v>
      </c>
      <c r="D1274" t="s">
        <v>3</v>
      </c>
      <c r="E1274" t="s">
        <v>4</v>
      </c>
      <c r="F1274">
        <v>3795</v>
      </c>
      <c r="G1274">
        <v>95</v>
      </c>
      <c r="H1274" t="s">
        <v>50</v>
      </c>
      <c r="I1274" t="b">
        <f t="shared" si="19"/>
        <v>0</v>
      </c>
    </row>
    <row r="1275" spans="1:9" x14ac:dyDescent="0.2">
      <c r="A1275" t="s">
        <v>3191</v>
      </c>
      <c r="B1275" t="s">
        <v>3192</v>
      </c>
      <c r="C1275" t="s">
        <v>3193</v>
      </c>
      <c r="D1275" t="s">
        <v>3194</v>
      </c>
      <c r="E1275" t="s">
        <v>4</v>
      </c>
      <c r="F1275">
        <v>1073</v>
      </c>
      <c r="G1275">
        <v>290</v>
      </c>
      <c r="H1275" t="s">
        <v>50</v>
      </c>
      <c r="I1275" t="b">
        <f t="shared" si="19"/>
        <v>0</v>
      </c>
    </row>
    <row r="1276" spans="1:9" x14ac:dyDescent="0.2">
      <c r="A1276" t="s">
        <v>6509</v>
      </c>
      <c r="B1276" t="s">
        <v>6510</v>
      </c>
      <c r="C1276" t="s">
        <v>3971</v>
      </c>
      <c r="D1276" t="s">
        <v>3</v>
      </c>
      <c r="E1276" t="s">
        <v>4</v>
      </c>
      <c r="F1276">
        <v>54</v>
      </c>
      <c r="G1276">
        <v>147</v>
      </c>
      <c r="H1276" t="s">
        <v>13</v>
      </c>
      <c r="I1276" t="b">
        <f t="shared" si="19"/>
        <v>0</v>
      </c>
    </row>
    <row r="1277" spans="1:9" x14ac:dyDescent="0.2">
      <c r="A1277" t="s">
        <v>3027</v>
      </c>
      <c r="B1277" t="s">
        <v>3028</v>
      </c>
      <c r="C1277" t="s">
        <v>104</v>
      </c>
      <c r="D1277" t="s">
        <v>3</v>
      </c>
      <c r="E1277" t="s">
        <v>4</v>
      </c>
      <c r="F1277">
        <v>2</v>
      </c>
      <c r="G1277">
        <v>0</v>
      </c>
      <c r="H1277" t="s">
        <v>363</v>
      </c>
      <c r="I1277" t="b">
        <f t="shared" si="19"/>
        <v>0</v>
      </c>
    </row>
    <row r="1278" spans="1:9" x14ac:dyDescent="0.2">
      <c r="A1278" t="s">
        <v>4511</v>
      </c>
      <c r="B1278" t="s">
        <v>4512</v>
      </c>
      <c r="C1278" t="s">
        <v>513</v>
      </c>
      <c r="D1278" t="s">
        <v>4513</v>
      </c>
      <c r="E1278" t="s">
        <v>4</v>
      </c>
      <c r="F1278">
        <v>129</v>
      </c>
      <c r="G1278">
        <v>603</v>
      </c>
      <c r="H1278" t="s">
        <v>13</v>
      </c>
      <c r="I1278" t="b">
        <f t="shared" si="19"/>
        <v>0</v>
      </c>
    </row>
    <row r="1279" spans="1:9" x14ac:dyDescent="0.2">
      <c r="A1279" t="s">
        <v>4228</v>
      </c>
      <c r="B1279" t="s">
        <v>4229</v>
      </c>
      <c r="C1279" t="s">
        <v>1359</v>
      </c>
      <c r="D1279" t="s">
        <v>4230</v>
      </c>
      <c r="E1279" t="s">
        <v>4</v>
      </c>
      <c r="F1279">
        <v>4753</v>
      </c>
      <c r="G1279">
        <v>1512</v>
      </c>
      <c r="H1279" t="s">
        <v>13</v>
      </c>
      <c r="I1279" t="b">
        <f t="shared" si="19"/>
        <v>0</v>
      </c>
    </row>
    <row r="1280" spans="1:9" x14ac:dyDescent="0.2">
      <c r="A1280" t="s">
        <v>26</v>
      </c>
      <c r="B1280" t="s">
        <v>27</v>
      </c>
      <c r="C1280" t="s">
        <v>28</v>
      </c>
      <c r="D1280" t="s">
        <v>3</v>
      </c>
      <c r="E1280" t="s">
        <v>4</v>
      </c>
      <c r="F1280">
        <v>34</v>
      </c>
      <c r="G1280">
        <v>90</v>
      </c>
      <c r="H1280" t="s">
        <v>13</v>
      </c>
      <c r="I1280" t="b">
        <f t="shared" si="19"/>
        <v>0</v>
      </c>
    </row>
    <row r="1281" spans="1:9" x14ac:dyDescent="0.2">
      <c r="A1281" t="s">
        <v>4574</v>
      </c>
      <c r="B1281" t="s">
        <v>4575</v>
      </c>
      <c r="C1281" t="s">
        <v>8</v>
      </c>
      <c r="D1281" t="s">
        <v>3</v>
      </c>
      <c r="E1281" t="s">
        <v>4</v>
      </c>
      <c r="F1281">
        <v>520</v>
      </c>
      <c r="G1281">
        <v>1752</v>
      </c>
      <c r="H1281" t="s">
        <v>13</v>
      </c>
      <c r="I1281" t="b">
        <f t="shared" si="19"/>
        <v>0</v>
      </c>
    </row>
    <row r="1282" spans="1:9" x14ac:dyDescent="0.2">
      <c r="A1282" t="s">
        <v>6569</v>
      </c>
      <c r="B1282" t="s">
        <v>6570</v>
      </c>
      <c r="C1282" t="s">
        <v>2120</v>
      </c>
      <c r="D1282" t="s">
        <v>6571</v>
      </c>
      <c r="E1282" t="s">
        <v>4</v>
      </c>
      <c r="F1282">
        <v>120</v>
      </c>
      <c r="G1282">
        <v>778</v>
      </c>
      <c r="H1282" t="s">
        <v>13</v>
      </c>
      <c r="I1282" t="b">
        <f t="shared" si="19"/>
        <v>0</v>
      </c>
    </row>
    <row r="1283" spans="1:9" x14ac:dyDescent="0.2">
      <c r="A1283" t="s">
        <v>2210</v>
      </c>
      <c r="B1283" t="s">
        <v>2211</v>
      </c>
      <c r="C1283" t="s">
        <v>2212</v>
      </c>
      <c r="D1283" t="s">
        <v>2213</v>
      </c>
      <c r="E1283" t="s">
        <v>4</v>
      </c>
      <c r="F1283">
        <v>134</v>
      </c>
      <c r="G1283">
        <v>61</v>
      </c>
      <c r="H1283" t="s">
        <v>13</v>
      </c>
      <c r="I1283" t="b">
        <f t="shared" ref="I1283:I1346" si="20">isDup(B1283, B1284, 0.7)</f>
        <v>0</v>
      </c>
    </row>
    <row r="1284" spans="1:9" x14ac:dyDescent="0.2">
      <c r="A1284" t="s">
        <v>4576</v>
      </c>
      <c r="B1284" t="s">
        <v>4579</v>
      </c>
      <c r="C1284" t="s">
        <v>1877</v>
      </c>
      <c r="D1284" t="s">
        <v>3</v>
      </c>
      <c r="E1284" t="s">
        <v>4</v>
      </c>
      <c r="F1284">
        <v>159</v>
      </c>
      <c r="G1284">
        <v>193</v>
      </c>
      <c r="H1284" t="s">
        <v>13</v>
      </c>
      <c r="I1284" t="b">
        <f t="shared" si="20"/>
        <v>0</v>
      </c>
    </row>
    <row r="1285" spans="1:9" x14ac:dyDescent="0.2">
      <c r="A1285" t="s">
        <v>3116</v>
      </c>
      <c r="B1285" t="s">
        <v>3117</v>
      </c>
      <c r="C1285" t="s">
        <v>526</v>
      </c>
      <c r="D1285" t="s">
        <v>3118</v>
      </c>
      <c r="E1285" t="s">
        <v>4</v>
      </c>
      <c r="F1285">
        <v>632</v>
      </c>
      <c r="G1285">
        <v>419</v>
      </c>
      <c r="H1285" t="s">
        <v>13</v>
      </c>
      <c r="I1285" t="b">
        <f t="shared" si="20"/>
        <v>0</v>
      </c>
    </row>
    <row r="1286" spans="1:9" x14ac:dyDescent="0.2">
      <c r="A1286" t="s">
        <v>2751</v>
      </c>
      <c r="B1286" t="s">
        <v>2752</v>
      </c>
      <c r="C1286" t="s">
        <v>2753</v>
      </c>
      <c r="D1286" t="s">
        <v>833</v>
      </c>
      <c r="E1286" t="s">
        <v>4</v>
      </c>
      <c r="F1286">
        <v>585</v>
      </c>
      <c r="G1286">
        <v>439</v>
      </c>
      <c r="H1286" t="s">
        <v>13</v>
      </c>
      <c r="I1286" t="b">
        <f t="shared" si="20"/>
        <v>0</v>
      </c>
    </row>
    <row r="1287" spans="1:9" x14ac:dyDescent="0.2">
      <c r="A1287" t="s">
        <v>7005</v>
      </c>
      <c r="B1287" t="s">
        <v>7006</v>
      </c>
      <c r="C1287" t="s">
        <v>3063</v>
      </c>
      <c r="D1287" t="s">
        <v>7007</v>
      </c>
      <c r="E1287" t="s">
        <v>4</v>
      </c>
      <c r="F1287">
        <v>102</v>
      </c>
      <c r="G1287">
        <v>418</v>
      </c>
      <c r="H1287" t="s">
        <v>13</v>
      </c>
      <c r="I1287" t="b">
        <f t="shared" si="20"/>
        <v>0</v>
      </c>
    </row>
    <row r="1288" spans="1:9" x14ac:dyDescent="0.2">
      <c r="A1288" t="s">
        <v>6708</v>
      </c>
      <c r="B1288" t="s">
        <v>6709</v>
      </c>
      <c r="C1288" t="s">
        <v>1166</v>
      </c>
      <c r="D1288" t="s">
        <v>3</v>
      </c>
      <c r="E1288" t="s">
        <v>4</v>
      </c>
      <c r="F1288">
        <v>91</v>
      </c>
      <c r="G1288">
        <v>334</v>
      </c>
      <c r="H1288" t="s">
        <v>13</v>
      </c>
      <c r="I1288" t="b">
        <f t="shared" si="20"/>
        <v>0</v>
      </c>
    </row>
    <row r="1289" spans="1:9" x14ac:dyDescent="0.2">
      <c r="A1289" t="s">
        <v>6061</v>
      </c>
      <c r="B1289" t="s">
        <v>6062</v>
      </c>
      <c r="C1289" t="s">
        <v>6063</v>
      </c>
      <c r="D1289" t="s">
        <v>3</v>
      </c>
      <c r="E1289" t="s">
        <v>4</v>
      </c>
      <c r="F1289">
        <v>145</v>
      </c>
      <c r="G1289">
        <v>230</v>
      </c>
      <c r="H1289" t="s">
        <v>86</v>
      </c>
      <c r="I1289" t="b">
        <f t="shared" si="20"/>
        <v>0</v>
      </c>
    </row>
    <row r="1290" spans="1:9" x14ac:dyDescent="0.2">
      <c r="A1290" t="s">
        <v>6177</v>
      </c>
      <c r="B1290" t="s">
        <v>6178</v>
      </c>
      <c r="C1290" t="s">
        <v>6179</v>
      </c>
      <c r="D1290" t="s">
        <v>6180</v>
      </c>
      <c r="E1290" t="s">
        <v>4</v>
      </c>
      <c r="F1290">
        <v>1404</v>
      </c>
      <c r="G1290">
        <v>498</v>
      </c>
      <c r="H1290" t="s">
        <v>13</v>
      </c>
      <c r="I1290" t="b">
        <f t="shared" si="20"/>
        <v>0</v>
      </c>
    </row>
    <row r="1291" spans="1:9" x14ac:dyDescent="0.2">
      <c r="A1291" t="s">
        <v>4805</v>
      </c>
      <c r="B1291" t="s">
        <v>4806</v>
      </c>
      <c r="C1291" t="s">
        <v>226</v>
      </c>
      <c r="D1291" t="s">
        <v>227</v>
      </c>
      <c r="E1291" t="s">
        <v>4</v>
      </c>
      <c r="F1291">
        <v>9228</v>
      </c>
      <c r="G1291">
        <v>7170</v>
      </c>
      <c r="H1291" t="s">
        <v>13</v>
      </c>
      <c r="I1291" t="b">
        <f t="shared" si="20"/>
        <v>0</v>
      </c>
    </row>
    <row r="1292" spans="1:9" x14ac:dyDescent="0.2">
      <c r="A1292" t="s">
        <v>3374</v>
      </c>
      <c r="B1292" t="s">
        <v>3375</v>
      </c>
      <c r="C1292" t="s">
        <v>2832</v>
      </c>
      <c r="D1292" t="s">
        <v>21</v>
      </c>
      <c r="E1292" t="s">
        <v>4</v>
      </c>
      <c r="F1292">
        <v>215</v>
      </c>
      <c r="G1292">
        <v>137</v>
      </c>
      <c r="H1292" t="s">
        <v>13</v>
      </c>
      <c r="I1292" t="b">
        <f t="shared" si="20"/>
        <v>0</v>
      </c>
    </row>
    <row r="1293" spans="1:9" x14ac:dyDescent="0.2">
      <c r="A1293" t="s">
        <v>228</v>
      </c>
      <c r="B1293" t="s">
        <v>229</v>
      </c>
      <c r="C1293" t="s">
        <v>230</v>
      </c>
      <c r="D1293" t="s">
        <v>231</v>
      </c>
      <c r="E1293" t="s">
        <v>4</v>
      </c>
      <c r="F1293">
        <v>3601</v>
      </c>
      <c r="G1293">
        <v>4869</v>
      </c>
      <c r="H1293" t="s">
        <v>13</v>
      </c>
      <c r="I1293" t="b">
        <f t="shared" si="20"/>
        <v>0</v>
      </c>
    </row>
    <row r="1294" spans="1:9" x14ac:dyDescent="0.2">
      <c r="A1294" t="s">
        <v>5436</v>
      </c>
      <c r="B1294" t="s">
        <v>5437</v>
      </c>
      <c r="C1294" t="s">
        <v>5438</v>
      </c>
      <c r="D1294" t="s">
        <v>3</v>
      </c>
      <c r="E1294" t="s">
        <v>4</v>
      </c>
      <c r="F1294">
        <v>147</v>
      </c>
      <c r="G1294">
        <v>231</v>
      </c>
      <c r="H1294" t="s">
        <v>13</v>
      </c>
      <c r="I1294" t="b">
        <f t="shared" si="20"/>
        <v>0</v>
      </c>
    </row>
    <row r="1295" spans="1:9" x14ac:dyDescent="0.2">
      <c r="A1295" t="s">
        <v>5149</v>
      </c>
      <c r="B1295" t="s">
        <v>5150</v>
      </c>
      <c r="C1295" t="s">
        <v>2632</v>
      </c>
      <c r="D1295" t="s">
        <v>932</v>
      </c>
      <c r="E1295" t="s">
        <v>4</v>
      </c>
      <c r="F1295">
        <v>486</v>
      </c>
      <c r="G1295">
        <v>358</v>
      </c>
      <c r="H1295" t="s">
        <v>13</v>
      </c>
      <c r="I1295" t="b">
        <f t="shared" si="20"/>
        <v>0</v>
      </c>
    </row>
    <row r="1296" spans="1:9" x14ac:dyDescent="0.2">
      <c r="A1296" t="s">
        <v>5384</v>
      </c>
      <c r="B1296" t="s">
        <v>5385</v>
      </c>
      <c r="C1296" t="s">
        <v>786</v>
      </c>
      <c r="D1296" t="s">
        <v>932</v>
      </c>
      <c r="E1296" t="s">
        <v>4</v>
      </c>
      <c r="F1296">
        <v>167</v>
      </c>
      <c r="G1296">
        <v>62</v>
      </c>
      <c r="H1296" t="s">
        <v>13</v>
      </c>
      <c r="I1296" t="b">
        <f t="shared" si="20"/>
        <v>0</v>
      </c>
    </row>
    <row r="1297" spans="1:9" x14ac:dyDescent="0.2">
      <c r="A1297" t="s">
        <v>3708</v>
      </c>
      <c r="B1297" t="s">
        <v>3709</v>
      </c>
      <c r="C1297" t="s">
        <v>3710</v>
      </c>
      <c r="D1297" t="s">
        <v>3</v>
      </c>
      <c r="E1297" t="s">
        <v>4</v>
      </c>
      <c r="F1297">
        <v>62</v>
      </c>
      <c r="G1297">
        <v>332</v>
      </c>
      <c r="H1297" t="s">
        <v>13</v>
      </c>
      <c r="I1297" t="b">
        <f t="shared" si="20"/>
        <v>0</v>
      </c>
    </row>
    <row r="1298" spans="1:9" x14ac:dyDescent="0.2">
      <c r="A1298" t="s">
        <v>890</v>
      </c>
      <c r="B1298" t="s">
        <v>891</v>
      </c>
      <c r="C1298" t="s">
        <v>892</v>
      </c>
      <c r="D1298" t="s">
        <v>3</v>
      </c>
      <c r="E1298" t="s">
        <v>4</v>
      </c>
      <c r="F1298">
        <v>5</v>
      </c>
      <c r="G1298">
        <v>21</v>
      </c>
      <c r="H1298" t="s">
        <v>33</v>
      </c>
      <c r="I1298" t="b">
        <f t="shared" si="20"/>
        <v>0</v>
      </c>
    </row>
    <row r="1299" spans="1:9" x14ac:dyDescent="0.2">
      <c r="A1299" t="s">
        <v>3002</v>
      </c>
      <c r="B1299" t="s">
        <v>3003</v>
      </c>
      <c r="C1299" t="s">
        <v>2429</v>
      </c>
      <c r="D1299" t="s">
        <v>3004</v>
      </c>
      <c r="E1299" t="s">
        <v>4</v>
      </c>
      <c r="F1299">
        <v>5366</v>
      </c>
      <c r="G1299">
        <v>1650</v>
      </c>
      <c r="H1299" t="s">
        <v>13</v>
      </c>
      <c r="I1299" t="b">
        <f t="shared" si="20"/>
        <v>0</v>
      </c>
    </row>
    <row r="1300" spans="1:9" x14ac:dyDescent="0.2">
      <c r="A1300" t="s">
        <v>2114</v>
      </c>
      <c r="B1300" t="s">
        <v>2115</v>
      </c>
      <c r="C1300" t="s">
        <v>2116</v>
      </c>
      <c r="D1300" t="s">
        <v>2117</v>
      </c>
      <c r="E1300" t="s">
        <v>4</v>
      </c>
      <c r="F1300">
        <v>728</v>
      </c>
      <c r="G1300">
        <v>448</v>
      </c>
      <c r="H1300" t="s">
        <v>13</v>
      </c>
      <c r="I1300" t="b">
        <f t="shared" si="20"/>
        <v>0</v>
      </c>
    </row>
    <row r="1301" spans="1:9" x14ac:dyDescent="0.2">
      <c r="A1301" t="s">
        <v>2404</v>
      </c>
      <c r="B1301" t="s">
        <v>2405</v>
      </c>
      <c r="C1301" t="s">
        <v>2406</v>
      </c>
      <c r="D1301" t="s">
        <v>3</v>
      </c>
      <c r="E1301" t="s">
        <v>4</v>
      </c>
      <c r="F1301">
        <v>31</v>
      </c>
      <c r="G1301">
        <v>113</v>
      </c>
      <c r="H1301" t="s">
        <v>13</v>
      </c>
      <c r="I1301" t="b">
        <f t="shared" si="20"/>
        <v>0</v>
      </c>
    </row>
    <row r="1302" spans="1:9" x14ac:dyDescent="0.2">
      <c r="A1302" t="s">
        <v>2175</v>
      </c>
      <c r="B1302" t="s">
        <v>2176</v>
      </c>
      <c r="C1302" t="s">
        <v>2177</v>
      </c>
      <c r="D1302" t="s">
        <v>3</v>
      </c>
      <c r="E1302" t="s">
        <v>4</v>
      </c>
      <c r="F1302">
        <v>2</v>
      </c>
      <c r="G1302">
        <v>27</v>
      </c>
      <c r="H1302" t="s">
        <v>13</v>
      </c>
      <c r="I1302" t="b">
        <f t="shared" si="20"/>
        <v>0</v>
      </c>
    </row>
    <row r="1303" spans="1:9" x14ac:dyDescent="0.2">
      <c r="A1303" t="s">
        <v>2083</v>
      </c>
      <c r="B1303" t="s">
        <v>2084</v>
      </c>
      <c r="C1303" t="s">
        <v>2085</v>
      </c>
      <c r="D1303" t="s">
        <v>3</v>
      </c>
      <c r="E1303" t="s">
        <v>4</v>
      </c>
      <c r="F1303">
        <v>13</v>
      </c>
      <c r="G1303">
        <v>26</v>
      </c>
      <c r="H1303" t="s">
        <v>13</v>
      </c>
      <c r="I1303" t="b">
        <f t="shared" si="20"/>
        <v>0</v>
      </c>
    </row>
    <row r="1304" spans="1:9" x14ac:dyDescent="0.2">
      <c r="A1304" t="s">
        <v>153</v>
      </c>
      <c r="B1304" t="s">
        <v>154</v>
      </c>
      <c r="C1304" t="s">
        <v>155</v>
      </c>
      <c r="D1304" t="s">
        <v>156</v>
      </c>
      <c r="E1304" t="s">
        <v>4</v>
      </c>
      <c r="F1304">
        <v>2748</v>
      </c>
      <c r="G1304">
        <v>1544</v>
      </c>
      <c r="H1304" t="s">
        <v>13</v>
      </c>
      <c r="I1304" t="b">
        <f t="shared" si="20"/>
        <v>0</v>
      </c>
    </row>
    <row r="1305" spans="1:9" x14ac:dyDescent="0.2">
      <c r="A1305" t="s">
        <v>1674</v>
      </c>
      <c r="B1305" t="s">
        <v>1675</v>
      </c>
      <c r="C1305" t="s">
        <v>1676</v>
      </c>
      <c r="D1305" t="s">
        <v>3</v>
      </c>
      <c r="E1305" t="s">
        <v>4</v>
      </c>
      <c r="F1305">
        <v>10</v>
      </c>
      <c r="G1305">
        <v>110</v>
      </c>
      <c r="H1305" t="s">
        <v>13</v>
      </c>
      <c r="I1305" t="b">
        <f t="shared" si="20"/>
        <v>0</v>
      </c>
    </row>
    <row r="1306" spans="1:9" x14ac:dyDescent="0.2">
      <c r="A1306" t="s">
        <v>3954</v>
      </c>
      <c r="B1306" t="s">
        <v>3955</v>
      </c>
      <c r="C1306" t="s">
        <v>465</v>
      </c>
      <c r="D1306" t="s">
        <v>3</v>
      </c>
      <c r="E1306" t="s">
        <v>4</v>
      </c>
      <c r="F1306">
        <v>27</v>
      </c>
      <c r="G1306">
        <v>162</v>
      </c>
      <c r="H1306" t="s">
        <v>13</v>
      </c>
      <c r="I1306" t="b">
        <f t="shared" si="20"/>
        <v>0</v>
      </c>
    </row>
    <row r="1307" spans="1:9" x14ac:dyDescent="0.2">
      <c r="A1307" t="s">
        <v>5801</v>
      </c>
      <c r="B1307" t="s">
        <v>5802</v>
      </c>
      <c r="C1307" t="s">
        <v>996</v>
      </c>
      <c r="D1307" t="s">
        <v>3</v>
      </c>
      <c r="E1307" t="s">
        <v>4</v>
      </c>
      <c r="F1307">
        <v>355</v>
      </c>
      <c r="G1307">
        <v>880</v>
      </c>
      <c r="H1307" t="s">
        <v>13</v>
      </c>
      <c r="I1307" t="b">
        <f t="shared" si="20"/>
        <v>0</v>
      </c>
    </row>
    <row r="1308" spans="1:9" x14ac:dyDescent="0.2">
      <c r="A1308" t="s">
        <v>4189</v>
      </c>
      <c r="B1308" t="s">
        <v>4190</v>
      </c>
      <c r="C1308" t="s">
        <v>2611</v>
      </c>
      <c r="D1308" t="s">
        <v>3</v>
      </c>
      <c r="E1308" t="s">
        <v>4</v>
      </c>
      <c r="F1308">
        <v>9717</v>
      </c>
      <c r="G1308">
        <v>45</v>
      </c>
      <c r="H1308" t="s">
        <v>13</v>
      </c>
      <c r="I1308" t="b">
        <f t="shared" si="20"/>
        <v>0</v>
      </c>
    </row>
    <row r="1309" spans="1:9" x14ac:dyDescent="0.2">
      <c r="A1309" t="s">
        <v>2905</v>
      </c>
      <c r="B1309" t="s">
        <v>2906</v>
      </c>
      <c r="C1309" t="s">
        <v>1095</v>
      </c>
      <c r="D1309" t="s">
        <v>2907</v>
      </c>
      <c r="E1309" t="s">
        <v>4</v>
      </c>
      <c r="F1309">
        <v>1195</v>
      </c>
      <c r="G1309">
        <v>468</v>
      </c>
      <c r="H1309" t="s">
        <v>13</v>
      </c>
      <c r="I1309" t="b">
        <f t="shared" si="20"/>
        <v>0</v>
      </c>
    </row>
    <row r="1310" spans="1:9" x14ac:dyDescent="0.2">
      <c r="A1310" t="s">
        <v>2614</v>
      </c>
      <c r="B1310" t="s">
        <v>2615</v>
      </c>
      <c r="C1310" t="s">
        <v>2616</v>
      </c>
      <c r="D1310" t="s">
        <v>3</v>
      </c>
      <c r="E1310" t="s">
        <v>4</v>
      </c>
      <c r="F1310">
        <v>625</v>
      </c>
      <c r="G1310">
        <v>478</v>
      </c>
      <c r="H1310" t="s">
        <v>13</v>
      </c>
      <c r="I1310" t="b">
        <f t="shared" si="20"/>
        <v>0</v>
      </c>
    </row>
    <row r="1311" spans="1:9" x14ac:dyDescent="0.2">
      <c r="A1311" t="s">
        <v>1777</v>
      </c>
      <c r="B1311" t="s">
        <v>1778</v>
      </c>
      <c r="C1311" t="s">
        <v>679</v>
      </c>
      <c r="D1311" t="s">
        <v>1779</v>
      </c>
      <c r="E1311" t="s">
        <v>4</v>
      </c>
      <c r="F1311">
        <v>102</v>
      </c>
      <c r="G1311">
        <v>144</v>
      </c>
      <c r="H1311" t="s">
        <v>13</v>
      </c>
      <c r="I1311" t="b">
        <f t="shared" si="20"/>
        <v>0</v>
      </c>
    </row>
    <row r="1312" spans="1:9" x14ac:dyDescent="0.2">
      <c r="A1312" t="s">
        <v>1088</v>
      </c>
      <c r="B1312" t="s">
        <v>1089</v>
      </c>
      <c r="C1312" t="s">
        <v>1090</v>
      </c>
      <c r="D1312" t="s">
        <v>1091</v>
      </c>
      <c r="E1312" t="s">
        <v>4</v>
      </c>
      <c r="F1312">
        <v>15</v>
      </c>
      <c r="G1312">
        <v>2</v>
      </c>
      <c r="H1312" t="s">
        <v>1092</v>
      </c>
      <c r="I1312" t="b">
        <f t="shared" si="20"/>
        <v>0</v>
      </c>
    </row>
    <row r="1313" spans="1:9" x14ac:dyDescent="0.2">
      <c r="A1313" t="s">
        <v>1156</v>
      </c>
      <c r="B1313" t="s">
        <v>1157</v>
      </c>
      <c r="C1313" t="s">
        <v>1158</v>
      </c>
      <c r="D1313" t="s">
        <v>1159</v>
      </c>
      <c r="E1313" t="s">
        <v>4</v>
      </c>
      <c r="F1313">
        <v>139</v>
      </c>
      <c r="G1313">
        <v>306</v>
      </c>
      <c r="H1313" t="s">
        <v>13</v>
      </c>
      <c r="I1313" t="b">
        <f t="shared" si="20"/>
        <v>0</v>
      </c>
    </row>
    <row r="1314" spans="1:9" x14ac:dyDescent="0.2">
      <c r="A1314" t="s">
        <v>3074</v>
      </c>
      <c r="B1314" t="s">
        <v>3075</v>
      </c>
      <c r="C1314" t="s">
        <v>3076</v>
      </c>
      <c r="D1314" t="s">
        <v>510</v>
      </c>
      <c r="E1314" t="s">
        <v>4</v>
      </c>
      <c r="F1314">
        <v>7</v>
      </c>
      <c r="G1314">
        <v>35</v>
      </c>
      <c r="H1314" t="s">
        <v>13</v>
      </c>
      <c r="I1314" t="b">
        <f t="shared" si="20"/>
        <v>0</v>
      </c>
    </row>
    <row r="1315" spans="1:9" x14ac:dyDescent="0.2">
      <c r="A1315" t="s">
        <v>2344</v>
      </c>
      <c r="B1315" t="s">
        <v>2345</v>
      </c>
      <c r="C1315" t="s">
        <v>2346</v>
      </c>
      <c r="D1315" t="s">
        <v>2347</v>
      </c>
      <c r="E1315" t="s">
        <v>4</v>
      </c>
      <c r="F1315">
        <v>48</v>
      </c>
      <c r="G1315">
        <v>108</v>
      </c>
      <c r="H1315" t="s">
        <v>13</v>
      </c>
      <c r="I1315" t="b">
        <f t="shared" si="20"/>
        <v>0</v>
      </c>
    </row>
    <row r="1316" spans="1:9" x14ac:dyDescent="0.2">
      <c r="A1316" t="s">
        <v>2445</v>
      </c>
      <c r="B1316" t="s">
        <v>2446</v>
      </c>
      <c r="C1316" t="s">
        <v>2447</v>
      </c>
      <c r="D1316" t="s">
        <v>3</v>
      </c>
      <c r="E1316" t="s">
        <v>4</v>
      </c>
      <c r="F1316">
        <v>2</v>
      </c>
      <c r="G1316">
        <v>21</v>
      </c>
      <c r="H1316" t="s">
        <v>13</v>
      </c>
      <c r="I1316" t="b">
        <f t="shared" si="20"/>
        <v>0</v>
      </c>
    </row>
    <row r="1317" spans="1:9" x14ac:dyDescent="0.2">
      <c r="A1317" t="s">
        <v>2306</v>
      </c>
      <c r="B1317" t="s">
        <v>2307</v>
      </c>
      <c r="C1317" t="s">
        <v>591</v>
      </c>
      <c r="D1317" t="s">
        <v>3</v>
      </c>
      <c r="E1317" t="s">
        <v>4</v>
      </c>
      <c r="F1317">
        <v>4610</v>
      </c>
      <c r="G1317">
        <v>449</v>
      </c>
      <c r="H1317" t="s">
        <v>13</v>
      </c>
      <c r="I1317" t="b">
        <f t="shared" si="20"/>
        <v>0</v>
      </c>
    </row>
    <row r="1318" spans="1:9" x14ac:dyDescent="0.2">
      <c r="A1318" t="s">
        <v>321</v>
      </c>
      <c r="B1318" t="s">
        <v>322</v>
      </c>
      <c r="C1318" t="s">
        <v>323</v>
      </c>
      <c r="D1318" t="s">
        <v>3</v>
      </c>
      <c r="E1318" t="s">
        <v>4</v>
      </c>
      <c r="F1318">
        <v>18</v>
      </c>
      <c r="G1318">
        <v>74</v>
      </c>
      <c r="H1318" t="s">
        <v>13</v>
      </c>
      <c r="I1318" t="b">
        <f t="shared" si="20"/>
        <v>0</v>
      </c>
    </row>
    <row r="1319" spans="1:9" x14ac:dyDescent="0.2">
      <c r="A1319" t="s">
        <v>5666</v>
      </c>
      <c r="B1319" t="s">
        <v>5667</v>
      </c>
      <c r="C1319" t="s">
        <v>683</v>
      </c>
      <c r="D1319" t="s">
        <v>4143</v>
      </c>
      <c r="E1319" t="s">
        <v>4</v>
      </c>
      <c r="F1319">
        <v>354</v>
      </c>
      <c r="G1319">
        <v>291</v>
      </c>
      <c r="H1319" t="s">
        <v>13</v>
      </c>
      <c r="I1319" t="b">
        <f t="shared" si="20"/>
        <v>0</v>
      </c>
    </row>
    <row r="1320" spans="1:9" x14ac:dyDescent="0.2">
      <c r="A1320" t="s">
        <v>5115</v>
      </c>
      <c r="B1320" t="s">
        <v>5116</v>
      </c>
      <c r="C1320" t="s">
        <v>730</v>
      </c>
      <c r="D1320" t="s">
        <v>3</v>
      </c>
      <c r="E1320" t="s">
        <v>4</v>
      </c>
      <c r="F1320">
        <v>49</v>
      </c>
      <c r="G1320">
        <v>146</v>
      </c>
      <c r="H1320" t="s">
        <v>13</v>
      </c>
      <c r="I1320" t="b">
        <f t="shared" si="20"/>
        <v>0</v>
      </c>
    </row>
    <row r="1321" spans="1:9" x14ac:dyDescent="0.2">
      <c r="A1321" t="s">
        <v>6267</v>
      </c>
      <c r="B1321" t="s">
        <v>6268</v>
      </c>
      <c r="C1321" t="s">
        <v>4080</v>
      </c>
      <c r="D1321" t="s">
        <v>6269</v>
      </c>
      <c r="E1321" t="s">
        <v>4</v>
      </c>
      <c r="F1321">
        <v>138</v>
      </c>
      <c r="G1321">
        <v>588</v>
      </c>
      <c r="H1321" t="s">
        <v>1584</v>
      </c>
      <c r="I1321" t="b">
        <f t="shared" si="20"/>
        <v>0</v>
      </c>
    </row>
    <row r="1322" spans="1:9" x14ac:dyDescent="0.2">
      <c r="A1322" t="s">
        <v>2726</v>
      </c>
      <c r="B1322" t="s">
        <v>2727</v>
      </c>
      <c r="C1322" t="s">
        <v>2611</v>
      </c>
      <c r="D1322" t="s">
        <v>2728</v>
      </c>
      <c r="E1322" t="s">
        <v>4</v>
      </c>
      <c r="F1322">
        <v>35</v>
      </c>
      <c r="G1322">
        <v>274</v>
      </c>
      <c r="H1322" t="s">
        <v>13</v>
      </c>
      <c r="I1322" t="b">
        <f t="shared" si="20"/>
        <v>0</v>
      </c>
    </row>
    <row r="1323" spans="1:9" x14ac:dyDescent="0.2">
      <c r="A1323" t="s">
        <v>4898</v>
      </c>
      <c r="B1323" t="s">
        <v>4899</v>
      </c>
      <c r="C1323" t="s">
        <v>3443</v>
      </c>
      <c r="D1323" t="s">
        <v>172</v>
      </c>
      <c r="E1323" t="s">
        <v>4</v>
      </c>
      <c r="F1323">
        <v>184</v>
      </c>
      <c r="G1323">
        <v>268</v>
      </c>
      <c r="H1323" t="s">
        <v>13</v>
      </c>
      <c r="I1323" t="b">
        <f t="shared" si="20"/>
        <v>0</v>
      </c>
    </row>
    <row r="1324" spans="1:9" x14ac:dyDescent="0.2">
      <c r="A1324" t="s">
        <v>5462</v>
      </c>
      <c r="B1324" t="s">
        <v>5463</v>
      </c>
      <c r="C1324" t="s">
        <v>5464</v>
      </c>
      <c r="D1324" t="s">
        <v>5465</v>
      </c>
      <c r="E1324" t="s">
        <v>4</v>
      </c>
      <c r="F1324">
        <v>8588</v>
      </c>
      <c r="G1324">
        <v>1223</v>
      </c>
      <c r="H1324" t="s">
        <v>13</v>
      </c>
      <c r="I1324" t="b">
        <f t="shared" si="20"/>
        <v>0</v>
      </c>
    </row>
    <row r="1325" spans="1:9" x14ac:dyDescent="0.2">
      <c r="A1325" t="s">
        <v>4163</v>
      </c>
      <c r="B1325" t="s">
        <v>4164</v>
      </c>
      <c r="C1325" t="s">
        <v>4165</v>
      </c>
      <c r="D1325" t="s">
        <v>3</v>
      </c>
      <c r="E1325" t="s">
        <v>4</v>
      </c>
      <c r="F1325">
        <v>413</v>
      </c>
      <c r="G1325">
        <v>379</v>
      </c>
      <c r="H1325" t="s">
        <v>13</v>
      </c>
      <c r="I1325" t="b">
        <f t="shared" si="20"/>
        <v>0</v>
      </c>
    </row>
    <row r="1326" spans="1:9" x14ac:dyDescent="0.2">
      <c r="A1326" t="s">
        <v>2118</v>
      </c>
      <c r="B1326" t="s">
        <v>2119</v>
      </c>
      <c r="C1326" t="s">
        <v>2120</v>
      </c>
      <c r="D1326" t="s">
        <v>2121</v>
      </c>
      <c r="E1326" t="s">
        <v>4</v>
      </c>
      <c r="F1326">
        <v>173</v>
      </c>
      <c r="G1326">
        <v>291</v>
      </c>
      <c r="H1326" t="s">
        <v>13</v>
      </c>
      <c r="I1326" t="b">
        <f t="shared" si="20"/>
        <v>0</v>
      </c>
    </row>
    <row r="1327" spans="1:9" x14ac:dyDescent="0.2">
      <c r="A1327" t="s">
        <v>2585</v>
      </c>
      <c r="B1327" t="s">
        <v>2586</v>
      </c>
      <c r="C1327" t="s">
        <v>2587</v>
      </c>
      <c r="D1327" t="s">
        <v>2588</v>
      </c>
      <c r="E1327" t="s">
        <v>4</v>
      </c>
      <c r="F1327">
        <v>7</v>
      </c>
      <c r="G1327">
        <v>44</v>
      </c>
      <c r="H1327" t="s">
        <v>13</v>
      </c>
      <c r="I1327" t="b">
        <f t="shared" si="20"/>
        <v>0</v>
      </c>
    </row>
    <row r="1328" spans="1:9" x14ac:dyDescent="0.2">
      <c r="A1328" t="s">
        <v>343</v>
      </c>
      <c r="B1328" t="s">
        <v>344</v>
      </c>
      <c r="C1328" t="s">
        <v>345</v>
      </c>
      <c r="D1328" t="s">
        <v>346</v>
      </c>
      <c r="E1328" t="s">
        <v>4</v>
      </c>
      <c r="F1328">
        <v>594</v>
      </c>
      <c r="G1328">
        <v>80</v>
      </c>
      <c r="H1328" t="s">
        <v>13</v>
      </c>
      <c r="I1328" t="b">
        <f t="shared" si="20"/>
        <v>0</v>
      </c>
    </row>
    <row r="1329" spans="1:9" x14ac:dyDescent="0.2">
      <c r="A1329" t="s">
        <v>1097</v>
      </c>
      <c r="B1329" t="s">
        <v>1098</v>
      </c>
      <c r="C1329" t="s">
        <v>1099</v>
      </c>
      <c r="D1329" t="s">
        <v>1100</v>
      </c>
      <c r="E1329" t="s">
        <v>4</v>
      </c>
      <c r="F1329">
        <v>1700</v>
      </c>
      <c r="G1329">
        <v>328</v>
      </c>
      <c r="H1329" t="s">
        <v>13</v>
      </c>
      <c r="I1329" t="b">
        <f t="shared" si="20"/>
        <v>0</v>
      </c>
    </row>
    <row r="1330" spans="1:9" x14ac:dyDescent="0.2">
      <c r="A1330" t="s">
        <v>2561</v>
      </c>
      <c r="B1330" t="s">
        <v>2562</v>
      </c>
      <c r="C1330" t="s">
        <v>621</v>
      </c>
      <c r="D1330" t="s">
        <v>3</v>
      </c>
      <c r="E1330" t="s">
        <v>4</v>
      </c>
      <c r="F1330">
        <v>818</v>
      </c>
      <c r="G1330">
        <v>160</v>
      </c>
      <c r="H1330" t="s">
        <v>13</v>
      </c>
      <c r="I1330" t="b">
        <f t="shared" si="20"/>
        <v>0</v>
      </c>
    </row>
    <row r="1331" spans="1:9" x14ac:dyDescent="0.2">
      <c r="A1331" t="s">
        <v>816</v>
      </c>
      <c r="B1331" t="s">
        <v>817</v>
      </c>
      <c r="C1331" t="s">
        <v>818</v>
      </c>
      <c r="D1331" t="s">
        <v>3</v>
      </c>
      <c r="E1331" t="s">
        <v>4</v>
      </c>
      <c r="F1331">
        <v>49</v>
      </c>
      <c r="G1331">
        <v>172</v>
      </c>
      <c r="H1331" t="s">
        <v>13</v>
      </c>
      <c r="I1331" t="b">
        <f t="shared" si="20"/>
        <v>0</v>
      </c>
    </row>
    <row r="1332" spans="1:9" x14ac:dyDescent="0.2">
      <c r="A1332" t="s">
        <v>7149</v>
      </c>
      <c r="B1332" t="s">
        <v>7150</v>
      </c>
      <c r="C1332" t="s">
        <v>3429</v>
      </c>
      <c r="D1332" t="s">
        <v>7151</v>
      </c>
      <c r="E1332" t="s">
        <v>4</v>
      </c>
      <c r="F1332">
        <v>41350</v>
      </c>
      <c r="G1332">
        <v>974</v>
      </c>
      <c r="H1332" t="s">
        <v>13</v>
      </c>
      <c r="I1332" t="b">
        <f t="shared" si="20"/>
        <v>0</v>
      </c>
    </row>
    <row r="1333" spans="1:9" x14ac:dyDescent="0.2">
      <c r="A1333" t="s">
        <v>5292</v>
      </c>
      <c r="B1333" t="s">
        <v>5293</v>
      </c>
      <c r="C1333" t="s">
        <v>621</v>
      </c>
      <c r="D1333" t="s">
        <v>5252</v>
      </c>
      <c r="E1333" t="s">
        <v>4</v>
      </c>
      <c r="F1333">
        <v>329</v>
      </c>
      <c r="G1333">
        <v>294</v>
      </c>
      <c r="H1333" t="s">
        <v>114</v>
      </c>
      <c r="I1333" t="b">
        <f t="shared" si="20"/>
        <v>0</v>
      </c>
    </row>
    <row r="1334" spans="1:9" x14ac:dyDescent="0.2">
      <c r="A1334" t="s">
        <v>874</v>
      </c>
      <c r="B1334" t="s">
        <v>875</v>
      </c>
      <c r="C1334" t="s">
        <v>876</v>
      </c>
      <c r="D1334" t="s">
        <v>3</v>
      </c>
      <c r="E1334" t="s">
        <v>4</v>
      </c>
      <c r="F1334">
        <v>94</v>
      </c>
      <c r="G1334">
        <v>221</v>
      </c>
      <c r="H1334" t="s">
        <v>13</v>
      </c>
      <c r="I1334" t="b">
        <f t="shared" si="20"/>
        <v>0</v>
      </c>
    </row>
    <row r="1335" spans="1:9" x14ac:dyDescent="0.2">
      <c r="A1335" t="s">
        <v>4679</v>
      </c>
      <c r="B1335" t="s">
        <v>4680</v>
      </c>
      <c r="C1335" t="s">
        <v>185</v>
      </c>
      <c r="D1335" t="s">
        <v>4681</v>
      </c>
      <c r="E1335" t="s">
        <v>38</v>
      </c>
      <c r="F1335">
        <v>1809</v>
      </c>
      <c r="G1335">
        <v>1138</v>
      </c>
      <c r="H1335" t="s">
        <v>13</v>
      </c>
      <c r="I1335" t="b">
        <f t="shared" si="20"/>
        <v>0</v>
      </c>
    </row>
    <row r="1336" spans="1:9" x14ac:dyDescent="0.2">
      <c r="A1336" t="s">
        <v>6982</v>
      </c>
      <c r="B1336" t="s">
        <v>6983</v>
      </c>
      <c r="C1336" t="s">
        <v>6718</v>
      </c>
      <c r="D1336" t="s">
        <v>6984</v>
      </c>
      <c r="E1336" t="s">
        <v>4</v>
      </c>
      <c r="F1336">
        <v>585</v>
      </c>
      <c r="G1336">
        <v>468</v>
      </c>
      <c r="H1336" t="s">
        <v>13</v>
      </c>
      <c r="I1336" t="b">
        <f t="shared" si="20"/>
        <v>0</v>
      </c>
    </row>
    <row r="1337" spans="1:9" x14ac:dyDescent="0.2">
      <c r="A1337" t="s">
        <v>6258</v>
      </c>
      <c r="B1337" t="s">
        <v>6259</v>
      </c>
      <c r="C1337" t="s">
        <v>6260</v>
      </c>
      <c r="D1337" t="s">
        <v>6261</v>
      </c>
      <c r="E1337" t="s">
        <v>4</v>
      </c>
      <c r="F1337">
        <v>75</v>
      </c>
      <c r="G1337">
        <v>186</v>
      </c>
      <c r="H1337" t="s">
        <v>50</v>
      </c>
      <c r="I1337" t="b">
        <f t="shared" si="20"/>
        <v>0</v>
      </c>
    </row>
    <row r="1338" spans="1:9" x14ac:dyDescent="0.2">
      <c r="A1338" t="s">
        <v>593</v>
      </c>
      <c r="B1338" t="s">
        <v>594</v>
      </c>
      <c r="C1338" t="s">
        <v>595</v>
      </c>
      <c r="D1338" t="s">
        <v>3</v>
      </c>
      <c r="E1338" t="s">
        <v>4</v>
      </c>
      <c r="F1338">
        <v>327</v>
      </c>
      <c r="G1338">
        <v>372</v>
      </c>
      <c r="H1338" t="s">
        <v>13</v>
      </c>
      <c r="I1338" t="b">
        <f t="shared" si="20"/>
        <v>0</v>
      </c>
    </row>
    <row r="1339" spans="1:9" x14ac:dyDescent="0.2">
      <c r="A1339" t="s">
        <v>6563</v>
      </c>
      <c r="B1339" t="s">
        <v>6564</v>
      </c>
      <c r="C1339" t="s">
        <v>155</v>
      </c>
      <c r="D1339" t="s">
        <v>182</v>
      </c>
      <c r="E1339" t="s">
        <v>4</v>
      </c>
      <c r="F1339">
        <v>362</v>
      </c>
      <c r="G1339">
        <v>25</v>
      </c>
      <c r="H1339" t="s">
        <v>13</v>
      </c>
      <c r="I1339" t="b">
        <f t="shared" si="20"/>
        <v>1</v>
      </c>
    </row>
    <row r="1340" spans="1:9" x14ac:dyDescent="0.2">
      <c r="A1340" t="s">
        <v>6586</v>
      </c>
      <c r="B1340" t="s">
        <v>6587</v>
      </c>
      <c r="C1340" t="s">
        <v>155</v>
      </c>
      <c r="D1340" t="s">
        <v>182</v>
      </c>
      <c r="E1340" t="s">
        <v>4</v>
      </c>
      <c r="F1340">
        <v>362</v>
      </c>
      <c r="G1340">
        <v>25</v>
      </c>
      <c r="H1340" t="s">
        <v>13</v>
      </c>
      <c r="I1340" t="b">
        <f t="shared" si="20"/>
        <v>0</v>
      </c>
    </row>
    <row r="1341" spans="1:9" x14ac:dyDescent="0.2">
      <c r="A1341" t="s">
        <v>1899</v>
      </c>
      <c r="B1341" t="s">
        <v>1900</v>
      </c>
      <c r="C1341" t="s">
        <v>1328</v>
      </c>
      <c r="D1341" t="s">
        <v>1901</v>
      </c>
      <c r="E1341" t="s">
        <v>4</v>
      </c>
      <c r="F1341">
        <v>97</v>
      </c>
      <c r="G1341">
        <v>89</v>
      </c>
      <c r="H1341" t="s">
        <v>13</v>
      </c>
      <c r="I1341" t="b">
        <f t="shared" si="20"/>
        <v>0</v>
      </c>
    </row>
    <row r="1342" spans="1:9" x14ac:dyDescent="0.2">
      <c r="A1342" t="s">
        <v>2443</v>
      </c>
      <c r="B1342" t="s">
        <v>2444</v>
      </c>
      <c r="C1342" t="s">
        <v>1862</v>
      </c>
      <c r="D1342" t="s">
        <v>220</v>
      </c>
      <c r="E1342" t="s">
        <v>4</v>
      </c>
      <c r="F1342">
        <v>580</v>
      </c>
      <c r="G1342">
        <v>501</v>
      </c>
      <c r="H1342" t="s">
        <v>13</v>
      </c>
      <c r="I1342" t="b">
        <f t="shared" si="20"/>
        <v>0</v>
      </c>
    </row>
    <row r="1343" spans="1:9" x14ac:dyDescent="0.2">
      <c r="A1343" t="s">
        <v>1418</v>
      </c>
      <c r="B1343" t="s">
        <v>1419</v>
      </c>
      <c r="C1343" t="s">
        <v>1420</v>
      </c>
      <c r="D1343" t="s">
        <v>550</v>
      </c>
      <c r="E1343" t="s">
        <v>4</v>
      </c>
      <c r="F1343">
        <v>501</v>
      </c>
      <c r="G1343">
        <v>641</v>
      </c>
      <c r="H1343" t="s">
        <v>13</v>
      </c>
      <c r="I1343" t="b">
        <f t="shared" si="20"/>
        <v>0</v>
      </c>
    </row>
    <row r="1344" spans="1:9" x14ac:dyDescent="0.2">
      <c r="A1344" t="s">
        <v>1150</v>
      </c>
      <c r="B1344" t="s">
        <v>1151</v>
      </c>
      <c r="C1344" t="s">
        <v>1152</v>
      </c>
      <c r="D1344" t="s">
        <v>1153</v>
      </c>
      <c r="E1344" t="s">
        <v>4</v>
      </c>
      <c r="F1344">
        <v>413</v>
      </c>
      <c r="G1344">
        <v>784</v>
      </c>
      <c r="H1344" t="s">
        <v>13</v>
      </c>
      <c r="I1344" t="b">
        <f t="shared" si="20"/>
        <v>0</v>
      </c>
    </row>
    <row r="1345" spans="1:9" x14ac:dyDescent="0.2">
      <c r="A1345" t="s">
        <v>699</v>
      </c>
      <c r="B1345" t="s">
        <v>700</v>
      </c>
      <c r="C1345" t="s">
        <v>701</v>
      </c>
      <c r="D1345" t="s">
        <v>663</v>
      </c>
      <c r="E1345" t="s">
        <v>4</v>
      </c>
      <c r="F1345">
        <v>85</v>
      </c>
      <c r="G1345">
        <v>79</v>
      </c>
      <c r="H1345" t="s">
        <v>13</v>
      </c>
      <c r="I1345" t="b">
        <f t="shared" si="20"/>
        <v>0</v>
      </c>
    </row>
    <row r="1346" spans="1:9" x14ac:dyDescent="0.2">
      <c r="A1346" t="s">
        <v>3476</v>
      </c>
      <c r="B1346" t="s">
        <v>3477</v>
      </c>
      <c r="C1346" t="s">
        <v>3478</v>
      </c>
      <c r="D1346" t="s">
        <v>3</v>
      </c>
      <c r="E1346" t="s">
        <v>4</v>
      </c>
      <c r="F1346">
        <v>2</v>
      </c>
      <c r="G1346">
        <v>24</v>
      </c>
      <c r="H1346" t="s">
        <v>13</v>
      </c>
      <c r="I1346" t="b">
        <f t="shared" si="20"/>
        <v>0</v>
      </c>
    </row>
    <row r="1347" spans="1:9" x14ac:dyDescent="0.2">
      <c r="A1347" t="s">
        <v>3402</v>
      </c>
      <c r="B1347" t="s">
        <v>3403</v>
      </c>
      <c r="C1347" t="s">
        <v>3404</v>
      </c>
      <c r="D1347" t="s">
        <v>3405</v>
      </c>
      <c r="E1347" t="s">
        <v>4</v>
      </c>
      <c r="F1347">
        <v>474</v>
      </c>
      <c r="G1347">
        <v>748</v>
      </c>
      <c r="H1347" t="s">
        <v>13</v>
      </c>
      <c r="I1347" t="b">
        <f t="shared" ref="I1347:I1410" si="21">isDup(B1347, B1348, 0.7)</f>
        <v>0</v>
      </c>
    </row>
    <row r="1348" spans="1:9" x14ac:dyDescent="0.2">
      <c r="A1348" t="s">
        <v>1312</v>
      </c>
      <c r="B1348" t="s">
        <v>1313</v>
      </c>
      <c r="C1348" t="s">
        <v>349</v>
      </c>
      <c r="D1348" t="s">
        <v>1314</v>
      </c>
      <c r="E1348" t="s">
        <v>4</v>
      </c>
      <c r="F1348">
        <v>785</v>
      </c>
      <c r="G1348">
        <v>682</v>
      </c>
      <c r="H1348" t="s">
        <v>13</v>
      </c>
      <c r="I1348" t="b">
        <f t="shared" si="21"/>
        <v>0</v>
      </c>
    </row>
    <row r="1349" spans="1:9" x14ac:dyDescent="0.2">
      <c r="A1349" t="s">
        <v>6334</v>
      </c>
      <c r="B1349" t="s">
        <v>6335</v>
      </c>
      <c r="C1349" t="s">
        <v>5105</v>
      </c>
      <c r="D1349" t="s">
        <v>6336</v>
      </c>
      <c r="E1349" t="s">
        <v>4</v>
      </c>
      <c r="F1349">
        <v>1414</v>
      </c>
      <c r="G1349">
        <v>413</v>
      </c>
      <c r="H1349" t="s">
        <v>13</v>
      </c>
      <c r="I1349" t="b">
        <f t="shared" si="21"/>
        <v>0</v>
      </c>
    </row>
    <row r="1350" spans="1:9" x14ac:dyDescent="0.2">
      <c r="A1350" t="s">
        <v>3636</v>
      </c>
      <c r="B1350" t="s">
        <v>3637</v>
      </c>
      <c r="C1350" t="s">
        <v>2599</v>
      </c>
      <c r="D1350" t="s">
        <v>3</v>
      </c>
      <c r="E1350" t="s">
        <v>4</v>
      </c>
      <c r="F1350">
        <v>502</v>
      </c>
      <c r="G1350">
        <v>1865</v>
      </c>
      <c r="H1350" t="s">
        <v>13</v>
      </c>
      <c r="I1350" t="b">
        <f t="shared" si="21"/>
        <v>0</v>
      </c>
    </row>
    <row r="1351" spans="1:9" x14ac:dyDescent="0.2">
      <c r="A1351" t="s">
        <v>4427</v>
      </c>
      <c r="B1351" t="s">
        <v>4428</v>
      </c>
      <c r="C1351" t="s">
        <v>4429</v>
      </c>
      <c r="D1351" t="s">
        <v>2280</v>
      </c>
      <c r="E1351" t="s">
        <v>4</v>
      </c>
      <c r="F1351">
        <v>512</v>
      </c>
      <c r="G1351">
        <v>786</v>
      </c>
      <c r="H1351" t="s">
        <v>13</v>
      </c>
      <c r="I1351" t="b">
        <f t="shared" si="21"/>
        <v>0</v>
      </c>
    </row>
    <row r="1352" spans="1:9" x14ac:dyDescent="0.2">
      <c r="A1352" t="s">
        <v>6525</v>
      </c>
      <c r="B1352" t="s">
        <v>6529</v>
      </c>
      <c r="C1352" t="s">
        <v>2304</v>
      </c>
      <c r="D1352" t="s">
        <v>101</v>
      </c>
      <c r="E1352" t="s">
        <v>4</v>
      </c>
      <c r="F1352">
        <v>548</v>
      </c>
      <c r="G1352">
        <v>932</v>
      </c>
      <c r="H1352" t="s">
        <v>33</v>
      </c>
      <c r="I1352" t="b">
        <f t="shared" si="21"/>
        <v>1</v>
      </c>
    </row>
    <row r="1353" spans="1:9" x14ac:dyDescent="0.2">
      <c r="A1353" t="s">
        <v>2790</v>
      </c>
      <c r="B1353" t="s">
        <v>2791</v>
      </c>
      <c r="C1353" t="s">
        <v>2155</v>
      </c>
      <c r="D1353" t="s">
        <v>1964</v>
      </c>
      <c r="E1353" t="s">
        <v>4</v>
      </c>
      <c r="F1353">
        <v>137</v>
      </c>
      <c r="G1353">
        <v>513</v>
      </c>
      <c r="H1353" t="s">
        <v>13</v>
      </c>
      <c r="I1353" t="b">
        <f t="shared" si="21"/>
        <v>0</v>
      </c>
    </row>
    <row r="1354" spans="1:9" x14ac:dyDescent="0.2">
      <c r="A1354" t="s">
        <v>4990</v>
      </c>
      <c r="B1354" t="s">
        <v>4991</v>
      </c>
      <c r="C1354" t="s">
        <v>4017</v>
      </c>
      <c r="D1354" t="s">
        <v>3605</v>
      </c>
      <c r="E1354" t="s">
        <v>4</v>
      </c>
      <c r="F1354">
        <v>1309</v>
      </c>
      <c r="G1354">
        <v>4954</v>
      </c>
      <c r="H1354" t="s">
        <v>13</v>
      </c>
      <c r="I1354" t="b">
        <f t="shared" si="21"/>
        <v>0</v>
      </c>
    </row>
    <row r="1355" spans="1:9" x14ac:dyDescent="0.2">
      <c r="A1355" t="s">
        <v>1470</v>
      </c>
      <c r="B1355" t="s">
        <v>1471</v>
      </c>
      <c r="C1355" t="s">
        <v>1472</v>
      </c>
      <c r="D1355" t="s">
        <v>1473</v>
      </c>
      <c r="E1355" t="s">
        <v>4</v>
      </c>
      <c r="F1355">
        <v>285</v>
      </c>
      <c r="G1355">
        <v>608</v>
      </c>
      <c r="H1355" t="s">
        <v>13</v>
      </c>
      <c r="I1355" t="b">
        <f t="shared" si="21"/>
        <v>0</v>
      </c>
    </row>
    <row r="1356" spans="1:9" x14ac:dyDescent="0.2">
      <c r="A1356" t="s">
        <v>5851</v>
      </c>
      <c r="B1356" t="s">
        <v>5852</v>
      </c>
      <c r="C1356" t="s">
        <v>1812</v>
      </c>
      <c r="D1356" t="s">
        <v>3</v>
      </c>
      <c r="E1356" t="s">
        <v>4</v>
      </c>
      <c r="F1356">
        <v>5</v>
      </c>
      <c r="G1356">
        <v>56</v>
      </c>
      <c r="H1356" t="s">
        <v>13</v>
      </c>
      <c r="I1356" t="b">
        <f t="shared" si="21"/>
        <v>0</v>
      </c>
    </row>
    <row r="1357" spans="1:9" x14ac:dyDescent="0.2">
      <c r="A1357" t="s">
        <v>1403</v>
      </c>
      <c r="B1357" t="s">
        <v>1404</v>
      </c>
      <c r="C1357" t="s">
        <v>1405</v>
      </c>
      <c r="D1357" t="s">
        <v>1406</v>
      </c>
      <c r="E1357" t="s">
        <v>4</v>
      </c>
      <c r="F1357">
        <v>243</v>
      </c>
      <c r="G1357">
        <v>307</v>
      </c>
      <c r="H1357" t="s">
        <v>13</v>
      </c>
      <c r="I1357" t="b">
        <f t="shared" si="21"/>
        <v>0</v>
      </c>
    </row>
    <row r="1358" spans="1:9" x14ac:dyDescent="0.2">
      <c r="A1358" t="s">
        <v>7166</v>
      </c>
      <c r="B1358" t="s">
        <v>7167</v>
      </c>
      <c r="C1358" t="s">
        <v>5300</v>
      </c>
      <c r="D1358" t="s">
        <v>5301</v>
      </c>
      <c r="E1358" t="s">
        <v>4</v>
      </c>
      <c r="F1358">
        <v>41</v>
      </c>
      <c r="G1358">
        <v>178</v>
      </c>
      <c r="H1358" t="s">
        <v>13</v>
      </c>
      <c r="I1358" t="b">
        <f t="shared" si="21"/>
        <v>0</v>
      </c>
    </row>
    <row r="1359" spans="1:9" x14ac:dyDescent="0.2">
      <c r="A1359" t="s">
        <v>798</v>
      </c>
      <c r="B1359" t="s">
        <v>799</v>
      </c>
      <c r="C1359" t="s">
        <v>800</v>
      </c>
      <c r="D1359" t="s">
        <v>801</v>
      </c>
      <c r="E1359" t="s">
        <v>4</v>
      </c>
      <c r="F1359">
        <v>147</v>
      </c>
      <c r="G1359">
        <v>946</v>
      </c>
      <c r="H1359" t="s">
        <v>13</v>
      </c>
      <c r="I1359" t="b">
        <f t="shared" si="21"/>
        <v>0</v>
      </c>
    </row>
    <row r="1360" spans="1:9" x14ac:dyDescent="0.2">
      <c r="A1360" t="s">
        <v>2041</v>
      </c>
      <c r="B1360" t="s">
        <v>2042</v>
      </c>
      <c r="C1360" t="s">
        <v>2043</v>
      </c>
      <c r="D1360" t="s">
        <v>101</v>
      </c>
      <c r="E1360" t="s">
        <v>4</v>
      </c>
      <c r="F1360">
        <v>4164</v>
      </c>
      <c r="G1360">
        <v>1594</v>
      </c>
      <c r="H1360" t="s">
        <v>13</v>
      </c>
      <c r="I1360" t="b">
        <f t="shared" si="21"/>
        <v>0</v>
      </c>
    </row>
    <row r="1361" spans="1:9" x14ac:dyDescent="0.2">
      <c r="A1361" t="s">
        <v>3950</v>
      </c>
      <c r="B1361" t="s">
        <v>3951</v>
      </c>
      <c r="C1361" t="s">
        <v>385</v>
      </c>
      <c r="D1361" t="s">
        <v>3</v>
      </c>
      <c r="E1361" t="s">
        <v>4</v>
      </c>
      <c r="F1361">
        <v>17</v>
      </c>
      <c r="G1361">
        <v>27</v>
      </c>
      <c r="H1361" t="s">
        <v>2184</v>
      </c>
      <c r="I1361" t="b">
        <f t="shared" si="21"/>
        <v>0</v>
      </c>
    </row>
    <row r="1362" spans="1:9" x14ac:dyDescent="0.2">
      <c r="A1362" t="s">
        <v>6028</v>
      </c>
      <c r="B1362" t="s">
        <v>6029</v>
      </c>
      <c r="C1362" t="s">
        <v>3085</v>
      </c>
      <c r="D1362" t="s">
        <v>71</v>
      </c>
      <c r="E1362" t="s">
        <v>4</v>
      </c>
      <c r="F1362">
        <v>212</v>
      </c>
      <c r="G1362">
        <v>87</v>
      </c>
      <c r="H1362" t="s">
        <v>13</v>
      </c>
      <c r="I1362" t="b">
        <f t="shared" si="21"/>
        <v>0</v>
      </c>
    </row>
    <row r="1363" spans="1:9" x14ac:dyDescent="0.2">
      <c r="A1363" t="s">
        <v>6556</v>
      </c>
      <c r="B1363" t="s">
        <v>6558</v>
      </c>
      <c r="C1363" t="s">
        <v>832</v>
      </c>
      <c r="D1363" t="s">
        <v>3</v>
      </c>
      <c r="E1363" t="s">
        <v>4</v>
      </c>
      <c r="F1363">
        <v>435</v>
      </c>
      <c r="G1363">
        <v>497</v>
      </c>
      <c r="H1363" t="s">
        <v>13</v>
      </c>
      <c r="I1363" t="b">
        <f t="shared" si="21"/>
        <v>0</v>
      </c>
    </row>
    <row r="1364" spans="1:9" x14ac:dyDescent="0.2">
      <c r="A1364" t="s">
        <v>3108</v>
      </c>
      <c r="B1364" t="s">
        <v>3110</v>
      </c>
      <c r="C1364" t="s">
        <v>579</v>
      </c>
      <c r="D1364" t="s">
        <v>3111</v>
      </c>
      <c r="E1364" t="s">
        <v>4</v>
      </c>
      <c r="F1364">
        <v>956</v>
      </c>
      <c r="G1364">
        <v>35</v>
      </c>
      <c r="H1364" t="s">
        <v>13</v>
      </c>
      <c r="I1364" t="b">
        <f t="shared" si="21"/>
        <v>0</v>
      </c>
    </row>
    <row r="1365" spans="1:9" x14ac:dyDescent="0.2">
      <c r="A1365" t="s">
        <v>3865</v>
      </c>
      <c r="B1365" t="s">
        <v>3866</v>
      </c>
      <c r="C1365" t="s">
        <v>3867</v>
      </c>
      <c r="D1365" t="s">
        <v>1083</v>
      </c>
      <c r="E1365" t="s">
        <v>4</v>
      </c>
      <c r="F1365">
        <v>1194</v>
      </c>
      <c r="G1365">
        <v>610</v>
      </c>
      <c r="H1365" t="s">
        <v>13</v>
      </c>
      <c r="I1365" t="b">
        <f t="shared" si="21"/>
        <v>0</v>
      </c>
    </row>
    <row r="1366" spans="1:9" x14ac:dyDescent="0.2">
      <c r="A1366" t="s">
        <v>6976</v>
      </c>
      <c r="B1366" t="s">
        <v>6977</v>
      </c>
      <c r="C1366" t="s">
        <v>3085</v>
      </c>
      <c r="D1366" t="s">
        <v>1439</v>
      </c>
      <c r="E1366" t="s">
        <v>4</v>
      </c>
      <c r="F1366">
        <v>123</v>
      </c>
      <c r="G1366">
        <v>426</v>
      </c>
      <c r="H1366" t="s">
        <v>13</v>
      </c>
      <c r="I1366" t="b">
        <f t="shared" si="21"/>
        <v>0</v>
      </c>
    </row>
    <row r="1367" spans="1:9" x14ac:dyDescent="0.2">
      <c r="A1367" t="s">
        <v>4871</v>
      </c>
      <c r="B1367" t="s">
        <v>4872</v>
      </c>
      <c r="C1367" t="s">
        <v>4873</v>
      </c>
      <c r="D1367" t="s">
        <v>2501</v>
      </c>
      <c r="E1367" t="s">
        <v>4</v>
      </c>
      <c r="F1367">
        <v>26</v>
      </c>
      <c r="G1367">
        <v>116</v>
      </c>
      <c r="H1367" t="s">
        <v>13</v>
      </c>
      <c r="I1367" t="b">
        <f t="shared" si="21"/>
        <v>0</v>
      </c>
    </row>
    <row r="1368" spans="1:9" x14ac:dyDescent="0.2">
      <c r="A1368" t="s">
        <v>6831</v>
      </c>
      <c r="B1368" t="s">
        <v>6832</v>
      </c>
      <c r="C1368" t="s">
        <v>4902</v>
      </c>
      <c r="D1368" t="s">
        <v>1242</v>
      </c>
      <c r="E1368" t="s">
        <v>4</v>
      </c>
      <c r="F1368">
        <v>240</v>
      </c>
      <c r="G1368">
        <v>171</v>
      </c>
      <c r="H1368" t="s">
        <v>13</v>
      </c>
      <c r="I1368" t="b">
        <f t="shared" si="21"/>
        <v>0</v>
      </c>
    </row>
    <row r="1369" spans="1:9" x14ac:dyDescent="0.2">
      <c r="A1369" t="s">
        <v>6872</v>
      </c>
      <c r="B1369" t="s">
        <v>6873</v>
      </c>
      <c r="C1369" t="s">
        <v>5881</v>
      </c>
      <c r="D1369" t="s">
        <v>6874</v>
      </c>
      <c r="E1369" t="s">
        <v>4</v>
      </c>
      <c r="F1369">
        <v>41</v>
      </c>
      <c r="G1369">
        <v>58</v>
      </c>
      <c r="H1369" t="s">
        <v>13</v>
      </c>
      <c r="I1369" t="b">
        <f t="shared" si="21"/>
        <v>0</v>
      </c>
    </row>
    <row r="1370" spans="1:9" x14ac:dyDescent="0.2">
      <c r="A1370" t="s">
        <v>6146</v>
      </c>
      <c r="B1370" t="s">
        <v>6147</v>
      </c>
      <c r="C1370" t="s">
        <v>549</v>
      </c>
      <c r="D1370" t="s">
        <v>3</v>
      </c>
      <c r="E1370" t="s">
        <v>4</v>
      </c>
      <c r="F1370">
        <v>52</v>
      </c>
      <c r="G1370">
        <v>74</v>
      </c>
      <c r="H1370" t="s">
        <v>13</v>
      </c>
      <c r="I1370" t="b">
        <f t="shared" si="21"/>
        <v>0</v>
      </c>
    </row>
    <row r="1371" spans="1:9" x14ac:dyDescent="0.2">
      <c r="A1371" t="s">
        <v>3577</v>
      </c>
      <c r="B1371" t="s">
        <v>3578</v>
      </c>
      <c r="C1371" t="s">
        <v>959</v>
      </c>
      <c r="D1371" t="s">
        <v>3</v>
      </c>
      <c r="E1371" t="s">
        <v>4</v>
      </c>
      <c r="F1371">
        <v>2191</v>
      </c>
      <c r="G1371">
        <v>151</v>
      </c>
      <c r="H1371" t="s">
        <v>13</v>
      </c>
      <c r="I1371" t="b">
        <f t="shared" si="21"/>
        <v>0</v>
      </c>
    </row>
    <row r="1372" spans="1:9" x14ac:dyDescent="0.2">
      <c r="A1372" t="s">
        <v>1310</v>
      </c>
      <c r="B1372" t="s">
        <v>1311</v>
      </c>
      <c r="C1372" t="s">
        <v>275</v>
      </c>
      <c r="D1372" t="s">
        <v>3</v>
      </c>
      <c r="E1372" t="s">
        <v>4</v>
      </c>
      <c r="F1372">
        <v>39</v>
      </c>
      <c r="G1372">
        <v>67</v>
      </c>
      <c r="H1372" t="s">
        <v>13</v>
      </c>
      <c r="I1372" t="b">
        <f t="shared" si="21"/>
        <v>0</v>
      </c>
    </row>
    <row r="1373" spans="1:9" x14ac:dyDescent="0.2">
      <c r="A1373" t="s">
        <v>1894</v>
      </c>
      <c r="B1373" t="s">
        <v>1895</v>
      </c>
      <c r="C1373" t="s">
        <v>1896</v>
      </c>
      <c r="D1373" t="s">
        <v>1817</v>
      </c>
      <c r="E1373" t="s">
        <v>4</v>
      </c>
      <c r="F1373">
        <v>6391</v>
      </c>
      <c r="G1373">
        <v>1185</v>
      </c>
      <c r="H1373" t="s">
        <v>13</v>
      </c>
      <c r="I1373" t="b">
        <f t="shared" si="21"/>
        <v>0</v>
      </c>
    </row>
    <row r="1374" spans="1:9" x14ac:dyDescent="0.2">
      <c r="A1374" t="s">
        <v>2330</v>
      </c>
      <c r="B1374" t="s">
        <v>2331</v>
      </c>
      <c r="C1374" t="s">
        <v>395</v>
      </c>
      <c r="D1374" t="s">
        <v>396</v>
      </c>
      <c r="E1374" t="s">
        <v>4</v>
      </c>
      <c r="F1374">
        <v>53</v>
      </c>
      <c r="G1374">
        <v>242</v>
      </c>
      <c r="H1374" t="s">
        <v>13</v>
      </c>
      <c r="I1374" t="b">
        <f t="shared" si="21"/>
        <v>0</v>
      </c>
    </row>
    <row r="1375" spans="1:9" x14ac:dyDescent="0.2">
      <c r="A1375" t="s">
        <v>2285</v>
      </c>
      <c r="B1375" t="s">
        <v>2286</v>
      </c>
      <c r="C1375" t="s">
        <v>2287</v>
      </c>
      <c r="D1375" t="s">
        <v>2288</v>
      </c>
      <c r="E1375" t="s">
        <v>4</v>
      </c>
      <c r="F1375">
        <v>8</v>
      </c>
      <c r="G1375">
        <v>20</v>
      </c>
      <c r="H1375" t="s">
        <v>342</v>
      </c>
      <c r="I1375" t="b">
        <f t="shared" si="21"/>
        <v>0</v>
      </c>
    </row>
    <row r="1376" spans="1:9" x14ac:dyDescent="0.2">
      <c r="A1376" t="s">
        <v>5562</v>
      </c>
      <c r="B1376" t="s">
        <v>5563</v>
      </c>
      <c r="C1376" t="s">
        <v>2065</v>
      </c>
      <c r="D1376" t="s">
        <v>2066</v>
      </c>
      <c r="E1376" t="s">
        <v>4</v>
      </c>
      <c r="F1376">
        <v>9756</v>
      </c>
      <c r="G1376">
        <v>399</v>
      </c>
      <c r="H1376" t="s">
        <v>13</v>
      </c>
      <c r="I1376" t="b">
        <f t="shared" si="21"/>
        <v>0</v>
      </c>
    </row>
    <row r="1377" spans="1:9" x14ac:dyDescent="0.2">
      <c r="A1377" t="s">
        <v>51</v>
      </c>
      <c r="B1377" t="s">
        <v>52</v>
      </c>
      <c r="C1377" t="s">
        <v>53</v>
      </c>
      <c r="D1377" t="s">
        <v>54</v>
      </c>
      <c r="E1377" t="s">
        <v>4</v>
      </c>
      <c r="F1377">
        <v>629</v>
      </c>
      <c r="G1377">
        <v>139</v>
      </c>
      <c r="H1377" t="s">
        <v>13</v>
      </c>
      <c r="I1377" t="b">
        <f t="shared" si="21"/>
        <v>0</v>
      </c>
    </row>
    <row r="1378" spans="1:9" x14ac:dyDescent="0.2">
      <c r="A1378" t="s">
        <v>1591</v>
      </c>
      <c r="B1378" t="s">
        <v>1592</v>
      </c>
      <c r="C1378" t="s">
        <v>758</v>
      </c>
      <c r="D1378" t="s">
        <v>1593</v>
      </c>
      <c r="E1378" t="s">
        <v>4</v>
      </c>
      <c r="F1378">
        <v>950</v>
      </c>
      <c r="G1378">
        <v>264</v>
      </c>
      <c r="H1378" t="s">
        <v>13</v>
      </c>
      <c r="I1378" t="b">
        <f t="shared" si="21"/>
        <v>0</v>
      </c>
    </row>
    <row r="1379" spans="1:9" x14ac:dyDescent="0.2">
      <c r="A1379" t="s">
        <v>1793</v>
      </c>
      <c r="B1379" t="s">
        <v>1794</v>
      </c>
      <c r="C1379" t="s">
        <v>1795</v>
      </c>
      <c r="D1379" t="s">
        <v>3</v>
      </c>
      <c r="E1379" t="s">
        <v>4</v>
      </c>
      <c r="F1379">
        <v>285</v>
      </c>
      <c r="G1379">
        <v>545</v>
      </c>
      <c r="H1379" t="s">
        <v>13</v>
      </c>
      <c r="I1379" t="b">
        <f t="shared" si="21"/>
        <v>0</v>
      </c>
    </row>
    <row r="1380" spans="1:9" x14ac:dyDescent="0.2">
      <c r="A1380" t="s">
        <v>6669</v>
      </c>
      <c r="B1380" t="s">
        <v>6670</v>
      </c>
      <c r="C1380" t="s">
        <v>2761</v>
      </c>
      <c r="D1380" t="s">
        <v>6671</v>
      </c>
      <c r="E1380" t="s">
        <v>4</v>
      </c>
      <c r="F1380">
        <v>1880</v>
      </c>
      <c r="G1380">
        <v>562</v>
      </c>
      <c r="H1380" t="s">
        <v>13</v>
      </c>
      <c r="I1380" t="b">
        <f t="shared" si="21"/>
        <v>0</v>
      </c>
    </row>
    <row r="1381" spans="1:9" x14ac:dyDescent="0.2">
      <c r="A1381" t="s">
        <v>3533</v>
      </c>
      <c r="B1381" t="s">
        <v>3534</v>
      </c>
      <c r="C1381" t="s">
        <v>2106</v>
      </c>
      <c r="D1381" t="s">
        <v>3535</v>
      </c>
      <c r="E1381" t="s">
        <v>4</v>
      </c>
      <c r="F1381">
        <v>33</v>
      </c>
      <c r="G1381">
        <v>293</v>
      </c>
      <c r="H1381" t="s">
        <v>13</v>
      </c>
      <c r="I1381" t="b">
        <f t="shared" si="21"/>
        <v>0</v>
      </c>
    </row>
    <row r="1382" spans="1:9" x14ac:dyDescent="0.2">
      <c r="A1382" t="s">
        <v>970</v>
      </c>
      <c r="B1382" t="s">
        <v>971</v>
      </c>
      <c r="C1382" t="s">
        <v>568</v>
      </c>
      <c r="D1382" t="s">
        <v>3</v>
      </c>
      <c r="E1382" t="s">
        <v>4</v>
      </c>
      <c r="F1382">
        <v>7</v>
      </c>
      <c r="G1382">
        <v>77</v>
      </c>
      <c r="H1382" t="s">
        <v>13</v>
      </c>
      <c r="I1382" t="b">
        <f t="shared" si="21"/>
        <v>0</v>
      </c>
    </row>
    <row r="1383" spans="1:9" x14ac:dyDescent="0.2">
      <c r="A1383" t="s">
        <v>7045</v>
      </c>
      <c r="B1383" t="s">
        <v>7046</v>
      </c>
      <c r="C1383" t="s">
        <v>7047</v>
      </c>
      <c r="D1383" t="s">
        <v>3</v>
      </c>
      <c r="E1383" t="s">
        <v>4</v>
      </c>
      <c r="F1383">
        <v>683</v>
      </c>
      <c r="G1383">
        <v>230</v>
      </c>
      <c r="H1383" t="s">
        <v>13</v>
      </c>
      <c r="I1383" t="b">
        <f t="shared" si="21"/>
        <v>1</v>
      </c>
    </row>
    <row r="1384" spans="1:9" x14ac:dyDescent="0.2">
      <c r="A1384" t="s">
        <v>7073</v>
      </c>
      <c r="B1384" t="s">
        <v>7074</v>
      </c>
      <c r="C1384" t="s">
        <v>7047</v>
      </c>
      <c r="D1384" t="s">
        <v>3</v>
      </c>
      <c r="E1384" t="s">
        <v>4</v>
      </c>
      <c r="F1384">
        <v>683</v>
      </c>
      <c r="G1384">
        <v>230</v>
      </c>
      <c r="H1384" t="s">
        <v>13</v>
      </c>
      <c r="I1384" t="b">
        <f t="shared" si="21"/>
        <v>0</v>
      </c>
    </row>
    <row r="1385" spans="1:9" x14ac:dyDescent="0.2">
      <c r="A1385" t="s">
        <v>7228</v>
      </c>
      <c r="B1385" t="s">
        <v>7229</v>
      </c>
      <c r="C1385" t="s">
        <v>2054</v>
      </c>
      <c r="D1385" t="s">
        <v>7230</v>
      </c>
      <c r="E1385" t="s">
        <v>4</v>
      </c>
      <c r="F1385">
        <v>175</v>
      </c>
      <c r="G1385">
        <v>261</v>
      </c>
      <c r="H1385" t="s">
        <v>13</v>
      </c>
      <c r="I1385" t="b">
        <f t="shared" si="21"/>
        <v>0</v>
      </c>
    </row>
    <row r="1386" spans="1:9" x14ac:dyDescent="0.2">
      <c r="A1386" t="s">
        <v>854</v>
      </c>
      <c r="B1386" t="s">
        <v>855</v>
      </c>
      <c r="C1386" t="s">
        <v>856</v>
      </c>
      <c r="D1386" t="s">
        <v>3</v>
      </c>
      <c r="E1386" t="s">
        <v>4</v>
      </c>
      <c r="F1386">
        <v>2902</v>
      </c>
      <c r="G1386">
        <v>434</v>
      </c>
      <c r="H1386" t="s">
        <v>13</v>
      </c>
      <c r="I1386" t="b">
        <f t="shared" si="21"/>
        <v>0</v>
      </c>
    </row>
    <row r="1387" spans="1:9" x14ac:dyDescent="0.2">
      <c r="A1387" t="s">
        <v>3751</v>
      </c>
      <c r="B1387" t="s">
        <v>3752</v>
      </c>
      <c r="C1387" t="s">
        <v>810</v>
      </c>
      <c r="D1387" t="s">
        <v>3753</v>
      </c>
      <c r="E1387" t="s">
        <v>4</v>
      </c>
      <c r="F1387">
        <v>37</v>
      </c>
      <c r="G1387">
        <v>92</v>
      </c>
      <c r="H1387" t="s">
        <v>13</v>
      </c>
      <c r="I1387" t="b">
        <f t="shared" si="21"/>
        <v>0</v>
      </c>
    </row>
    <row r="1388" spans="1:9" x14ac:dyDescent="0.2">
      <c r="A1388" t="s">
        <v>1501</v>
      </c>
      <c r="B1388" t="s">
        <v>1502</v>
      </c>
      <c r="C1388" t="s">
        <v>1503</v>
      </c>
      <c r="D1388" t="s">
        <v>1504</v>
      </c>
      <c r="E1388" t="s">
        <v>4</v>
      </c>
      <c r="F1388">
        <v>69</v>
      </c>
      <c r="G1388">
        <v>87</v>
      </c>
      <c r="H1388" t="s">
        <v>13</v>
      </c>
      <c r="I1388" t="b">
        <f t="shared" si="21"/>
        <v>0</v>
      </c>
    </row>
    <row r="1389" spans="1:9" x14ac:dyDescent="0.2">
      <c r="A1389" t="s">
        <v>1707</v>
      </c>
      <c r="B1389" t="s">
        <v>1708</v>
      </c>
      <c r="C1389" t="s">
        <v>1709</v>
      </c>
      <c r="D1389" t="s">
        <v>1710</v>
      </c>
      <c r="E1389" t="s">
        <v>4</v>
      </c>
      <c r="F1389">
        <v>1879</v>
      </c>
      <c r="G1389">
        <v>1636</v>
      </c>
      <c r="H1389" t="s">
        <v>13</v>
      </c>
      <c r="I1389" t="b">
        <f t="shared" si="21"/>
        <v>0</v>
      </c>
    </row>
    <row r="1390" spans="1:9" x14ac:dyDescent="0.2">
      <c r="A1390" t="s">
        <v>6923</v>
      </c>
      <c r="B1390" t="s">
        <v>6924</v>
      </c>
      <c r="C1390" t="s">
        <v>6925</v>
      </c>
      <c r="D1390" t="s">
        <v>64</v>
      </c>
      <c r="E1390" t="s">
        <v>4</v>
      </c>
      <c r="F1390">
        <v>64</v>
      </c>
      <c r="G1390">
        <v>223</v>
      </c>
      <c r="H1390" t="s">
        <v>13</v>
      </c>
      <c r="I1390" t="b">
        <f t="shared" si="21"/>
        <v>0</v>
      </c>
    </row>
    <row r="1391" spans="1:9" x14ac:dyDescent="0.2">
      <c r="A1391" t="s">
        <v>2499</v>
      </c>
      <c r="B1391" t="s">
        <v>2500</v>
      </c>
      <c r="C1391" t="s">
        <v>108</v>
      </c>
      <c r="D1391" t="s">
        <v>2501</v>
      </c>
      <c r="E1391" t="s">
        <v>4</v>
      </c>
      <c r="F1391">
        <v>25</v>
      </c>
      <c r="G1391">
        <v>73</v>
      </c>
      <c r="H1391" t="s">
        <v>13</v>
      </c>
      <c r="I1391" t="b">
        <f t="shared" si="21"/>
        <v>0</v>
      </c>
    </row>
    <row r="1392" spans="1:9" x14ac:dyDescent="0.2">
      <c r="A1392" t="s">
        <v>531</v>
      </c>
      <c r="B1392" t="s">
        <v>532</v>
      </c>
      <c r="C1392" t="s">
        <v>533</v>
      </c>
      <c r="D1392" t="s">
        <v>534</v>
      </c>
      <c r="E1392" t="s">
        <v>4</v>
      </c>
      <c r="F1392">
        <v>27</v>
      </c>
      <c r="G1392">
        <v>477</v>
      </c>
      <c r="H1392" t="s">
        <v>13</v>
      </c>
      <c r="I1392" t="b">
        <f t="shared" si="21"/>
        <v>0</v>
      </c>
    </row>
    <row r="1393" spans="1:9" x14ac:dyDescent="0.2">
      <c r="A1393" t="s">
        <v>6115</v>
      </c>
      <c r="B1393" t="s">
        <v>6116</v>
      </c>
      <c r="C1393" t="s">
        <v>5503</v>
      </c>
      <c r="D1393" t="s">
        <v>6117</v>
      </c>
      <c r="E1393" t="s">
        <v>4</v>
      </c>
      <c r="F1393">
        <v>1032</v>
      </c>
      <c r="G1393">
        <v>1810</v>
      </c>
      <c r="H1393" t="s">
        <v>13</v>
      </c>
      <c r="I1393" t="b">
        <f t="shared" si="21"/>
        <v>0</v>
      </c>
    </row>
    <row r="1394" spans="1:9" x14ac:dyDescent="0.2">
      <c r="A1394" t="s">
        <v>2559</v>
      </c>
      <c r="B1394" t="s">
        <v>2560</v>
      </c>
      <c r="C1394" t="s">
        <v>1514</v>
      </c>
      <c r="D1394" t="s">
        <v>3</v>
      </c>
      <c r="E1394" t="s">
        <v>4</v>
      </c>
      <c r="F1394">
        <v>1</v>
      </c>
      <c r="G1394">
        <v>24</v>
      </c>
      <c r="H1394" t="s">
        <v>13</v>
      </c>
      <c r="I1394" t="b">
        <f t="shared" si="21"/>
        <v>0</v>
      </c>
    </row>
    <row r="1395" spans="1:9" x14ac:dyDescent="0.2">
      <c r="A1395" t="s">
        <v>2092</v>
      </c>
      <c r="B1395" t="s">
        <v>2093</v>
      </c>
      <c r="C1395" t="s">
        <v>2094</v>
      </c>
      <c r="D1395" t="s">
        <v>3</v>
      </c>
      <c r="E1395" t="s">
        <v>4</v>
      </c>
      <c r="F1395">
        <v>3049</v>
      </c>
      <c r="G1395">
        <v>266</v>
      </c>
      <c r="H1395" t="s">
        <v>13</v>
      </c>
      <c r="I1395" t="b">
        <f t="shared" si="21"/>
        <v>0</v>
      </c>
    </row>
    <row r="1396" spans="1:9" x14ac:dyDescent="0.2">
      <c r="A1396" t="s">
        <v>6391</v>
      </c>
      <c r="B1396" t="s">
        <v>6392</v>
      </c>
      <c r="C1396" t="s">
        <v>6393</v>
      </c>
      <c r="D1396" t="s">
        <v>6394</v>
      </c>
      <c r="E1396" t="s">
        <v>4</v>
      </c>
      <c r="F1396">
        <v>78</v>
      </c>
      <c r="G1396">
        <v>396</v>
      </c>
      <c r="H1396" t="s">
        <v>13</v>
      </c>
      <c r="I1396" t="b">
        <f t="shared" si="21"/>
        <v>0</v>
      </c>
    </row>
    <row r="1397" spans="1:9" x14ac:dyDescent="0.2">
      <c r="A1397" t="s">
        <v>6767</v>
      </c>
      <c r="B1397" t="s">
        <v>6768</v>
      </c>
      <c r="C1397" t="s">
        <v>6769</v>
      </c>
      <c r="D1397" t="s">
        <v>6770</v>
      </c>
      <c r="E1397" t="s">
        <v>4</v>
      </c>
      <c r="F1397">
        <v>613</v>
      </c>
      <c r="G1397">
        <v>220</v>
      </c>
      <c r="H1397" t="s">
        <v>13</v>
      </c>
      <c r="I1397" t="b">
        <f t="shared" si="21"/>
        <v>0</v>
      </c>
    </row>
    <row r="1398" spans="1:9" x14ac:dyDescent="0.2">
      <c r="A1398" t="s">
        <v>4755</v>
      </c>
      <c r="B1398" t="s">
        <v>4756</v>
      </c>
      <c r="C1398" t="s">
        <v>3725</v>
      </c>
      <c r="D1398" t="s">
        <v>833</v>
      </c>
      <c r="E1398" t="s">
        <v>4</v>
      </c>
      <c r="F1398">
        <v>39</v>
      </c>
      <c r="G1398">
        <v>52</v>
      </c>
      <c r="H1398" t="s">
        <v>13</v>
      </c>
      <c r="I1398" t="b">
        <f t="shared" si="21"/>
        <v>0</v>
      </c>
    </row>
    <row r="1399" spans="1:9" x14ac:dyDescent="0.2">
      <c r="A1399" t="s">
        <v>408</v>
      </c>
      <c r="B1399" t="s">
        <v>409</v>
      </c>
      <c r="C1399" t="s">
        <v>410</v>
      </c>
      <c r="D1399" t="s">
        <v>411</v>
      </c>
      <c r="E1399" t="s">
        <v>4</v>
      </c>
      <c r="F1399">
        <v>281</v>
      </c>
      <c r="G1399">
        <v>267</v>
      </c>
      <c r="H1399" t="s">
        <v>13</v>
      </c>
      <c r="I1399" t="b">
        <f t="shared" si="21"/>
        <v>0</v>
      </c>
    </row>
    <row r="1400" spans="1:9" x14ac:dyDescent="0.2">
      <c r="A1400" t="s">
        <v>6642</v>
      </c>
      <c r="B1400" t="s">
        <v>6643</v>
      </c>
      <c r="C1400" t="s">
        <v>1069</v>
      </c>
      <c r="D1400" t="s">
        <v>1666</v>
      </c>
      <c r="E1400" t="s">
        <v>4</v>
      </c>
      <c r="F1400">
        <v>1227</v>
      </c>
      <c r="G1400">
        <v>99</v>
      </c>
      <c r="H1400" t="s">
        <v>13</v>
      </c>
      <c r="I1400" t="b">
        <f t="shared" si="21"/>
        <v>0</v>
      </c>
    </row>
    <row r="1401" spans="1:9" x14ac:dyDescent="0.2">
      <c r="A1401" t="s">
        <v>5084</v>
      </c>
      <c r="B1401" t="s">
        <v>5085</v>
      </c>
      <c r="C1401" t="s">
        <v>2623</v>
      </c>
      <c r="D1401" t="s">
        <v>3</v>
      </c>
      <c r="E1401" t="s">
        <v>4</v>
      </c>
      <c r="F1401">
        <v>954</v>
      </c>
      <c r="G1401">
        <v>475</v>
      </c>
      <c r="H1401" t="s">
        <v>13</v>
      </c>
      <c r="I1401" t="b">
        <f t="shared" si="21"/>
        <v>0</v>
      </c>
    </row>
    <row r="1402" spans="1:9" x14ac:dyDescent="0.2">
      <c r="A1402" t="s">
        <v>497</v>
      </c>
      <c r="B1402" t="s">
        <v>498</v>
      </c>
      <c r="C1402" t="s">
        <v>499</v>
      </c>
      <c r="D1402" t="s">
        <v>500</v>
      </c>
      <c r="E1402" t="s">
        <v>4</v>
      </c>
      <c r="F1402">
        <v>216</v>
      </c>
      <c r="G1402">
        <v>219</v>
      </c>
      <c r="H1402" t="s">
        <v>13</v>
      </c>
      <c r="I1402" t="b">
        <f t="shared" si="21"/>
        <v>0</v>
      </c>
    </row>
    <row r="1403" spans="1:9" x14ac:dyDescent="0.2">
      <c r="A1403" t="s">
        <v>5957</v>
      </c>
      <c r="B1403" t="s">
        <v>5958</v>
      </c>
      <c r="C1403" t="s">
        <v>1438</v>
      </c>
      <c r="D1403" t="s">
        <v>3</v>
      </c>
      <c r="E1403" t="s">
        <v>4</v>
      </c>
      <c r="F1403">
        <v>1645</v>
      </c>
      <c r="G1403">
        <v>1190</v>
      </c>
      <c r="H1403" t="s">
        <v>13</v>
      </c>
      <c r="I1403" t="b">
        <f t="shared" si="21"/>
        <v>0</v>
      </c>
    </row>
    <row r="1404" spans="1:9" x14ac:dyDescent="0.2">
      <c r="A1404" t="s">
        <v>6650</v>
      </c>
      <c r="B1404" t="s">
        <v>6651</v>
      </c>
      <c r="C1404" t="s">
        <v>1048</v>
      </c>
      <c r="D1404" t="s">
        <v>1027</v>
      </c>
      <c r="E1404" t="s">
        <v>4</v>
      </c>
      <c r="F1404">
        <v>393</v>
      </c>
      <c r="G1404">
        <v>781</v>
      </c>
      <c r="H1404" t="s">
        <v>13</v>
      </c>
      <c r="I1404" t="b">
        <f t="shared" si="21"/>
        <v>0</v>
      </c>
    </row>
    <row r="1405" spans="1:9" x14ac:dyDescent="0.2">
      <c r="A1405" t="s">
        <v>5682</v>
      </c>
      <c r="B1405" t="s">
        <v>5683</v>
      </c>
      <c r="C1405" t="s">
        <v>5684</v>
      </c>
      <c r="D1405" t="s">
        <v>734</v>
      </c>
      <c r="E1405" t="s">
        <v>4</v>
      </c>
      <c r="F1405">
        <v>492</v>
      </c>
      <c r="G1405">
        <v>576</v>
      </c>
      <c r="H1405" t="s">
        <v>13</v>
      </c>
      <c r="I1405" t="b">
        <f t="shared" si="21"/>
        <v>0</v>
      </c>
    </row>
    <row r="1406" spans="1:9" x14ac:dyDescent="0.2">
      <c r="A1406" t="s">
        <v>5098</v>
      </c>
      <c r="B1406" t="s">
        <v>5099</v>
      </c>
      <c r="C1406" t="s">
        <v>1069</v>
      </c>
      <c r="D1406" t="s">
        <v>3</v>
      </c>
      <c r="E1406" t="s">
        <v>4</v>
      </c>
      <c r="F1406">
        <v>946</v>
      </c>
      <c r="G1406">
        <v>459</v>
      </c>
      <c r="H1406" t="s">
        <v>13</v>
      </c>
      <c r="I1406" t="b">
        <f t="shared" si="21"/>
        <v>0</v>
      </c>
    </row>
    <row r="1407" spans="1:9" x14ac:dyDescent="0.2">
      <c r="A1407" t="s">
        <v>5564</v>
      </c>
      <c r="B1407" t="s">
        <v>5565</v>
      </c>
      <c r="C1407" t="s">
        <v>5566</v>
      </c>
      <c r="D1407" t="s">
        <v>3</v>
      </c>
      <c r="E1407" t="s">
        <v>4</v>
      </c>
      <c r="F1407">
        <v>339</v>
      </c>
      <c r="G1407">
        <v>324</v>
      </c>
      <c r="H1407" t="s">
        <v>13</v>
      </c>
      <c r="I1407" t="b">
        <f t="shared" si="21"/>
        <v>0</v>
      </c>
    </row>
    <row r="1408" spans="1:9" x14ac:dyDescent="0.2">
      <c r="A1408" t="s">
        <v>5741</v>
      </c>
      <c r="B1408" t="s">
        <v>5742</v>
      </c>
      <c r="C1408" t="s">
        <v>3612</v>
      </c>
      <c r="D1408" t="s">
        <v>984</v>
      </c>
      <c r="E1408" t="s">
        <v>4</v>
      </c>
      <c r="F1408">
        <v>572</v>
      </c>
      <c r="G1408">
        <v>961</v>
      </c>
      <c r="H1408" t="s">
        <v>13</v>
      </c>
      <c r="I1408" t="b">
        <f t="shared" si="21"/>
        <v>0</v>
      </c>
    </row>
    <row r="1409" spans="1:9" x14ac:dyDescent="0.2">
      <c r="A1409" t="s">
        <v>3083</v>
      </c>
      <c r="B1409" t="s">
        <v>3084</v>
      </c>
      <c r="C1409" t="s">
        <v>3085</v>
      </c>
      <c r="D1409" t="s">
        <v>3</v>
      </c>
      <c r="E1409" t="s">
        <v>4</v>
      </c>
      <c r="F1409">
        <v>1</v>
      </c>
      <c r="G1409">
        <v>45</v>
      </c>
      <c r="H1409" t="s">
        <v>13</v>
      </c>
      <c r="I1409" t="b">
        <f t="shared" si="21"/>
        <v>0</v>
      </c>
    </row>
    <row r="1410" spans="1:9" x14ac:dyDescent="0.2">
      <c r="A1410" t="s">
        <v>5398</v>
      </c>
      <c r="B1410" t="s">
        <v>5399</v>
      </c>
      <c r="C1410" t="s">
        <v>730</v>
      </c>
      <c r="D1410" t="s">
        <v>3</v>
      </c>
      <c r="E1410" t="s">
        <v>4</v>
      </c>
      <c r="F1410">
        <v>49</v>
      </c>
      <c r="G1410">
        <v>146</v>
      </c>
      <c r="H1410" t="s">
        <v>13</v>
      </c>
      <c r="I1410" t="b">
        <f t="shared" si="21"/>
        <v>0</v>
      </c>
    </row>
    <row r="1411" spans="1:9" x14ac:dyDescent="0.2">
      <c r="A1411" t="s">
        <v>2619</v>
      </c>
      <c r="B1411" t="s">
        <v>2620</v>
      </c>
      <c r="C1411" t="s">
        <v>104</v>
      </c>
      <c r="D1411" t="s">
        <v>3</v>
      </c>
      <c r="E1411" t="s">
        <v>4</v>
      </c>
      <c r="F1411">
        <v>0</v>
      </c>
      <c r="G1411">
        <v>0</v>
      </c>
      <c r="H1411" t="s">
        <v>363</v>
      </c>
      <c r="I1411" t="b">
        <f t="shared" ref="I1411:I1474" si="22">isDup(B1411, B1412, 0.7)</f>
        <v>0</v>
      </c>
    </row>
    <row r="1412" spans="1:9" x14ac:dyDescent="0.2">
      <c r="A1412" t="s">
        <v>3130</v>
      </c>
      <c r="B1412" t="s">
        <v>3131</v>
      </c>
      <c r="C1412" t="s">
        <v>1346</v>
      </c>
      <c r="D1412" t="s">
        <v>1736</v>
      </c>
      <c r="E1412" t="s">
        <v>4</v>
      </c>
      <c r="F1412">
        <v>101</v>
      </c>
      <c r="G1412">
        <v>44</v>
      </c>
      <c r="H1412" t="s">
        <v>13</v>
      </c>
      <c r="I1412" t="b">
        <f t="shared" si="22"/>
        <v>0</v>
      </c>
    </row>
    <row r="1413" spans="1:9" x14ac:dyDescent="0.2">
      <c r="A1413" t="s">
        <v>3615</v>
      </c>
      <c r="B1413" t="s">
        <v>3616</v>
      </c>
      <c r="C1413" t="s">
        <v>3617</v>
      </c>
      <c r="D1413" t="s">
        <v>3618</v>
      </c>
      <c r="E1413" t="s">
        <v>4</v>
      </c>
      <c r="F1413">
        <v>595</v>
      </c>
      <c r="G1413">
        <v>531</v>
      </c>
      <c r="H1413" t="s">
        <v>13</v>
      </c>
      <c r="I1413" t="b">
        <f t="shared" si="22"/>
        <v>0</v>
      </c>
    </row>
    <row r="1414" spans="1:9" x14ac:dyDescent="0.2">
      <c r="A1414" t="s">
        <v>3673</v>
      </c>
      <c r="B1414" t="s">
        <v>3674</v>
      </c>
      <c r="C1414" t="s">
        <v>3675</v>
      </c>
      <c r="D1414" t="s">
        <v>422</v>
      </c>
      <c r="E1414" t="s">
        <v>4</v>
      </c>
      <c r="F1414">
        <v>100</v>
      </c>
      <c r="G1414">
        <v>258</v>
      </c>
      <c r="H1414" t="s">
        <v>13</v>
      </c>
      <c r="I1414" t="b">
        <f t="shared" si="22"/>
        <v>0</v>
      </c>
    </row>
    <row r="1415" spans="1:9" x14ac:dyDescent="0.2">
      <c r="A1415" t="s">
        <v>7090</v>
      </c>
      <c r="B1415" t="s">
        <v>7091</v>
      </c>
      <c r="C1415" t="s">
        <v>999</v>
      </c>
      <c r="D1415" t="s">
        <v>3</v>
      </c>
      <c r="E1415" t="s">
        <v>4</v>
      </c>
      <c r="F1415">
        <v>599</v>
      </c>
      <c r="G1415">
        <v>297</v>
      </c>
      <c r="H1415" t="s">
        <v>13</v>
      </c>
      <c r="I1415" t="b">
        <f t="shared" si="22"/>
        <v>0</v>
      </c>
    </row>
    <row r="1416" spans="1:9" x14ac:dyDescent="0.2">
      <c r="A1416" t="s">
        <v>1315</v>
      </c>
      <c r="B1416" t="s">
        <v>1316</v>
      </c>
      <c r="C1416" t="s">
        <v>1317</v>
      </c>
      <c r="D1416" t="s">
        <v>1318</v>
      </c>
      <c r="E1416" t="s">
        <v>4</v>
      </c>
      <c r="F1416">
        <v>833</v>
      </c>
      <c r="G1416">
        <v>495</v>
      </c>
      <c r="H1416" t="s">
        <v>13</v>
      </c>
      <c r="I1416" t="b">
        <f t="shared" si="22"/>
        <v>0</v>
      </c>
    </row>
    <row r="1417" spans="1:9" x14ac:dyDescent="0.2">
      <c r="A1417" t="s">
        <v>1907</v>
      </c>
      <c r="B1417" t="s">
        <v>1908</v>
      </c>
      <c r="C1417" t="s">
        <v>377</v>
      </c>
      <c r="D1417" t="s">
        <v>3</v>
      </c>
      <c r="E1417" t="s">
        <v>4</v>
      </c>
      <c r="F1417">
        <v>862</v>
      </c>
      <c r="G1417">
        <v>596</v>
      </c>
      <c r="H1417" t="s">
        <v>13</v>
      </c>
      <c r="I1417" t="b">
        <f t="shared" si="22"/>
        <v>0</v>
      </c>
    </row>
    <row r="1418" spans="1:9" x14ac:dyDescent="0.2">
      <c r="A1418" t="s">
        <v>3059</v>
      </c>
      <c r="B1418" t="s">
        <v>3060</v>
      </c>
      <c r="C1418" t="s">
        <v>902</v>
      </c>
      <c r="D1418" t="s">
        <v>3</v>
      </c>
      <c r="E1418" t="s">
        <v>4</v>
      </c>
      <c r="F1418">
        <v>200</v>
      </c>
      <c r="G1418">
        <v>150</v>
      </c>
      <c r="H1418" t="s">
        <v>13</v>
      </c>
      <c r="I1418" t="b">
        <f t="shared" si="22"/>
        <v>0</v>
      </c>
    </row>
    <row r="1419" spans="1:9" x14ac:dyDescent="0.2">
      <c r="A1419" t="s">
        <v>3463</v>
      </c>
      <c r="B1419" t="s">
        <v>3464</v>
      </c>
      <c r="C1419" t="s">
        <v>3465</v>
      </c>
      <c r="D1419" t="s">
        <v>3466</v>
      </c>
      <c r="E1419" t="s">
        <v>4</v>
      </c>
      <c r="F1419">
        <v>157</v>
      </c>
      <c r="G1419">
        <v>234</v>
      </c>
      <c r="H1419" t="s">
        <v>13</v>
      </c>
      <c r="I1419" t="b">
        <f t="shared" si="22"/>
        <v>0</v>
      </c>
    </row>
    <row r="1420" spans="1:9" x14ac:dyDescent="0.2">
      <c r="A1420" t="s">
        <v>3680</v>
      </c>
      <c r="B1420" t="s">
        <v>3681</v>
      </c>
      <c r="C1420" t="s">
        <v>3682</v>
      </c>
      <c r="D1420" t="s">
        <v>3683</v>
      </c>
      <c r="E1420" t="s">
        <v>4</v>
      </c>
      <c r="F1420">
        <v>2771</v>
      </c>
      <c r="G1420">
        <v>457</v>
      </c>
      <c r="H1420" t="s">
        <v>13</v>
      </c>
      <c r="I1420" t="b">
        <f t="shared" si="22"/>
        <v>0</v>
      </c>
    </row>
    <row r="1421" spans="1:9" x14ac:dyDescent="0.2">
      <c r="A1421" t="s">
        <v>2400</v>
      </c>
      <c r="B1421" t="s">
        <v>2401</v>
      </c>
      <c r="C1421" t="s">
        <v>2402</v>
      </c>
      <c r="D1421" t="s">
        <v>2403</v>
      </c>
      <c r="E1421" t="s">
        <v>4</v>
      </c>
      <c r="F1421">
        <v>66</v>
      </c>
      <c r="G1421">
        <v>92</v>
      </c>
      <c r="H1421" t="s">
        <v>13</v>
      </c>
      <c r="I1421" t="b">
        <f t="shared" si="22"/>
        <v>0</v>
      </c>
    </row>
    <row r="1422" spans="1:9" x14ac:dyDescent="0.2">
      <c r="A1422" t="s">
        <v>3536</v>
      </c>
      <c r="B1422" t="s">
        <v>3538</v>
      </c>
      <c r="C1422" t="s">
        <v>414</v>
      </c>
      <c r="D1422" t="s">
        <v>3458</v>
      </c>
      <c r="E1422" t="s">
        <v>4</v>
      </c>
      <c r="F1422">
        <v>813</v>
      </c>
      <c r="G1422">
        <v>789</v>
      </c>
      <c r="H1422" t="s">
        <v>13</v>
      </c>
      <c r="I1422" t="b">
        <f t="shared" si="22"/>
        <v>0</v>
      </c>
    </row>
    <row r="1423" spans="1:9" x14ac:dyDescent="0.2">
      <c r="A1423" t="s">
        <v>3594</v>
      </c>
      <c r="B1423" t="s">
        <v>3595</v>
      </c>
      <c r="C1423" t="s">
        <v>3596</v>
      </c>
      <c r="D1423" t="s">
        <v>3</v>
      </c>
      <c r="E1423" t="s">
        <v>4</v>
      </c>
      <c r="F1423">
        <v>365</v>
      </c>
      <c r="G1423">
        <v>454</v>
      </c>
      <c r="H1423" t="s">
        <v>13</v>
      </c>
      <c r="I1423" t="b">
        <f t="shared" si="22"/>
        <v>0</v>
      </c>
    </row>
    <row r="1424" spans="1:9" x14ac:dyDescent="0.2">
      <c r="A1424" t="s">
        <v>4789</v>
      </c>
      <c r="B1424" t="s">
        <v>4790</v>
      </c>
      <c r="C1424" t="s">
        <v>730</v>
      </c>
      <c r="D1424" t="s">
        <v>4791</v>
      </c>
      <c r="E1424" t="s">
        <v>4</v>
      </c>
      <c r="F1424">
        <v>613</v>
      </c>
      <c r="G1424">
        <v>255</v>
      </c>
      <c r="H1424" t="s">
        <v>13</v>
      </c>
      <c r="I1424" t="b">
        <f t="shared" si="22"/>
        <v>0</v>
      </c>
    </row>
    <row r="1425" spans="1:9" x14ac:dyDescent="0.2">
      <c r="A1425" t="s">
        <v>5699</v>
      </c>
      <c r="B1425" t="s">
        <v>5700</v>
      </c>
      <c r="C1425" t="s">
        <v>1346</v>
      </c>
      <c r="D1425" t="s">
        <v>3</v>
      </c>
      <c r="E1425" t="s">
        <v>4</v>
      </c>
      <c r="F1425">
        <v>298</v>
      </c>
      <c r="G1425">
        <v>311</v>
      </c>
      <c r="H1425" t="s">
        <v>13</v>
      </c>
      <c r="I1425" t="b">
        <f t="shared" si="22"/>
        <v>0</v>
      </c>
    </row>
    <row r="1426" spans="1:9" x14ac:dyDescent="0.2">
      <c r="A1426" t="s">
        <v>4904</v>
      </c>
      <c r="B1426" t="s">
        <v>4905</v>
      </c>
      <c r="C1426" t="s">
        <v>4906</v>
      </c>
      <c r="D1426" t="s">
        <v>4907</v>
      </c>
      <c r="E1426" t="s">
        <v>4</v>
      </c>
      <c r="F1426">
        <v>316</v>
      </c>
      <c r="G1426">
        <v>428</v>
      </c>
      <c r="H1426" t="s">
        <v>13</v>
      </c>
      <c r="I1426" t="b">
        <f t="shared" si="22"/>
        <v>0</v>
      </c>
    </row>
    <row r="1427" spans="1:9" x14ac:dyDescent="0.2">
      <c r="A1427" t="s">
        <v>4868</v>
      </c>
      <c r="B1427" t="s">
        <v>4869</v>
      </c>
      <c r="C1427" t="s">
        <v>4870</v>
      </c>
      <c r="D1427" t="s">
        <v>3</v>
      </c>
      <c r="E1427" t="s">
        <v>4</v>
      </c>
      <c r="F1427">
        <v>49</v>
      </c>
      <c r="G1427">
        <v>109</v>
      </c>
      <c r="H1427" t="s">
        <v>13</v>
      </c>
      <c r="I1427" t="b">
        <f t="shared" si="22"/>
        <v>0</v>
      </c>
    </row>
    <row r="1428" spans="1:9" x14ac:dyDescent="0.2">
      <c r="A1428" t="s">
        <v>6064</v>
      </c>
      <c r="B1428" t="s">
        <v>6065</v>
      </c>
      <c r="C1428" t="s">
        <v>6066</v>
      </c>
      <c r="D1428" t="s">
        <v>3</v>
      </c>
      <c r="E1428" t="s">
        <v>4</v>
      </c>
      <c r="F1428">
        <v>137</v>
      </c>
      <c r="G1428">
        <v>154</v>
      </c>
      <c r="H1428" t="s">
        <v>13</v>
      </c>
      <c r="I1428" t="b">
        <f t="shared" si="22"/>
        <v>0</v>
      </c>
    </row>
    <row r="1429" spans="1:9" x14ac:dyDescent="0.2">
      <c r="A1429" t="s">
        <v>4150</v>
      </c>
      <c r="B1429" t="s">
        <v>4151</v>
      </c>
      <c r="C1429" t="s">
        <v>999</v>
      </c>
      <c r="D1429" t="s">
        <v>3</v>
      </c>
      <c r="E1429" t="s">
        <v>4</v>
      </c>
      <c r="F1429">
        <v>20</v>
      </c>
      <c r="G1429">
        <v>145</v>
      </c>
      <c r="H1429" t="s">
        <v>5</v>
      </c>
      <c r="I1429" t="b">
        <f t="shared" si="22"/>
        <v>0</v>
      </c>
    </row>
    <row r="1430" spans="1:9" x14ac:dyDescent="0.2">
      <c r="A1430" t="s">
        <v>2988</v>
      </c>
      <c r="B1430" t="s">
        <v>2989</v>
      </c>
      <c r="C1430" t="s">
        <v>421</v>
      </c>
      <c r="D1430" t="s">
        <v>2990</v>
      </c>
      <c r="E1430" t="s">
        <v>4</v>
      </c>
      <c r="F1430">
        <v>2297</v>
      </c>
      <c r="G1430">
        <v>1522</v>
      </c>
      <c r="H1430" t="s">
        <v>13</v>
      </c>
      <c r="I1430" t="b">
        <f t="shared" si="22"/>
        <v>0</v>
      </c>
    </row>
    <row r="1431" spans="1:9" x14ac:dyDescent="0.2">
      <c r="A1431" t="s">
        <v>4159</v>
      </c>
      <c r="B1431" t="s">
        <v>4160</v>
      </c>
      <c r="C1431" t="s">
        <v>3797</v>
      </c>
      <c r="D1431" t="s">
        <v>3</v>
      </c>
      <c r="E1431" t="s">
        <v>4</v>
      </c>
      <c r="F1431">
        <v>5</v>
      </c>
      <c r="G1431">
        <v>55</v>
      </c>
      <c r="H1431" t="s">
        <v>374</v>
      </c>
      <c r="I1431" t="b">
        <f t="shared" si="22"/>
        <v>0</v>
      </c>
    </row>
    <row r="1432" spans="1:9" x14ac:dyDescent="0.2">
      <c r="A1432" t="s">
        <v>3589</v>
      </c>
      <c r="B1432" t="s">
        <v>3590</v>
      </c>
      <c r="C1432" t="s">
        <v>1009</v>
      </c>
      <c r="D1432" t="s">
        <v>3</v>
      </c>
      <c r="E1432" t="s">
        <v>4</v>
      </c>
      <c r="F1432">
        <v>594</v>
      </c>
      <c r="G1432">
        <v>236</v>
      </c>
      <c r="H1432" t="s">
        <v>13</v>
      </c>
      <c r="I1432" t="b">
        <f t="shared" si="22"/>
        <v>0</v>
      </c>
    </row>
    <row r="1433" spans="1:9" x14ac:dyDescent="0.2">
      <c r="A1433" t="s">
        <v>6608</v>
      </c>
      <c r="B1433" t="s">
        <v>6609</v>
      </c>
      <c r="C1433" t="s">
        <v>5916</v>
      </c>
      <c r="D1433" t="s">
        <v>6610</v>
      </c>
      <c r="E1433" t="s">
        <v>4</v>
      </c>
      <c r="F1433">
        <v>742</v>
      </c>
      <c r="G1433">
        <v>940</v>
      </c>
      <c r="H1433" t="s">
        <v>13</v>
      </c>
      <c r="I1433" t="b">
        <f t="shared" si="22"/>
        <v>0</v>
      </c>
    </row>
    <row r="1434" spans="1:9" x14ac:dyDescent="0.2">
      <c r="A1434" t="s">
        <v>6909</v>
      </c>
      <c r="B1434" t="s">
        <v>6910</v>
      </c>
      <c r="C1434" t="s">
        <v>6911</v>
      </c>
      <c r="D1434" t="s">
        <v>6912</v>
      </c>
      <c r="E1434" t="s">
        <v>4</v>
      </c>
      <c r="F1434">
        <v>32</v>
      </c>
      <c r="G1434">
        <v>91</v>
      </c>
      <c r="H1434" t="s">
        <v>13</v>
      </c>
      <c r="I1434" t="b">
        <f t="shared" si="22"/>
        <v>0</v>
      </c>
    </row>
    <row r="1435" spans="1:9" x14ac:dyDescent="0.2">
      <c r="A1435" t="s">
        <v>7198</v>
      </c>
      <c r="B1435" t="s">
        <v>7199</v>
      </c>
      <c r="C1435" t="s">
        <v>7191</v>
      </c>
      <c r="D1435" t="s">
        <v>3</v>
      </c>
      <c r="E1435" t="s">
        <v>4</v>
      </c>
      <c r="F1435">
        <v>1960</v>
      </c>
      <c r="G1435">
        <v>233</v>
      </c>
      <c r="H1435" t="s">
        <v>13</v>
      </c>
      <c r="I1435" t="b">
        <f t="shared" si="22"/>
        <v>1</v>
      </c>
    </row>
    <row r="1436" spans="1:9" x14ac:dyDescent="0.2">
      <c r="A1436" t="s">
        <v>7189</v>
      </c>
      <c r="B1436" t="s">
        <v>7190</v>
      </c>
      <c r="C1436" t="s">
        <v>7191</v>
      </c>
      <c r="D1436" t="s">
        <v>3</v>
      </c>
      <c r="E1436" t="s">
        <v>4</v>
      </c>
      <c r="F1436">
        <v>1960</v>
      </c>
      <c r="G1436">
        <v>233</v>
      </c>
      <c r="H1436" t="s">
        <v>13</v>
      </c>
      <c r="I1436" t="b">
        <f t="shared" si="22"/>
        <v>0</v>
      </c>
    </row>
    <row r="1437" spans="1:9" x14ac:dyDescent="0.2">
      <c r="A1437" t="s">
        <v>7179</v>
      </c>
      <c r="B1437" t="s">
        <v>7180</v>
      </c>
      <c r="C1437" t="s">
        <v>611</v>
      </c>
      <c r="D1437" t="s">
        <v>7181</v>
      </c>
      <c r="E1437" t="s">
        <v>4</v>
      </c>
      <c r="F1437">
        <v>112</v>
      </c>
      <c r="G1437">
        <v>379</v>
      </c>
      <c r="H1437" t="s">
        <v>13</v>
      </c>
      <c r="I1437" t="b">
        <f t="shared" si="22"/>
        <v>0</v>
      </c>
    </row>
    <row r="1438" spans="1:9" x14ac:dyDescent="0.2">
      <c r="A1438" t="s">
        <v>1228</v>
      </c>
      <c r="B1438" t="s">
        <v>1229</v>
      </c>
      <c r="C1438" t="s">
        <v>1230</v>
      </c>
      <c r="D1438" t="s">
        <v>1231</v>
      </c>
      <c r="E1438" t="s">
        <v>4</v>
      </c>
      <c r="F1438">
        <v>425</v>
      </c>
      <c r="G1438">
        <v>768</v>
      </c>
      <c r="H1438" t="s">
        <v>13</v>
      </c>
      <c r="I1438" t="b">
        <f t="shared" si="22"/>
        <v>0</v>
      </c>
    </row>
    <row r="1439" spans="1:9" x14ac:dyDescent="0.2">
      <c r="A1439" t="s">
        <v>5928</v>
      </c>
      <c r="B1439" t="s">
        <v>5929</v>
      </c>
      <c r="C1439" t="s">
        <v>5930</v>
      </c>
      <c r="D1439" t="s">
        <v>5931</v>
      </c>
      <c r="E1439" t="s">
        <v>4</v>
      </c>
      <c r="F1439">
        <v>122</v>
      </c>
      <c r="G1439">
        <v>82</v>
      </c>
      <c r="H1439" t="s">
        <v>13</v>
      </c>
      <c r="I1439" t="b">
        <f t="shared" si="22"/>
        <v>0</v>
      </c>
    </row>
    <row r="1440" spans="1:9" x14ac:dyDescent="0.2">
      <c r="A1440" t="s">
        <v>5528</v>
      </c>
      <c r="B1440" t="s">
        <v>5530</v>
      </c>
      <c r="C1440" t="s">
        <v>3448</v>
      </c>
      <c r="D1440" t="s">
        <v>3</v>
      </c>
      <c r="E1440" t="s">
        <v>4</v>
      </c>
      <c r="F1440">
        <v>409</v>
      </c>
      <c r="G1440">
        <v>131</v>
      </c>
      <c r="H1440" t="s">
        <v>13</v>
      </c>
      <c r="I1440" t="b">
        <f t="shared" si="22"/>
        <v>0</v>
      </c>
    </row>
    <row r="1441" spans="1:9" x14ac:dyDescent="0.2">
      <c r="A1441" t="s">
        <v>6467</v>
      </c>
      <c r="B1441" t="s">
        <v>6468</v>
      </c>
      <c r="C1441" t="s">
        <v>704</v>
      </c>
      <c r="D1441" t="s">
        <v>3</v>
      </c>
      <c r="E1441" t="s">
        <v>4</v>
      </c>
      <c r="F1441">
        <v>13402</v>
      </c>
      <c r="G1441">
        <v>4249</v>
      </c>
      <c r="H1441" t="s">
        <v>13</v>
      </c>
      <c r="I1441" t="b">
        <f t="shared" si="22"/>
        <v>0</v>
      </c>
    </row>
    <row r="1442" spans="1:9" x14ac:dyDescent="0.2">
      <c r="A1442" t="s">
        <v>6325</v>
      </c>
      <c r="B1442" t="s">
        <v>6326</v>
      </c>
      <c r="C1442" t="s">
        <v>476</v>
      </c>
      <c r="D1442" t="s">
        <v>6327</v>
      </c>
      <c r="E1442" t="s">
        <v>4</v>
      </c>
      <c r="F1442">
        <v>10</v>
      </c>
      <c r="G1442">
        <v>29</v>
      </c>
      <c r="H1442" t="s">
        <v>13</v>
      </c>
      <c r="I1442" t="b">
        <f t="shared" si="22"/>
        <v>0</v>
      </c>
    </row>
    <row r="1443" spans="1:9" x14ac:dyDescent="0.2">
      <c r="A1443" t="s">
        <v>7144</v>
      </c>
      <c r="B1443" t="s">
        <v>7145</v>
      </c>
      <c r="C1443" t="s">
        <v>60</v>
      </c>
      <c r="D1443" t="s">
        <v>3</v>
      </c>
      <c r="E1443" t="s">
        <v>4</v>
      </c>
      <c r="F1443">
        <v>76</v>
      </c>
      <c r="G1443">
        <v>115</v>
      </c>
      <c r="H1443" t="s">
        <v>13</v>
      </c>
      <c r="I1443" t="b">
        <f t="shared" si="22"/>
        <v>0</v>
      </c>
    </row>
    <row r="1444" spans="1:9" x14ac:dyDescent="0.2">
      <c r="A1444" t="s">
        <v>4995</v>
      </c>
      <c r="B1444" t="s">
        <v>4996</v>
      </c>
      <c r="C1444" t="s">
        <v>4559</v>
      </c>
      <c r="D1444" t="s">
        <v>4560</v>
      </c>
      <c r="E1444" t="s">
        <v>4</v>
      </c>
      <c r="F1444">
        <v>2059</v>
      </c>
      <c r="G1444">
        <v>503</v>
      </c>
      <c r="H1444" t="s">
        <v>13</v>
      </c>
      <c r="I1444" t="b">
        <f t="shared" si="22"/>
        <v>1</v>
      </c>
    </row>
    <row r="1445" spans="1:9" x14ac:dyDescent="0.2">
      <c r="A1445" t="s">
        <v>4968</v>
      </c>
      <c r="B1445" t="s">
        <v>4969</v>
      </c>
      <c r="C1445" t="s">
        <v>4559</v>
      </c>
      <c r="D1445" t="s">
        <v>4560</v>
      </c>
      <c r="E1445" t="s">
        <v>4</v>
      </c>
      <c r="F1445">
        <v>2058</v>
      </c>
      <c r="G1445">
        <v>503</v>
      </c>
      <c r="H1445" t="s">
        <v>13</v>
      </c>
      <c r="I1445" t="b">
        <f t="shared" si="22"/>
        <v>1</v>
      </c>
    </row>
    <row r="1446" spans="1:9" x14ac:dyDescent="0.2">
      <c r="A1446" t="s">
        <v>5023</v>
      </c>
      <c r="B1446" t="s">
        <v>5024</v>
      </c>
      <c r="C1446" t="s">
        <v>4559</v>
      </c>
      <c r="D1446" t="s">
        <v>4560</v>
      </c>
      <c r="E1446" t="s">
        <v>4</v>
      </c>
      <c r="F1446">
        <v>2059</v>
      </c>
      <c r="G1446">
        <v>503</v>
      </c>
      <c r="H1446" t="s">
        <v>13</v>
      </c>
      <c r="I1446" t="b">
        <f t="shared" si="22"/>
        <v>0</v>
      </c>
    </row>
    <row r="1447" spans="1:9" x14ac:dyDescent="0.2">
      <c r="A1447" t="s">
        <v>1114</v>
      </c>
      <c r="B1447" t="s">
        <v>1115</v>
      </c>
      <c r="C1447" t="s">
        <v>1116</v>
      </c>
      <c r="D1447" t="s">
        <v>1117</v>
      </c>
      <c r="E1447" t="s">
        <v>4</v>
      </c>
      <c r="F1447">
        <v>3494</v>
      </c>
      <c r="G1447">
        <v>1203</v>
      </c>
      <c r="H1447" t="s">
        <v>13</v>
      </c>
      <c r="I1447" t="b">
        <f t="shared" si="22"/>
        <v>0</v>
      </c>
    </row>
    <row r="1448" spans="1:9" x14ac:dyDescent="0.2">
      <c r="A1448" t="s">
        <v>3819</v>
      </c>
      <c r="B1448" t="s">
        <v>3820</v>
      </c>
      <c r="C1448" t="s">
        <v>3821</v>
      </c>
      <c r="D1448" t="s">
        <v>1352</v>
      </c>
      <c r="E1448" t="s">
        <v>4</v>
      </c>
      <c r="F1448">
        <v>6648</v>
      </c>
      <c r="G1448">
        <v>7273</v>
      </c>
      <c r="H1448" t="s">
        <v>5</v>
      </c>
      <c r="I1448" t="b">
        <f t="shared" si="22"/>
        <v>0</v>
      </c>
    </row>
    <row r="1449" spans="1:9" x14ac:dyDescent="0.2">
      <c r="A1449" t="s">
        <v>2582</v>
      </c>
      <c r="B1449" t="s">
        <v>2583</v>
      </c>
      <c r="C1449" t="s">
        <v>939</v>
      </c>
      <c r="D1449" t="s">
        <v>2584</v>
      </c>
      <c r="E1449" t="s">
        <v>4</v>
      </c>
      <c r="F1449">
        <v>336</v>
      </c>
      <c r="G1449">
        <v>413</v>
      </c>
      <c r="H1449" t="s">
        <v>13</v>
      </c>
      <c r="I1449" t="b">
        <f t="shared" si="22"/>
        <v>0</v>
      </c>
    </row>
    <row r="1450" spans="1:9" x14ac:dyDescent="0.2">
      <c r="A1450" t="s">
        <v>6051</v>
      </c>
      <c r="B1450" t="s">
        <v>6052</v>
      </c>
      <c r="C1450" t="s">
        <v>3448</v>
      </c>
      <c r="D1450" t="s">
        <v>3</v>
      </c>
      <c r="E1450" t="s">
        <v>4</v>
      </c>
      <c r="F1450">
        <v>135</v>
      </c>
      <c r="G1450">
        <v>205</v>
      </c>
      <c r="H1450" t="s">
        <v>50</v>
      </c>
      <c r="I1450" t="b">
        <f t="shared" si="22"/>
        <v>0</v>
      </c>
    </row>
    <row r="1451" spans="1:9" x14ac:dyDescent="0.2">
      <c r="A1451" t="s">
        <v>5129</v>
      </c>
      <c r="B1451" t="s">
        <v>5130</v>
      </c>
      <c r="C1451" t="s">
        <v>740</v>
      </c>
      <c r="D1451" t="s">
        <v>3</v>
      </c>
      <c r="E1451" t="s">
        <v>4</v>
      </c>
      <c r="F1451">
        <v>17346</v>
      </c>
      <c r="G1451">
        <v>12512</v>
      </c>
      <c r="H1451" t="s">
        <v>13</v>
      </c>
      <c r="I1451" t="b">
        <f t="shared" si="22"/>
        <v>0</v>
      </c>
    </row>
    <row r="1452" spans="1:9" x14ac:dyDescent="0.2">
      <c r="A1452" t="s">
        <v>6947</v>
      </c>
      <c r="B1452" t="s">
        <v>6948</v>
      </c>
      <c r="C1452" t="s">
        <v>414</v>
      </c>
      <c r="D1452" t="s">
        <v>6949</v>
      </c>
      <c r="E1452" t="s">
        <v>4</v>
      </c>
      <c r="F1452">
        <v>190</v>
      </c>
      <c r="G1452">
        <v>209</v>
      </c>
      <c r="H1452" t="s">
        <v>13</v>
      </c>
      <c r="I1452" t="b">
        <f t="shared" si="22"/>
        <v>0</v>
      </c>
    </row>
    <row r="1453" spans="1:9" x14ac:dyDescent="0.2">
      <c r="A1453" t="s">
        <v>3985</v>
      </c>
      <c r="B1453" t="s">
        <v>3986</v>
      </c>
      <c r="C1453" t="s">
        <v>730</v>
      </c>
      <c r="D1453" t="s">
        <v>3</v>
      </c>
      <c r="E1453" t="s">
        <v>4</v>
      </c>
      <c r="F1453">
        <v>2030</v>
      </c>
      <c r="G1453">
        <v>3010</v>
      </c>
      <c r="H1453" t="s">
        <v>13</v>
      </c>
      <c r="I1453" t="b">
        <f t="shared" si="22"/>
        <v>0</v>
      </c>
    </row>
    <row r="1454" spans="1:9" x14ac:dyDescent="0.2">
      <c r="A1454" t="s">
        <v>4588</v>
      </c>
      <c r="B1454" t="s">
        <v>4589</v>
      </c>
      <c r="C1454" t="s">
        <v>3253</v>
      </c>
      <c r="D1454" t="s">
        <v>4590</v>
      </c>
      <c r="E1454" t="s">
        <v>4</v>
      </c>
      <c r="F1454">
        <v>18</v>
      </c>
      <c r="G1454">
        <v>350</v>
      </c>
      <c r="H1454" t="s">
        <v>13</v>
      </c>
      <c r="I1454" t="b">
        <f t="shared" si="22"/>
        <v>0</v>
      </c>
    </row>
    <row r="1455" spans="1:9" x14ac:dyDescent="0.2">
      <c r="A1455" t="s">
        <v>2496</v>
      </c>
      <c r="B1455" t="s">
        <v>2497</v>
      </c>
      <c r="C1455" t="s">
        <v>494</v>
      </c>
      <c r="D1455" t="s">
        <v>2498</v>
      </c>
      <c r="E1455" t="s">
        <v>4</v>
      </c>
      <c r="F1455">
        <v>1258</v>
      </c>
      <c r="G1455">
        <v>401</v>
      </c>
      <c r="H1455" t="s">
        <v>13</v>
      </c>
      <c r="I1455" t="b">
        <f t="shared" si="22"/>
        <v>0</v>
      </c>
    </row>
    <row r="1456" spans="1:9" x14ac:dyDescent="0.2">
      <c r="A1456" t="s">
        <v>6929</v>
      </c>
      <c r="B1456" t="s">
        <v>6930</v>
      </c>
      <c r="C1456" t="s">
        <v>6066</v>
      </c>
      <c r="D1456" t="s">
        <v>64</v>
      </c>
      <c r="E1456" t="s">
        <v>4</v>
      </c>
      <c r="F1456">
        <v>356</v>
      </c>
      <c r="G1456">
        <v>335</v>
      </c>
      <c r="H1456" t="s">
        <v>13</v>
      </c>
      <c r="I1456" t="b">
        <f t="shared" si="22"/>
        <v>0</v>
      </c>
    </row>
    <row r="1457" spans="1:9" x14ac:dyDescent="0.2">
      <c r="A1457" t="s">
        <v>6315</v>
      </c>
      <c r="B1457" t="s">
        <v>6316</v>
      </c>
      <c r="C1457" t="s">
        <v>6317</v>
      </c>
      <c r="D1457" t="s">
        <v>1292</v>
      </c>
      <c r="E1457" t="s">
        <v>4</v>
      </c>
      <c r="F1457">
        <v>726</v>
      </c>
      <c r="G1457">
        <v>1258</v>
      </c>
      <c r="H1457" t="s">
        <v>13</v>
      </c>
      <c r="I1457" t="b">
        <f t="shared" si="22"/>
        <v>0</v>
      </c>
    </row>
    <row r="1458" spans="1:9" x14ac:dyDescent="0.2">
      <c r="A1458" t="s">
        <v>6210</v>
      </c>
      <c r="B1458" t="s">
        <v>6211</v>
      </c>
      <c r="C1458" t="s">
        <v>588</v>
      </c>
      <c r="D1458" t="s">
        <v>422</v>
      </c>
      <c r="E1458" t="s">
        <v>4</v>
      </c>
      <c r="F1458">
        <v>341</v>
      </c>
      <c r="G1458">
        <v>360</v>
      </c>
      <c r="H1458" t="s">
        <v>13</v>
      </c>
      <c r="I1458" t="b">
        <f t="shared" si="22"/>
        <v>0</v>
      </c>
    </row>
    <row r="1459" spans="1:9" x14ac:dyDescent="0.2">
      <c r="A1459" t="s">
        <v>4826</v>
      </c>
      <c r="B1459" t="s">
        <v>4827</v>
      </c>
      <c r="C1459" t="s">
        <v>902</v>
      </c>
      <c r="D1459" t="s">
        <v>3</v>
      </c>
      <c r="E1459" t="s">
        <v>4</v>
      </c>
      <c r="F1459">
        <v>19</v>
      </c>
      <c r="G1459">
        <v>181</v>
      </c>
      <c r="H1459" t="s">
        <v>13</v>
      </c>
      <c r="I1459" t="b">
        <f t="shared" si="22"/>
        <v>0</v>
      </c>
    </row>
    <row r="1460" spans="1:9" x14ac:dyDescent="0.2">
      <c r="A1460" t="s">
        <v>5858</v>
      </c>
      <c r="B1460" t="s">
        <v>5859</v>
      </c>
      <c r="C1460" t="s">
        <v>5860</v>
      </c>
      <c r="D1460" t="s">
        <v>5861</v>
      </c>
      <c r="E1460" t="s">
        <v>4</v>
      </c>
      <c r="F1460">
        <v>47</v>
      </c>
      <c r="G1460">
        <v>85</v>
      </c>
      <c r="H1460" t="s">
        <v>13</v>
      </c>
      <c r="I1460" t="b">
        <f t="shared" si="22"/>
        <v>0</v>
      </c>
    </row>
    <row r="1461" spans="1:9" x14ac:dyDescent="0.2">
      <c r="A1461" t="s">
        <v>3436</v>
      </c>
      <c r="B1461" t="s">
        <v>3437</v>
      </c>
      <c r="C1461" t="s">
        <v>2490</v>
      </c>
      <c r="D1461" t="s">
        <v>3438</v>
      </c>
      <c r="E1461" t="s">
        <v>4</v>
      </c>
      <c r="F1461">
        <v>188</v>
      </c>
      <c r="G1461">
        <v>109</v>
      </c>
      <c r="H1461" t="s">
        <v>13</v>
      </c>
      <c r="I1461" t="b">
        <f t="shared" si="22"/>
        <v>0</v>
      </c>
    </row>
    <row r="1462" spans="1:9" x14ac:dyDescent="0.2">
      <c r="A1462" t="s">
        <v>3947</v>
      </c>
      <c r="B1462" t="s">
        <v>3948</v>
      </c>
      <c r="C1462" t="s">
        <v>230</v>
      </c>
      <c r="D1462" t="s">
        <v>3949</v>
      </c>
      <c r="E1462" t="s">
        <v>38</v>
      </c>
      <c r="F1462">
        <v>99379</v>
      </c>
      <c r="G1462">
        <v>4518</v>
      </c>
      <c r="H1462" t="s">
        <v>13</v>
      </c>
      <c r="I1462" t="b">
        <f t="shared" si="22"/>
        <v>0</v>
      </c>
    </row>
    <row r="1463" spans="1:9" x14ac:dyDescent="0.2">
      <c r="A1463" t="s">
        <v>1804</v>
      </c>
      <c r="B1463" t="s">
        <v>1805</v>
      </c>
      <c r="C1463" t="s">
        <v>1652</v>
      </c>
      <c r="D1463" t="s">
        <v>1806</v>
      </c>
      <c r="E1463" t="s">
        <v>4</v>
      </c>
      <c r="F1463">
        <v>1688</v>
      </c>
      <c r="G1463">
        <v>2246</v>
      </c>
      <c r="H1463" t="s">
        <v>13</v>
      </c>
      <c r="I1463" t="b">
        <f t="shared" si="22"/>
        <v>0</v>
      </c>
    </row>
    <row r="1464" spans="1:9" x14ac:dyDescent="0.2">
      <c r="A1464" t="s">
        <v>5917</v>
      </c>
      <c r="B1464" t="s">
        <v>5918</v>
      </c>
      <c r="C1464" t="s">
        <v>568</v>
      </c>
      <c r="D1464" t="s">
        <v>5919</v>
      </c>
      <c r="E1464" t="s">
        <v>4</v>
      </c>
      <c r="F1464">
        <v>13</v>
      </c>
      <c r="G1464">
        <v>53</v>
      </c>
      <c r="H1464" t="s">
        <v>13</v>
      </c>
      <c r="I1464" t="b">
        <f t="shared" si="22"/>
        <v>0</v>
      </c>
    </row>
    <row r="1465" spans="1:9" x14ac:dyDescent="0.2">
      <c r="A1465" t="s">
        <v>1986</v>
      </c>
      <c r="B1465" t="s">
        <v>1987</v>
      </c>
      <c r="C1465" t="s">
        <v>197</v>
      </c>
      <c r="D1465" t="s">
        <v>1988</v>
      </c>
      <c r="E1465" t="s">
        <v>4</v>
      </c>
      <c r="F1465">
        <v>70</v>
      </c>
      <c r="G1465">
        <v>249</v>
      </c>
      <c r="H1465" t="s">
        <v>13</v>
      </c>
      <c r="I1465" t="b">
        <f t="shared" si="22"/>
        <v>0</v>
      </c>
    </row>
    <row r="1466" spans="1:9" x14ac:dyDescent="0.2">
      <c r="A1466" t="s">
        <v>2463</v>
      </c>
      <c r="B1466" t="s">
        <v>2464</v>
      </c>
      <c r="C1466" t="s">
        <v>558</v>
      </c>
      <c r="D1466" t="s">
        <v>2465</v>
      </c>
      <c r="E1466" t="s">
        <v>4</v>
      </c>
      <c r="F1466">
        <v>15</v>
      </c>
      <c r="G1466">
        <v>55</v>
      </c>
      <c r="H1466" t="s">
        <v>13</v>
      </c>
      <c r="I1466" t="b">
        <f t="shared" si="22"/>
        <v>0</v>
      </c>
    </row>
    <row r="1467" spans="1:9" x14ac:dyDescent="0.2">
      <c r="A1467" t="s">
        <v>2659</v>
      </c>
      <c r="B1467" t="s">
        <v>2660</v>
      </c>
      <c r="C1467" t="s">
        <v>2661</v>
      </c>
      <c r="D1467" t="s">
        <v>2662</v>
      </c>
      <c r="E1467" t="s">
        <v>4</v>
      </c>
      <c r="F1467">
        <v>2076</v>
      </c>
      <c r="G1467">
        <v>300</v>
      </c>
      <c r="H1467" t="s">
        <v>13</v>
      </c>
      <c r="I1467" t="b">
        <f t="shared" si="22"/>
        <v>0</v>
      </c>
    </row>
    <row r="1468" spans="1:9" x14ac:dyDescent="0.2">
      <c r="A1468" t="s">
        <v>3288</v>
      </c>
      <c r="B1468" t="s">
        <v>3289</v>
      </c>
      <c r="C1468" t="s">
        <v>962</v>
      </c>
      <c r="D1468" t="s">
        <v>3</v>
      </c>
      <c r="E1468" t="s">
        <v>4</v>
      </c>
      <c r="F1468">
        <v>280</v>
      </c>
      <c r="G1468">
        <v>685</v>
      </c>
      <c r="H1468" t="s">
        <v>13</v>
      </c>
      <c r="I1468" t="b">
        <f t="shared" si="22"/>
        <v>0</v>
      </c>
    </row>
    <row r="1469" spans="1:9" x14ac:dyDescent="0.2">
      <c r="A1469" t="s">
        <v>3007</v>
      </c>
      <c r="B1469" t="s">
        <v>3008</v>
      </c>
      <c r="C1469" t="s">
        <v>2646</v>
      </c>
      <c r="D1469" t="s">
        <v>2260</v>
      </c>
      <c r="E1469" t="s">
        <v>4</v>
      </c>
      <c r="F1469">
        <v>107</v>
      </c>
      <c r="G1469">
        <v>67</v>
      </c>
      <c r="H1469" t="s">
        <v>13</v>
      </c>
      <c r="I1469" t="b">
        <f t="shared" si="22"/>
        <v>0</v>
      </c>
    </row>
    <row r="1470" spans="1:9" x14ac:dyDescent="0.2">
      <c r="A1470" t="s">
        <v>2382</v>
      </c>
      <c r="B1470" t="s">
        <v>2383</v>
      </c>
      <c r="C1470" t="s">
        <v>487</v>
      </c>
      <c r="D1470" t="s">
        <v>3</v>
      </c>
      <c r="E1470" t="s">
        <v>4</v>
      </c>
      <c r="F1470">
        <v>13924</v>
      </c>
      <c r="G1470">
        <v>598</v>
      </c>
      <c r="H1470" t="s">
        <v>13</v>
      </c>
      <c r="I1470" t="b">
        <f t="shared" si="22"/>
        <v>0</v>
      </c>
    </row>
    <row r="1471" spans="1:9" x14ac:dyDescent="0.2">
      <c r="A1471" t="s">
        <v>5557</v>
      </c>
      <c r="B1471" t="s">
        <v>5558</v>
      </c>
      <c r="C1471" t="s">
        <v>443</v>
      </c>
      <c r="D1471" t="s">
        <v>3</v>
      </c>
      <c r="E1471" t="s">
        <v>4</v>
      </c>
      <c r="F1471">
        <v>155</v>
      </c>
      <c r="G1471">
        <v>570</v>
      </c>
      <c r="H1471" t="s">
        <v>13</v>
      </c>
      <c r="I1471" t="b">
        <f t="shared" si="22"/>
        <v>0</v>
      </c>
    </row>
    <row r="1472" spans="1:9" x14ac:dyDescent="0.2">
      <c r="A1472" t="s">
        <v>6444</v>
      </c>
      <c r="B1472" t="s">
        <v>6445</v>
      </c>
      <c r="C1472" t="s">
        <v>1375</v>
      </c>
      <c r="D1472" t="s">
        <v>6446</v>
      </c>
      <c r="E1472" t="s">
        <v>4</v>
      </c>
      <c r="F1472">
        <v>422</v>
      </c>
      <c r="G1472">
        <v>399</v>
      </c>
      <c r="H1472" t="s">
        <v>13</v>
      </c>
      <c r="I1472" t="b">
        <f t="shared" si="22"/>
        <v>0</v>
      </c>
    </row>
    <row r="1473" spans="1:9" x14ac:dyDescent="0.2">
      <c r="A1473" t="s">
        <v>1010</v>
      </c>
      <c r="B1473" t="s">
        <v>1011</v>
      </c>
      <c r="C1473" t="s">
        <v>1012</v>
      </c>
      <c r="D1473" t="s">
        <v>1013</v>
      </c>
      <c r="E1473" t="s">
        <v>4</v>
      </c>
      <c r="F1473">
        <v>109</v>
      </c>
      <c r="G1473">
        <v>382</v>
      </c>
      <c r="H1473" t="s">
        <v>13</v>
      </c>
      <c r="I1473" t="b">
        <f t="shared" si="22"/>
        <v>0</v>
      </c>
    </row>
    <row r="1474" spans="1:9" x14ac:dyDescent="0.2">
      <c r="A1474" t="s">
        <v>2067</v>
      </c>
      <c r="B1474" t="s">
        <v>2068</v>
      </c>
      <c r="C1474" t="s">
        <v>740</v>
      </c>
      <c r="D1474" t="s">
        <v>3</v>
      </c>
      <c r="E1474" t="s">
        <v>4</v>
      </c>
      <c r="F1474">
        <v>17347</v>
      </c>
      <c r="G1474">
        <v>12513</v>
      </c>
      <c r="H1474" t="s">
        <v>13</v>
      </c>
      <c r="I1474" t="b">
        <f t="shared" si="22"/>
        <v>0</v>
      </c>
    </row>
    <row r="1475" spans="1:9" x14ac:dyDescent="0.2">
      <c r="A1475" t="s">
        <v>2437</v>
      </c>
      <c r="B1475" t="s">
        <v>2438</v>
      </c>
      <c r="C1475" t="s">
        <v>323</v>
      </c>
      <c r="D1475" t="s">
        <v>2439</v>
      </c>
      <c r="E1475" t="s">
        <v>4</v>
      </c>
      <c r="F1475">
        <v>753</v>
      </c>
      <c r="G1475">
        <v>98</v>
      </c>
      <c r="H1475" t="s">
        <v>645</v>
      </c>
      <c r="I1475" t="b">
        <f t="shared" ref="I1475:I1538" si="23">isDup(B1475, B1476, 0.7)</f>
        <v>0</v>
      </c>
    </row>
    <row r="1476" spans="1:9" x14ac:dyDescent="0.2">
      <c r="A1476" t="s">
        <v>6291</v>
      </c>
      <c r="B1476" t="s">
        <v>6292</v>
      </c>
      <c r="C1476" t="s">
        <v>948</v>
      </c>
      <c r="D1476" t="s">
        <v>3</v>
      </c>
      <c r="E1476" t="s">
        <v>4</v>
      </c>
      <c r="F1476">
        <v>147</v>
      </c>
      <c r="G1476">
        <v>142</v>
      </c>
      <c r="H1476" t="s">
        <v>50</v>
      </c>
      <c r="I1476" t="b">
        <f t="shared" si="23"/>
        <v>0</v>
      </c>
    </row>
    <row r="1477" spans="1:9" x14ac:dyDescent="0.2">
      <c r="A1477" t="s">
        <v>5277</v>
      </c>
      <c r="B1477" t="s">
        <v>5278</v>
      </c>
      <c r="C1477" t="s">
        <v>993</v>
      </c>
      <c r="D1477" t="s">
        <v>3</v>
      </c>
      <c r="E1477" t="s">
        <v>4</v>
      </c>
      <c r="F1477">
        <v>110</v>
      </c>
      <c r="G1477">
        <v>45</v>
      </c>
      <c r="H1477" t="s">
        <v>13</v>
      </c>
      <c r="I1477" t="b">
        <f t="shared" si="23"/>
        <v>0</v>
      </c>
    </row>
    <row r="1478" spans="1:9" x14ac:dyDescent="0.2">
      <c r="A1478" t="s">
        <v>6635</v>
      </c>
      <c r="B1478" t="s">
        <v>6636</v>
      </c>
      <c r="C1478" t="s">
        <v>6637</v>
      </c>
      <c r="D1478" t="s">
        <v>3</v>
      </c>
      <c r="E1478" t="s">
        <v>4</v>
      </c>
      <c r="F1478">
        <v>357</v>
      </c>
      <c r="G1478">
        <v>559</v>
      </c>
      <c r="H1478" t="s">
        <v>13</v>
      </c>
      <c r="I1478" t="b">
        <f t="shared" si="23"/>
        <v>0</v>
      </c>
    </row>
    <row r="1479" spans="1:9" x14ac:dyDescent="0.2">
      <c r="A1479" t="s">
        <v>6616</v>
      </c>
      <c r="B1479" t="s">
        <v>6617</v>
      </c>
      <c r="C1479" t="s">
        <v>631</v>
      </c>
      <c r="D1479" t="s">
        <v>6618</v>
      </c>
      <c r="E1479" t="s">
        <v>4</v>
      </c>
      <c r="F1479">
        <v>812</v>
      </c>
      <c r="G1479">
        <v>325</v>
      </c>
      <c r="H1479" t="s">
        <v>13</v>
      </c>
      <c r="I1479" t="b">
        <f t="shared" si="23"/>
        <v>0</v>
      </c>
    </row>
    <row r="1480" spans="1:9" x14ac:dyDescent="0.2">
      <c r="A1480" t="s">
        <v>3486</v>
      </c>
      <c r="B1480" t="s">
        <v>3487</v>
      </c>
      <c r="C1480" t="s">
        <v>3488</v>
      </c>
      <c r="D1480" t="s">
        <v>3489</v>
      </c>
      <c r="E1480" t="s">
        <v>4</v>
      </c>
      <c r="F1480">
        <v>934</v>
      </c>
      <c r="G1480">
        <v>776</v>
      </c>
      <c r="H1480" t="s">
        <v>13</v>
      </c>
      <c r="I1480" t="b">
        <f t="shared" si="23"/>
        <v>0</v>
      </c>
    </row>
    <row r="1481" spans="1:9" x14ac:dyDescent="0.2">
      <c r="A1481" t="s">
        <v>5371</v>
      </c>
      <c r="B1481" t="s">
        <v>5372</v>
      </c>
      <c r="C1481" t="s">
        <v>5373</v>
      </c>
      <c r="D1481" t="s">
        <v>3</v>
      </c>
      <c r="E1481" t="s">
        <v>4</v>
      </c>
      <c r="F1481">
        <v>3691</v>
      </c>
      <c r="G1481">
        <v>600</v>
      </c>
      <c r="H1481" t="s">
        <v>5</v>
      </c>
      <c r="I1481" t="b">
        <f t="shared" si="23"/>
        <v>0</v>
      </c>
    </row>
    <row r="1482" spans="1:9" x14ac:dyDescent="0.2">
      <c r="A1482" t="s">
        <v>3810</v>
      </c>
      <c r="B1482" t="s">
        <v>3811</v>
      </c>
      <c r="C1482" t="s">
        <v>3642</v>
      </c>
      <c r="D1482" t="s">
        <v>2335</v>
      </c>
      <c r="E1482" t="s">
        <v>4</v>
      </c>
      <c r="F1482">
        <v>798</v>
      </c>
      <c r="G1482">
        <v>1616</v>
      </c>
      <c r="H1482" t="s">
        <v>13</v>
      </c>
      <c r="I1482" t="b">
        <f t="shared" si="23"/>
        <v>0</v>
      </c>
    </row>
    <row r="1483" spans="1:9" x14ac:dyDescent="0.2">
      <c r="A1483" t="s">
        <v>1122</v>
      </c>
      <c r="B1483" t="s">
        <v>1123</v>
      </c>
      <c r="C1483" t="s">
        <v>1124</v>
      </c>
      <c r="D1483" t="s">
        <v>1125</v>
      </c>
      <c r="E1483" t="s">
        <v>4</v>
      </c>
      <c r="F1483">
        <v>1064</v>
      </c>
      <c r="G1483">
        <v>444</v>
      </c>
      <c r="H1483" t="s">
        <v>13</v>
      </c>
      <c r="I1483" t="b">
        <f t="shared" si="23"/>
        <v>0</v>
      </c>
    </row>
    <row r="1484" spans="1:9" x14ac:dyDescent="0.2">
      <c r="A1484" t="s">
        <v>7202</v>
      </c>
      <c r="B1484" t="s">
        <v>7203</v>
      </c>
      <c r="C1484" t="s">
        <v>740</v>
      </c>
      <c r="D1484" t="s">
        <v>3</v>
      </c>
      <c r="E1484" t="s">
        <v>4</v>
      </c>
      <c r="F1484">
        <v>17347</v>
      </c>
      <c r="G1484">
        <v>12516</v>
      </c>
      <c r="H1484" t="s">
        <v>13</v>
      </c>
      <c r="I1484" t="b">
        <f t="shared" si="23"/>
        <v>0</v>
      </c>
    </row>
    <row r="1485" spans="1:9" x14ac:dyDescent="0.2">
      <c r="A1485" t="s">
        <v>7065</v>
      </c>
      <c r="B1485" t="s">
        <v>7066</v>
      </c>
      <c r="C1485" t="s">
        <v>7067</v>
      </c>
      <c r="D1485" t="s">
        <v>7068</v>
      </c>
      <c r="E1485" t="s">
        <v>4</v>
      </c>
      <c r="F1485">
        <v>19</v>
      </c>
      <c r="G1485">
        <v>66</v>
      </c>
      <c r="H1485" t="s">
        <v>13</v>
      </c>
      <c r="I1485" t="b">
        <f t="shared" si="23"/>
        <v>0</v>
      </c>
    </row>
    <row r="1486" spans="1:9" x14ac:dyDescent="0.2">
      <c r="A1486" t="s">
        <v>6226</v>
      </c>
      <c r="B1486" t="s">
        <v>6227</v>
      </c>
      <c r="C1486" t="s">
        <v>2995</v>
      </c>
      <c r="D1486" t="s">
        <v>6228</v>
      </c>
      <c r="E1486" t="s">
        <v>4</v>
      </c>
      <c r="F1486">
        <v>49</v>
      </c>
      <c r="G1486">
        <v>472</v>
      </c>
      <c r="H1486" t="s">
        <v>13</v>
      </c>
      <c r="I1486" t="b">
        <f t="shared" si="23"/>
        <v>0</v>
      </c>
    </row>
    <row r="1487" spans="1:9" x14ac:dyDescent="0.2">
      <c r="A1487" t="s">
        <v>3727</v>
      </c>
      <c r="B1487" t="s">
        <v>3728</v>
      </c>
      <c r="C1487" t="s">
        <v>3729</v>
      </c>
      <c r="D1487" t="s">
        <v>3730</v>
      </c>
      <c r="E1487" t="s">
        <v>4</v>
      </c>
      <c r="F1487">
        <v>126820</v>
      </c>
      <c r="G1487">
        <v>638</v>
      </c>
      <c r="H1487" t="s">
        <v>13</v>
      </c>
      <c r="I1487" t="b">
        <f t="shared" si="23"/>
        <v>0</v>
      </c>
    </row>
    <row r="1488" spans="1:9" x14ac:dyDescent="0.2">
      <c r="A1488" t="s">
        <v>6346</v>
      </c>
      <c r="B1488" t="s">
        <v>6347</v>
      </c>
      <c r="C1488" t="s">
        <v>730</v>
      </c>
      <c r="D1488" t="s">
        <v>1457</v>
      </c>
      <c r="E1488" t="s">
        <v>4</v>
      </c>
      <c r="F1488">
        <v>48</v>
      </c>
      <c r="G1488">
        <v>62</v>
      </c>
      <c r="H1488" t="s">
        <v>13</v>
      </c>
      <c r="I1488" t="b">
        <f t="shared" si="23"/>
        <v>0</v>
      </c>
    </row>
    <row r="1489" spans="1:9" x14ac:dyDescent="0.2">
      <c r="A1489" t="s">
        <v>3531</v>
      </c>
      <c r="B1489" t="s">
        <v>3532</v>
      </c>
      <c r="C1489" t="s">
        <v>410</v>
      </c>
      <c r="D1489" t="s">
        <v>3</v>
      </c>
      <c r="E1489" t="s">
        <v>4</v>
      </c>
      <c r="F1489">
        <v>246</v>
      </c>
      <c r="G1489">
        <v>71</v>
      </c>
      <c r="H1489" t="s">
        <v>13</v>
      </c>
      <c r="I1489" t="b">
        <f t="shared" si="23"/>
        <v>0</v>
      </c>
    </row>
    <row r="1490" spans="1:9" x14ac:dyDescent="0.2">
      <c r="A1490" t="s">
        <v>5824</v>
      </c>
      <c r="B1490" t="s">
        <v>5825</v>
      </c>
      <c r="C1490" t="s">
        <v>611</v>
      </c>
      <c r="D1490" t="s">
        <v>2990</v>
      </c>
      <c r="E1490" t="s">
        <v>4</v>
      </c>
      <c r="F1490">
        <v>138</v>
      </c>
      <c r="G1490">
        <v>148</v>
      </c>
      <c r="H1490" t="s">
        <v>13</v>
      </c>
      <c r="I1490" t="b">
        <f t="shared" si="23"/>
        <v>0</v>
      </c>
    </row>
    <row r="1491" spans="1:9" x14ac:dyDescent="0.2">
      <c r="A1491" t="s">
        <v>5298</v>
      </c>
      <c r="B1491" t="s">
        <v>5299</v>
      </c>
      <c r="C1491" t="s">
        <v>5300</v>
      </c>
      <c r="D1491" t="s">
        <v>5301</v>
      </c>
      <c r="E1491" t="s">
        <v>4</v>
      </c>
      <c r="F1491">
        <v>42</v>
      </c>
      <c r="G1491">
        <v>176</v>
      </c>
      <c r="H1491" t="s">
        <v>13</v>
      </c>
      <c r="I1491" t="b">
        <f t="shared" si="23"/>
        <v>0</v>
      </c>
    </row>
    <row r="1492" spans="1:9" x14ac:dyDescent="0.2">
      <c r="A1492" t="s">
        <v>5751</v>
      </c>
      <c r="B1492" t="s">
        <v>5752</v>
      </c>
      <c r="C1492" t="s">
        <v>5753</v>
      </c>
      <c r="D1492" t="s">
        <v>3</v>
      </c>
      <c r="E1492" t="s">
        <v>4</v>
      </c>
      <c r="F1492">
        <v>12</v>
      </c>
      <c r="G1492">
        <v>34</v>
      </c>
      <c r="H1492" t="s">
        <v>13</v>
      </c>
      <c r="I1492" t="b">
        <f t="shared" si="23"/>
        <v>0</v>
      </c>
    </row>
    <row r="1493" spans="1:9" x14ac:dyDescent="0.2">
      <c r="A1493" t="s">
        <v>3553</v>
      </c>
      <c r="B1493" t="s">
        <v>3554</v>
      </c>
      <c r="C1493" t="s">
        <v>2425</v>
      </c>
      <c r="D1493" t="s">
        <v>3</v>
      </c>
      <c r="E1493" t="s">
        <v>4</v>
      </c>
      <c r="F1493">
        <v>82</v>
      </c>
      <c r="G1493">
        <v>91</v>
      </c>
      <c r="H1493" t="s">
        <v>13</v>
      </c>
      <c r="I1493" t="b">
        <f t="shared" si="23"/>
        <v>0</v>
      </c>
    </row>
    <row r="1494" spans="1:9" x14ac:dyDescent="0.2">
      <c r="A1494" t="s">
        <v>5322</v>
      </c>
      <c r="B1494" t="s">
        <v>5323</v>
      </c>
      <c r="C1494" t="s">
        <v>165</v>
      </c>
      <c r="D1494" t="s">
        <v>5324</v>
      </c>
      <c r="E1494" t="s">
        <v>4</v>
      </c>
      <c r="F1494">
        <v>1443</v>
      </c>
      <c r="G1494">
        <v>1514</v>
      </c>
      <c r="H1494" t="s">
        <v>13</v>
      </c>
      <c r="I1494" t="b">
        <f t="shared" si="23"/>
        <v>0</v>
      </c>
    </row>
    <row r="1495" spans="1:9" x14ac:dyDescent="0.2">
      <c r="A1495" t="s">
        <v>3353</v>
      </c>
      <c r="B1495" t="s">
        <v>3354</v>
      </c>
      <c r="C1495" t="s">
        <v>82</v>
      </c>
      <c r="D1495" t="s">
        <v>3355</v>
      </c>
      <c r="E1495" t="s">
        <v>4</v>
      </c>
      <c r="F1495">
        <v>598</v>
      </c>
      <c r="G1495">
        <v>2901</v>
      </c>
      <c r="H1495" t="s">
        <v>13</v>
      </c>
      <c r="I1495" t="b">
        <f t="shared" si="23"/>
        <v>0</v>
      </c>
    </row>
    <row r="1496" spans="1:9" x14ac:dyDescent="0.2">
      <c r="A1496" t="s">
        <v>5274</v>
      </c>
      <c r="B1496" t="s">
        <v>5275</v>
      </c>
      <c r="C1496" t="s">
        <v>5276</v>
      </c>
      <c r="D1496" t="s">
        <v>64</v>
      </c>
      <c r="E1496" t="s">
        <v>4</v>
      </c>
      <c r="F1496">
        <v>785</v>
      </c>
      <c r="G1496">
        <v>934</v>
      </c>
      <c r="H1496" t="s">
        <v>13</v>
      </c>
      <c r="I1496" t="b">
        <f t="shared" si="23"/>
        <v>0</v>
      </c>
    </row>
    <row r="1497" spans="1:9" x14ac:dyDescent="0.2">
      <c r="A1497" t="s">
        <v>1871</v>
      </c>
      <c r="B1497" t="s">
        <v>1872</v>
      </c>
      <c r="C1497" t="s">
        <v>1873</v>
      </c>
      <c r="D1497" t="s">
        <v>1874</v>
      </c>
      <c r="E1497" t="s">
        <v>4</v>
      </c>
      <c r="F1497">
        <v>382</v>
      </c>
      <c r="G1497">
        <v>1026</v>
      </c>
      <c r="H1497" t="s">
        <v>50</v>
      </c>
      <c r="I1497" t="b">
        <f t="shared" si="23"/>
        <v>0</v>
      </c>
    </row>
    <row r="1498" spans="1:9" x14ac:dyDescent="0.2">
      <c r="A1498" t="s">
        <v>880</v>
      </c>
      <c r="B1498" t="s">
        <v>881</v>
      </c>
      <c r="C1498" t="s">
        <v>786</v>
      </c>
      <c r="D1498" t="s">
        <v>3</v>
      </c>
      <c r="E1498" t="s">
        <v>4</v>
      </c>
      <c r="F1498">
        <v>14920</v>
      </c>
      <c r="G1498">
        <v>8377</v>
      </c>
      <c r="H1498" t="s">
        <v>13</v>
      </c>
      <c r="I1498" t="b">
        <f t="shared" si="23"/>
        <v>0</v>
      </c>
    </row>
    <row r="1499" spans="1:9" x14ac:dyDescent="0.2">
      <c r="A1499" t="s">
        <v>2450</v>
      </c>
      <c r="B1499" t="s">
        <v>2451</v>
      </c>
      <c r="C1499" t="s">
        <v>1095</v>
      </c>
      <c r="D1499" t="s">
        <v>932</v>
      </c>
      <c r="E1499" t="s">
        <v>4</v>
      </c>
      <c r="F1499">
        <v>26</v>
      </c>
      <c r="G1499">
        <v>162</v>
      </c>
      <c r="H1499" t="s">
        <v>50</v>
      </c>
      <c r="I1499" t="b">
        <f t="shared" si="23"/>
        <v>0</v>
      </c>
    </row>
    <row r="1500" spans="1:9" x14ac:dyDescent="0.2">
      <c r="A1500" t="s">
        <v>6005</v>
      </c>
      <c r="B1500" t="s">
        <v>6006</v>
      </c>
      <c r="C1500" t="s">
        <v>5979</v>
      </c>
      <c r="D1500" t="s">
        <v>5980</v>
      </c>
      <c r="E1500" t="s">
        <v>4</v>
      </c>
      <c r="F1500">
        <v>490</v>
      </c>
      <c r="G1500">
        <v>649</v>
      </c>
      <c r="H1500" t="s">
        <v>374</v>
      </c>
      <c r="I1500" t="b">
        <f t="shared" si="23"/>
        <v>0</v>
      </c>
    </row>
    <row r="1501" spans="1:9" x14ac:dyDescent="0.2">
      <c r="A1501" t="s">
        <v>3145</v>
      </c>
      <c r="B1501" t="s">
        <v>3146</v>
      </c>
      <c r="C1501" t="s">
        <v>104</v>
      </c>
      <c r="D1501" t="s">
        <v>3</v>
      </c>
      <c r="E1501" t="s">
        <v>4</v>
      </c>
      <c r="F1501">
        <v>3</v>
      </c>
      <c r="G1501">
        <v>0</v>
      </c>
      <c r="H1501" t="s">
        <v>363</v>
      </c>
      <c r="I1501" t="b">
        <f t="shared" si="23"/>
        <v>0</v>
      </c>
    </row>
    <row r="1502" spans="1:9" x14ac:dyDescent="0.2">
      <c r="A1502" t="s">
        <v>6567</v>
      </c>
      <c r="B1502" t="s">
        <v>6568</v>
      </c>
      <c r="C1502" t="s">
        <v>2230</v>
      </c>
      <c r="D1502" t="s">
        <v>1211</v>
      </c>
      <c r="E1502" t="s">
        <v>4</v>
      </c>
      <c r="F1502">
        <v>1419</v>
      </c>
      <c r="G1502">
        <v>373</v>
      </c>
      <c r="H1502" t="s">
        <v>13</v>
      </c>
      <c r="I1502" t="b">
        <f t="shared" si="23"/>
        <v>0</v>
      </c>
    </row>
    <row r="1503" spans="1:9" x14ac:dyDescent="0.2">
      <c r="A1503" t="s">
        <v>3521</v>
      </c>
      <c r="B1503" t="s">
        <v>3522</v>
      </c>
      <c r="C1503" t="s">
        <v>443</v>
      </c>
      <c r="D1503" t="s">
        <v>965</v>
      </c>
      <c r="E1503" t="s">
        <v>4</v>
      </c>
      <c r="F1503">
        <v>563</v>
      </c>
      <c r="G1503">
        <v>486</v>
      </c>
      <c r="H1503" t="s">
        <v>13</v>
      </c>
      <c r="I1503" t="b">
        <f t="shared" si="23"/>
        <v>0</v>
      </c>
    </row>
    <row r="1504" spans="1:9" x14ac:dyDescent="0.2">
      <c r="A1504" t="s">
        <v>2302</v>
      </c>
      <c r="B1504" t="s">
        <v>2303</v>
      </c>
      <c r="C1504" t="s">
        <v>2304</v>
      </c>
      <c r="D1504" t="s">
        <v>2305</v>
      </c>
      <c r="E1504" t="s">
        <v>4</v>
      </c>
      <c r="F1504">
        <v>253</v>
      </c>
      <c r="G1504">
        <v>542</v>
      </c>
      <c r="H1504" t="s">
        <v>13</v>
      </c>
      <c r="I1504" t="b">
        <f t="shared" si="23"/>
        <v>0</v>
      </c>
    </row>
    <row r="1505" spans="1:9" x14ac:dyDescent="0.2">
      <c r="A1505" t="s">
        <v>1574</v>
      </c>
      <c r="B1505" t="s">
        <v>1575</v>
      </c>
      <c r="C1505" t="s">
        <v>1576</v>
      </c>
      <c r="D1505" t="s">
        <v>1577</v>
      </c>
      <c r="E1505" t="s">
        <v>4</v>
      </c>
      <c r="F1505">
        <v>3197</v>
      </c>
      <c r="G1505">
        <v>3321</v>
      </c>
      <c r="H1505" t="s">
        <v>13</v>
      </c>
      <c r="I1505" t="b">
        <f t="shared" si="23"/>
        <v>0</v>
      </c>
    </row>
    <row r="1506" spans="1:9" x14ac:dyDescent="0.2">
      <c r="A1506" t="s">
        <v>4233</v>
      </c>
      <c r="B1506" t="s">
        <v>4234</v>
      </c>
      <c r="C1506" t="s">
        <v>4235</v>
      </c>
      <c r="D1506" t="s">
        <v>1066</v>
      </c>
      <c r="E1506" t="s">
        <v>4</v>
      </c>
      <c r="F1506">
        <v>118</v>
      </c>
      <c r="G1506">
        <v>199</v>
      </c>
      <c r="H1506" t="s">
        <v>13</v>
      </c>
      <c r="I1506" t="b">
        <f t="shared" si="23"/>
        <v>0</v>
      </c>
    </row>
    <row r="1507" spans="1:9" x14ac:dyDescent="0.2">
      <c r="A1507" t="s">
        <v>1205</v>
      </c>
      <c r="B1507" t="s">
        <v>1206</v>
      </c>
      <c r="C1507" t="s">
        <v>480</v>
      </c>
      <c r="D1507" t="s">
        <v>1207</v>
      </c>
      <c r="E1507" t="s">
        <v>4</v>
      </c>
      <c r="F1507">
        <v>298</v>
      </c>
      <c r="G1507">
        <v>604</v>
      </c>
      <c r="H1507" t="s">
        <v>13</v>
      </c>
      <c r="I1507" t="b">
        <f t="shared" si="23"/>
        <v>0</v>
      </c>
    </row>
    <row r="1508" spans="1:9" x14ac:dyDescent="0.2">
      <c r="A1508" t="s">
        <v>5489</v>
      </c>
      <c r="B1508" t="s">
        <v>5490</v>
      </c>
      <c r="C1508" t="s">
        <v>104</v>
      </c>
      <c r="D1508" t="s">
        <v>3</v>
      </c>
      <c r="E1508" t="s">
        <v>4</v>
      </c>
      <c r="F1508">
        <v>7</v>
      </c>
      <c r="G1508">
        <v>7</v>
      </c>
      <c r="H1508" t="s">
        <v>363</v>
      </c>
      <c r="I1508" t="b">
        <f t="shared" si="23"/>
        <v>0</v>
      </c>
    </row>
    <row r="1509" spans="1:9" x14ac:dyDescent="0.2">
      <c r="A1509" t="s">
        <v>4652</v>
      </c>
      <c r="B1509" t="s">
        <v>4653</v>
      </c>
      <c r="C1509" t="s">
        <v>4654</v>
      </c>
      <c r="D1509" t="s">
        <v>3</v>
      </c>
      <c r="E1509" t="s">
        <v>4</v>
      </c>
      <c r="F1509">
        <v>81</v>
      </c>
      <c r="G1509">
        <v>62</v>
      </c>
      <c r="H1509" t="s">
        <v>13</v>
      </c>
      <c r="I1509" t="b">
        <f t="shared" si="23"/>
        <v>0</v>
      </c>
    </row>
    <row r="1510" spans="1:9" x14ac:dyDescent="0.2">
      <c r="A1510" t="s">
        <v>5524</v>
      </c>
      <c r="B1510" t="s">
        <v>5525</v>
      </c>
      <c r="C1510" t="s">
        <v>1838</v>
      </c>
      <c r="D1510" t="s">
        <v>3</v>
      </c>
      <c r="E1510" t="s">
        <v>4</v>
      </c>
      <c r="F1510">
        <v>7322</v>
      </c>
      <c r="G1510">
        <v>497</v>
      </c>
      <c r="H1510" t="s">
        <v>13</v>
      </c>
      <c r="I1510" t="b">
        <f t="shared" si="23"/>
        <v>0</v>
      </c>
    </row>
    <row r="1511" spans="1:9" x14ac:dyDescent="0.2">
      <c r="A1511" t="s">
        <v>1118</v>
      </c>
      <c r="B1511" t="s">
        <v>1119</v>
      </c>
      <c r="C1511" t="s">
        <v>171</v>
      </c>
      <c r="D1511" t="s">
        <v>3</v>
      </c>
      <c r="E1511" t="s">
        <v>4</v>
      </c>
      <c r="F1511">
        <v>20</v>
      </c>
      <c r="G1511">
        <v>47</v>
      </c>
      <c r="H1511" t="s">
        <v>13</v>
      </c>
      <c r="I1511" t="b">
        <f t="shared" si="23"/>
        <v>0</v>
      </c>
    </row>
    <row r="1512" spans="1:9" x14ac:dyDescent="0.2">
      <c r="A1512" t="s">
        <v>4254</v>
      </c>
      <c r="B1512" t="s">
        <v>4256</v>
      </c>
      <c r="C1512" t="s">
        <v>1423</v>
      </c>
      <c r="D1512" t="s">
        <v>4257</v>
      </c>
      <c r="E1512" t="s">
        <v>4</v>
      </c>
      <c r="F1512">
        <v>384</v>
      </c>
      <c r="G1512">
        <v>7</v>
      </c>
      <c r="H1512" t="s">
        <v>13</v>
      </c>
      <c r="I1512" t="b">
        <f t="shared" si="23"/>
        <v>0</v>
      </c>
    </row>
    <row r="1513" spans="1:9" x14ac:dyDescent="0.2">
      <c r="A1513" t="s">
        <v>1633</v>
      </c>
      <c r="B1513" t="s">
        <v>1634</v>
      </c>
      <c r="C1513" t="s">
        <v>1635</v>
      </c>
      <c r="D1513" t="s">
        <v>1636</v>
      </c>
      <c r="E1513" t="s">
        <v>4</v>
      </c>
      <c r="F1513">
        <v>177</v>
      </c>
      <c r="G1513">
        <v>174</v>
      </c>
      <c r="H1513" t="s">
        <v>13</v>
      </c>
      <c r="I1513" t="b">
        <f t="shared" si="23"/>
        <v>0</v>
      </c>
    </row>
    <row r="1514" spans="1:9" x14ac:dyDescent="0.2">
      <c r="A1514" t="s">
        <v>2891</v>
      </c>
      <c r="B1514" t="s">
        <v>2892</v>
      </c>
      <c r="C1514" t="s">
        <v>2893</v>
      </c>
      <c r="D1514" t="s">
        <v>2894</v>
      </c>
      <c r="E1514" t="s">
        <v>4</v>
      </c>
      <c r="F1514">
        <v>164</v>
      </c>
      <c r="G1514">
        <v>201</v>
      </c>
      <c r="H1514" t="s">
        <v>13</v>
      </c>
      <c r="I1514" t="b">
        <f t="shared" si="23"/>
        <v>0</v>
      </c>
    </row>
    <row r="1515" spans="1:9" x14ac:dyDescent="0.2">
      <c r="A1515" t="s">
        <v>7182</v>
      </c>
      <c r="B1515" t="s">
        <v>7183</v>
      </c>
      <c r="C1515" t="s">
        <v>948</v>
      </c>
      <c r="D1515" t="s">
        <v>6604</v>
      </c>
      <c r="E1515" t="s">
        <v>4</v>
      </c>
      <c r="F1515">
        <v>777</v>
      </c>
      <c r="G1515">
        <v>616</v>
      </c>
      <c r="H1515" t="s">
        <v>13</v>
      </c>
      <c r="I1515" t="b">
        <f t="shared" si="23"/>
        <v>1</v>
      </c>
    </row>
    <row r="1516" spans="1:9" x14ac:dyDescent="0.2">
      <c r="A1516" t="s">
        <v>7155</v>
      </c>
      <c r="B1516" t="s">
        <v>7156</v>
      </c>
      <c r="C1516" t="s">
        <v>948</v>
      </c>
      <c r="D1516" t="s">
        <v>6604</v>
      </c>
      <c r="E1516" t="s">
        <v>4</v>
      </c>
      <c r="F1516">
        <v>777</v>
      </c>
      <c r="G1516">
        <v>616</v>
      </c>
      <c r="H1516" t="s">
        <v>13</v>
      </c>
      <c r="I1516" t="b">
        <f t="shared" si="23"/>
        <v>0</v>
      </c>
    </row>
    <row r="1517" spans="1:9" x14ac:dyDescent="0.2">
      <c r="A1517" t="s">
        <v>635</v>
      </c>
      <c r="B1517" t="s">
        <v>636</v>
      </c>
      <c r="C1517" t="s">
        <v>212</v>
      </c>
      <c r="D1517" t="s">
        <v>637</v>
      </c>
      <c r="E1517" t="s">
        <v>4</v>
      </c>
      <c r="F1517">
        <v>213</v>
      </c>
      <c r="G1517">
        <v>98</v>
      </c>
      <c r="H1517" t="s">
        <v>13</v>
      </c>
      <c r="I1517" t="b">
        <f t="shared" si="23"/>
        <v>0</v>
      </c>
    </row>
    <row r="1518" spans="1:9" x14ac:dyDescent="0.2">
      <c r="A1518" t="s">
        <v>3845</v>
      </c>
      <c r="B1518" t="s">
        <v>3846</v>
      </c>
      <c r="C1518" t="s">
        <v>190</v>
      </c>
      <c r="D1518" t="s">
        <v>3847</v>
      </c>
      <c r="E1518" t="s">
        <v>4</v>
      </c>
      <c r="F1518">
        <v>6</v>
      </c>
      <c r="G1518">
        <v>29</v>
      </c>
      <c r="H1518" t="s">
        <v>13</v>
      </c>
      <c r="I1518" t="b">
        <f t="shared" si="23"/>
        <v>0</v>
      </c>
    </row>
    <row r="1519" spans="1:9" x14ac:dyDescent="0.2">
      <c r="A1519" t="s">
        <v>6353</v>
      </c>
      <c r="B1519" t="s">
        <v>6354</v>
      </c>
      <c r="C1519" t="s">
        <v>6355</v>
      </c>
      <c r="D1519" t="s">
        <v>1352</v>
      </c>
      <c r="E1519" t="s">
        <v>4</v>
      </c>
      <c r="F1519">
        <v>24</v>
      </c>
      <c r="G1519">
        <v>45</v>
      </c>
      <c r="H1519" t="s">
        <v>13</v>
      </c>
      <c r="I1519" t="b">
        <f t="shared" si="23"/>
        <v>0</v>
      </c>
    </row>
    <row r="1520" spans="1:9" x14ac:dyDescent="0.2">
      <c r="A1520" t="s">
        <v>5452</v>
      </c>
      <c r="B1520" t="s">
        <v>5453</v>
      </c>
      <c r="C1520" t="s">
        <v>2368</v>
      </c>
      <c r="D1520" t="s">
        <v>984</v>
      </c>
      <c r="E1520" t="s">
        <v>4</v>
      </c>
      <c r="F1520">
        <v>940</v>
      </c>
      <c r="G1520">
        <v>718</v>
      </c>
      <c r="H1520" t="s">
        <v>13</v>
      </c>
      <c r="I1520" t="b">
        <f t="shared" si="23"/>
        <v>0</v>
      </c>
    </row>
    <row r="1521" spans="1:9" x14ac:dyDescent="0.2">
      <c r="A1521" t="s">
        <v>4800</v>
      </c>
      <c r="B1521" t="s">
        <v>4801</v>
      </c>
      <c r="C1521" t="s">
        <v>2537</v>
      </c>
      <c r="D1521" t="s">
        <v>4802</v>
      </c>
      <c r="E1521" t="s">
        <v>4</v>
      </c>
      <c r="F1521">
        <v>3</v>
      </c>
      <c r="G1521">
        <v>5</v>
      </c>
      <c r="H1521" t="s">
        <v>13</v>
      </c>
      <c r="I1521" t="b">
        <f t="shared" si="23"/>
        <v>0</v>
      </c>
    </row>
    <row r="1522" spans="1:9" x14ac:dyDescent="0.2">
      <c r="A1522" t="s">
        <v>2863</v>
      </c>
      <c r="B1522" t="s">
        <v>2864</v>
      </c>
      <c r="C1522" t="s">
        <v>2865</v>
      </c>
      <c r="D1522" t="s">
        <v>3</v>
      </c>
      <c r="E1522" t="s">
        <v>4</v>
      </c>
      <c r="F1522">
        <v>10</v>
      </c>
      <c r="G1522">
        <v>111</v>
      </c>
      <c r="H1522" t="s">
        <v>114</v>
      </c>
      <c r="I1522" t="b">
        <f t="shared" si="23"/>
        <v>0</v>
      </c>
    </row>
    <row r="1523" spans="1:9" x14ac:dyDescent="0.2">
      <c r="A1523" t="s">
        <v>2178</v>
      </c>
      <c r="B1523" t="s">
        <v>2179</v>
      </c>
      <c r="C1523" t="s">
        <v>1572</v>
      </c>
      <c r="D1523" t="s">
        <v>113</v>
      </c>
      <c r="E1523" t="s">
        <v>4</v>
      </c>
      <c r="F1523">
        <v>232</v>
      </c>
      <c r="G1523">
        <v>842</v>
      </c>
      <c r="H1523" t="s">
        <v>13</v>
      </c>
      <c r="I1523" t="b">
        <f t="shared" si="23"/>
        <v>0</v>
      </c>
    </row>
    <row r="1524" spans="1:9" x14ac:dyDescent="0.2">
      <c r="A1524" t="s">
        <v>3764</v>
      </c>
      <c r="B1524" t="s">
        <v>3765</v>
      </c>
      <c r="C1524" t="s">
        <v>3369</v>
      </c>
      <c r="D1524" t="s">
        <v>3766</v>
      </c>
      <c r="E1524" t="s">
        <v>4</v>
      </c>
      <c r="F1524">
        <v>178</v>
      </c>
      <c r="G1524">
        <v>399</v>
      </c>
      <c r="H1524" t="s">
        <v>13</v>
      </c>
      <c r="I1524" t="b">
        <f t="shared" si="23"/>
        <v>0</v>
      </c>
    </row>
    <row r="1525" spans="1:9" x14ac:dyDescent="0.2">
      <c r="A1525" t="s">
        <v>1629</v>
      </c>
      <c r="B1525" t="s">
        <v>1630</v>
      </c>
      <c r="C1525" t="s">
        <v>1625</v>
      </c>
      <c r="D1525" t="s">
        <v>1626</v>
      </c>
      <c r="E1525" t="s">
        <v>4</v>
      </c>
      <c r="F1525">
        <v>255</v>
      </c>
      <c r="G1525">
        <v>777</v>
      </c>
      <c r="H1525" t="s">
        <v>13</v>
      </c>
      <c r="I1525" t="b">
        <f t="shared" si="23"/>
        <v>0</v>
      </c>
    </row>
    <row r="1526" spans="1:9" x14ac:dyDescent="0.2">
      <c r="A1526" t="s">
        <v>3661</v>
      </c>
      <c r="B1526" t="s">
        <v>3662</v>
      </c>
      <c r="C1526" t="s">
        <v>3663</v>
      </c>
      <c r="D1526" t="s">
        <v>3</v>
      </c>
      <c r="E1526" t="s">
        <v>4</v>
      </c>
      <c r="F1526">
        <v>652</v>
      </c>
      <c r="G1526">
        <v>270</v>
      </c>
      <c r="H1526" t="s">
        <v>13</v>
      </c>
      <c r="I1526" t="b">
        <f t="shared" si="23"/>
        <v>0</v>
      </c>
    </row>
    <row r="1527" spans="1:9" x14ac:dyDescent="0.2">
      <c r="A1527" t="s">
        <v>4733</v>
      </c>
      <c r="B1527" t="s">
        <v>4734</v>
      </c>
      <c r="C1527" t="s">
        <v>4735</v>
      </c>
      <c r="D1527" t="s">
        <v>4736</v>
      </c>
      <c r="E1527" t="s">
        <v>4</v>
      </c>
      <c r="F1527">
        <v>94</v>
      </c>
      <c r="G1527">
        <v>160</v>
      </c>
      <c r="H1527" t="s">
        <v>50</v>
      </c>
      <c r="I1527" t="b">
        <f t="shared" si="23"/>
        <v>0</v>
      </c>
    </row>
    <row r="1528" spans="1:9" x14ac:dyDescent="0.2">
      <c r="A1528" t="s">
        <v>3214</v>
      </c>
      <c r="B1528" t="s">
        <v>3215</v>
      </c>
      <c r="C1528" t="s">
        <v>3216</v>
      </c>
      <c r="D1528" t="s">
        <v>3217</v>
      </c>
      <c r="E1528" t="s">
        <v>4</v>
      </c>
      <c r="F1528">
        <v>12144</v>
      </c>
      <c r="G1528">
        <v>375</v>
      </c>
      <c r="H1528" t="s">
        <v>13</v>
      </c>
      <c r="I1528" t="b">
        <f t="shared" si="23"/>
        <v>0</v>
      </c>
    </row>
    <row r="1529" spans="1:9" x14ac:dyDescent="0.2">
      <c r="A1529" t="s">
        <v>482</v>
      </c>
      <c r="B1529" t="s">
        <v>483</v>
      </c>
      <c r="C1529" t="s">
        <v>484</v>
      </c>
      <c r="D1529" t="s">
        <v>64</v>
      </c>
      <c r="E1529" t="s">
        <v>4</v>
      </c>
      <c r="F1529">
        <v>79</v>
      </c>
      <c r="G1529">
        <v>607</v>
      </c>
      <c r="H1529" t="s">
        <v>13</v>
      </c>
      <c r="I1529" t="b">
        <f t="shared" si="23"/>
        <v>0</v>
      </c>
    </row>
    <row r="1530" spans="1:9" x14ac:dyDescent="0.2">
      <c r="A1530" t="s">
        <v>5054</v>
      </c>
      <c r="B1530" t="s">
        <v>5055</v>
      </c>
      <c r="C1530" t="s">
        <v>5056</v>
      </c>
      <c r="D1530" t="s">
        <v>5057</v>
      </c>
      <c r="E1530" t="s">
        <v>4</v>
      </c>
      <c r="F1530">
        <v>122</v>
      </c>
      <c r="G1530">
        <v>569</v>
      </c>
      <c r="H1530" t="s">
        <v>13</v>
      </c>
      <c r="I1530" t="b">
        <f t="shared" si="23"/>
        <v>0</v>
      </c>
    </row>
    <row r="1531" spans="1:9" x14ac:dyDescent="0.2">
      <c r="A1531" t="s">
        <v>5504</v>
      </c>
      <c r="B1531" t="s">
        <v>5505</v>
      </c>
      <c r="C1531" t="s">
        <v>283</v>
      </c>
      <c r="D1531" t="s">
        <v>5506</v>
      </c>
      <c r="E1531" t="s">
        <v>4</v>
      </c>
      <c r="F1531">
        <v>257</v>
      </c>
      <c r="G1531">
        <v>396</v>
      </c>
      <c r="H1531" t="s">
        <v>13</v>
      </c>
      <c r="I1531" t="b">
        <f t="shared" si="23"/>
        <v>0</v>
      </c>
    </row>
    <row r="1532" spans="1:9" x14ac:dyDescent="0.2">
      <c r="A1532" t="s">
        <v>5110</v>
      </c>
      <c r="B1532" t="s">
        <v>5112</v>
      </c>
      <c r="C1532" t="s">
        <v>1510</v>
      </c>
      <c r="D1532" t="s">
        <v>3</v>
      </c>
      <c r="E1532" t="s">
        <v>4</v>
      </c>
      <c r="F1532">
        <v>40</v>
      </c>
      <c r="G1532">
        <v>195</v>
      </c>
      <c r="H1532" t="s">
        <v>13</v>
      </c>
      <c r="I1532" t="b">
        <f t="shared" si="23"/>
        <v>1</v>
      </c>
    </row>
    <row r="1533" spans="1:9" x14ac:dyDescent="0.2">
      <c r="A1533" t="s">
        <v>2100</v>
      </c>
      <c r="B1533" t="s">
        <v>2101</v>
      </c>
      <c r="C1533" t="s">
        <v>2102</v>
      </c>
      <c r="D1533" t="s">
        <v>2103</v>
      </c>
      <c r="E1533" t="s">
        <v>4</v>
      </c>
      <c r="F1533">
        <v>1283</v>
      </c>
      <c r="G1533">
        <v>1789</v>
      </c>
      <c r="H1533" t="s">
        <v>342</v>
      </c>
      <c r="I1533" t="b">
        <f t="shared" si="23"/>
        <v>1</v>
      </c>
    </row>
    <row r="1534" spans="1:9" x14ac:dyDescent="0.2">
      <c r="A1534" t="s">
        <v>789</v>
      </c>
      <c r="B1534" t="s">
        <v>790</v>
      </c>
      <c r="C1534" t="s">
        <v>791</v>
      </c>
      <c r="D1534" t="s">
        <v>98</v>
      </c>
      <c r="E1534" t="s">
        <v>4</v>
      </c>
      <c r="F1534">
        <v>288</v>
      </c>
      <c r="G1534">
        <v>880</v>
      </c>
      <c r="H1534" t="s">
        <v>13</v>
      </c>
      <c r="I1534" t="b">
        <f t="shared" si="23"/>
        <v>0</v>
      </c>
    </row>
    <row r="1535" spans="1:9" x14ac:dyDescent="0.2">
      <c r="A1535" t="s">
        <v>6014</v>
      </c>
      <c r="B1535" t="s">
        <v>6016</v>
      </c>
      <c r="C1535" t="s">
        <v>3076</v>
      </c>
      <c r="D1535" t="s">
        <v>510</v>
      </c>
      <c r="E1535" t="s">
        <v>4</v>
      </c>
      <c r="F1535">
        <v>8</v>
      </c>
      <c r="G1535">
        <v>36</v>
      </c>
      <c r="H1535" t="s">
        <v>13</v>
      </c>
      <c r="I1535" t="b">
        <f t="shared" si="23"/>
        <v>0</v>
      </c>
    </row>
    <row r="1536" spans="1:9" x14ac:dyDescent="0.2">
      <c r="A1536" t="s">
        <v>6901</v>
      </c>
      <c r="B1536" t="s">
        <v>6902</v>
      </c>
      <c r="C1536" t="s">
        <v>568</v>
      </c>
      <c r="D1536" t="s">
        <v>6903</v>
      </c>
      <c r="E1536" t="s">
        <v>4</v>
      </c>
      <c r="F1536">
        <v>489</v>
      </c>
      <c r="G1536">
        <v>1080</v>
      </c>
      <c r="H1536" t="s">
        <v>13</v>
      </c>
      <c r="I1536" t="b">
        <f t="shared" si="23"/>
        <v>0</v>
      </c>
    </row>
    <row r="1537" spans="1:9" x14ac:dyDescent="0.2">
      <c r="A1537" t="s">
        <v>503</v>
      </c>
      <c r="B1537" t="s">
        <v>504</v>
      </c>
      <c r="C1537" t="s">
        <v>505</v>
      </c>
      <c r="D1537" t="s">
        <v>506</v>
      </c>
      <c r="E1537" t="s">
        <v>4</v>
      </c>
      <c r="F1537">
        <v>325</v>
      </c>
      <c r="G1537">
        <v>1007</v>
      </c>
      <c r="H1537" t="s">
        <v>13</v>
      </c>
      <c r="I1537" t="b">
        <f t="shared" si="23"/>
        <v>0</v>
      </c>
    </row>
    <row r="1538" spans="1:9" x14ac:dyDescent="0.2">
      <c r="A1538" t="s">
        <v>5793</v>
      </c>
      <c r="B1538" t="s">
        <v>5794</v>
      </c>
      <c r="C1538" t="s">
        <v>1035</v>
      </c>
      <c r="D1538" t="s">
        <v>5795</v>
      </c>
      <c r="E1538" t="s">
        <v>4</v>
      </c>
      <c r="F1538">
        <v>2814</v>
      </c>
      <c r="G1538">
        <v>442</v>
      </c>
      <c r="H1538" t="s">
        <v>13</v>
      </c>
      <c r="I1538" t="b">
        <f t="shared" si="23"/>
        <v>0</v>
      </c>
    </row>
    <row r="1539" spans="1:9" x14ac:dyDescent="0.2">
      <c r="A1539" t="s">
        <v>6784</v>
      </c>
      <c r="B1539" t="s">
        <v>6785</v>
      </c>
      <c r="C1539" t="s">
        <v>6786</v>
      </c>
      <c r="D1539" t="s">
        <v>6787</v>
      </c>
      <c r="E1539" t="s">
        <v>4</v>
      </c>
      <c r="F1539">
        <v>88165</v>
      </c>
      <c r="G1539">
        <v>85370</v>
      </c>
      <c r="H1539" t="s">
        <v>13</v>
      </c>
      <c r="I1539" t="b">
        <f t="shared" ref="I1539:I1602" si="24">isDup(B1539, B1540, 0.7)</f>
        <v>0</v>
      </c>
    </row>
    <row r="1540" spans="1:9" x14ac:dyDescent="0.2">
      <c r="A1540" t="s">
        <v>1361</v>
      </c>
      <c r="B1540" t="s">
        <v>1362</v>
      </c>
      <c r="C1540" t="s">
        <v>472</v>
      </c>
      <c r="D1540" t="s">
        <v>1363</v>
      </c>
      <c r="E1540" t="s">
        <v>4</v>
      </c>
      <c r="F1540">
        <v>1607</v>
      </c>
      <c r="G1540">
        <v>1711</v>
      </c>
      <c r="H1540" t="s">
        <v>13</v>
      </c>
      <c r="I1540" t="b">
        <f t="shared" si="24"/>
        <v>0</v>
      </c>
    </row>
    <row r="1541" spans="1:9" x14ac:dyDescent="0.2">
      <c r="A1541" t="s">
        <v>2481</v>
      </c>
      <c r="B1541" t="s">
        <v>2482</v>
      </c>
      <c r="C1541" t="s">
        <v>2483</v>
      </c>
      <c r="D1541" t="s">
        <v>2484</v>
      </c>
      <c r="E1541" t="s">
        <v>4</v>
      </c>
      <c r="F1541">
        <v>427</v>
      </c>
      <c r="G1541">
        <v>426</v>
      </c>
      <c r="H1541" t="s">
        <v>13</v>
      </c>
      <c r="I1541" t="b">
        <f t="shared" si="24"/>
        <v>0</v>
      </c>
    </row>
    <row r="1542" spans="1:9" x14ac:dyDescent="0.2">
      <c r="A1542" t="s">
        <v>638</v>
      </c>
      <c r="B1542" t="s">
        <v>639</v>
      </c>
      <c r="C1542" t="s">
        <v>640</v>
      </c>
      <c r="D1542" t="s">
        <v>641</v>
      </c>
      <c r="E1542" t="s">
        <v>4</v>
      </c>
      <c r="F1542">
        <v>36</v>
      </c>
      <c r="G1542">
        <v>41</v>
      </c>
      <c r="H1542" t="s">
        <v>13</v>
      </c>
      <c r="I1542" t="b">
        <f t="shared" si="24"/>
        <v>0</v>
      </c>
    </row>
    <row r="1543" spans="1:9" x14ac:dyDescent="0.2">
      <c r="A1543" t="s">
        <v>3222</v>
      </c>
      <c r="B1543" t="s">
        <v>3223</v>
      </c>
      <c r="C1543" t="s">
        <v>3224</v>
      </c>
      <c r="D1543" t="s">
        <v>3</v>
      </c>
      <c r="E1543" t="s">
        <v>4</v>
      </c>
      <c r="F1543">
        <v>14</v>
      </c>
      <c r="G1543">
        <v>31</v>
      </c>
      <c r="H1543" t="s">
        <v>13</v>
      </c>
      <c r="I1543" t="b">
        <f t="shared" si="24"/>
        <v>0</v>
      </c>
    </row>
    <row r="1544" spans="1:9" x14ac:dyDescent="0.2">
      <c r="A1544" t="s">
        <v>2825</v>
      </c>
      <c r="B1544" t="s">
        <v>2826</v>
      </c>
      <c r="C1544" t="s">
        <v>1525</v>
      </c>
      <c r="D1544" t="s">
        <v>3</v>
      </c>
      <c r="E1544" t="s">
        <v>4</v>
      </c>
      <c r="F1544">
        <v>9632</v>
      </c>
      <c r="G1544">
        <v>27</v>
      </c>
      <c r="H1544" t="s">
        <v>13</v>
      </c>
      <c r="I1544" t="b">
        <f t="shared" si="24"/>
        <v>0</v>
      </c>
    </row>
    <row r="1545" spans="1:9" x14ac:dyDescent="0.2">
      <c r="A1545" t="s">
        <v>3905</v>
      </c>
      <c r="B1545" t="s">
        <v>3906</v>
      </c>
      <c r="C1545" t="s">
        <v>3907</v>
      </c>
      <c r="D1545" t="s">
        <v>3</v>
      </c>
      <c r="E1545" t="s">
        <v>4</v>
      </c>
      <c r="F1545">
        <v>254</v>
      </c>
      <c r="G1545">
        <v>188</v>
      </c>
      <c r="H1545" t="s">
        <v>13</v>
      </c>
      <c r="I1545" t="b">
        <f t="shared" si="24"/>
        <v>0</v>
      </c>
    </row>
    <row r="1546" spans="1:9" x14ac:dyDescent="0.2">
      <c r="A1546" t="s">
        <v>2348</v>
      </c>
      <c r="B1546" t="s">
        <v>2349</v>
      </c>
      <c r="C1546" t="s">
        <v>2065</v>
      </c>
      <c r="D1546" t="s">
        <v>3</v>
      </c>
      <c r="E1546" t="s">
        <v>4</v>
      </c>
      <c r="F1546">
        <v>18</v>
      </c>
      <c r="G1546">
        <v>166</v>
      </c>
      <c r="H1546" t="s">
        <v>13</v>
      </c>
      <c r="I1546" t="b">
        <f t="shared" si="24"/>
        <v>0</v>
      </c>
    </row>
    <row r="1547" spans="1:9" x14ac:dyDescent="0.2">
      <c r="A1547" t="s">
        <v>2196</v>
      </c>
      <c r="B1547" t="s">
        <v>2197</v>
      </c>
      <c r="C1547" t="s">
        <v>1452</v>
      </c>
      <c r="D1547" t="s">
        <v>3</v>
      </c>
      <c r="E1547" t="s">
        <v>4</v>
      </c>
      <c r="F1547">
        <v>81</v>
      </c>
      <c r="G1547">
        <v>284</v>
      </c>
      <c r="H1547" t="s">
        <v>13</v>
      </c>
      <c r="I1547" t="b">
        <f t="shared" si="24"/>
        <v>0</v>
      </c>
    </row>
    <row r="1548" spans="1:9" x14ac:dyDescent="0.2">
      <c r="A1548" t="s">
        <v>6893</v>
      </c>
      <c r="B1548" t="s">
        <v>6894</v>
      </c>
      <c r="C1548" t="s">
        <v>6895</v>
      </c>
      <c r="D1548" t="s">
        <v>6896</v>
      </c>
      <c r="E1548" t="s">
        <v>4</v>
      </c>
      <c r="F1548">
        <v>303</v>
      </c>
      <c r="G1548">
        <v>1485</v>
      </c>
      <c r="H1548" t="s">
        <v>13</v>
      </c>
      <c r="I1548" t="b">
        <f t="shared" si="24"/>
        <v>0</v>
      </c>
    </row>
    <row r="1549" spans="1:9" x14ac:dyDescent="0.2">
      <c r="A1549" t="s">
        <v>7114</v>
      </c>
      <c r="B1549" t="s">
        <v>7115</v>
      </c>
      <c r="C1549" t="s">
        <v>7116</v>
      </c>
      <c r="D1549" t="s">
        <v>1964</v>
      </c>
      <c r="E1549" t="s">
        <v>4</v>
      </c>
      <c r="F1549">
        <v>183</v>
      </c>
      <c r="G1549">
        <v>0</v>
      </c>
      <c r="H1549" t="s">
        <v>13</v>
      </c>
      <c r="I1549" t="b">
        <f t="shared" si="24"/>
        <v>0</v>
      </c>
    </row>
    <row r="1550" spans="1:9" x14ac:dyDescent="0.2">
      <c r="A1550" t="s">
        <v>460</v>
      </c>
      <c r="B1550" t="s">
        <v>461</v>
      </c>
      <c r="C1550" t="s">
        <v>462</v>
      </c>
      <c r="D1550" t="s">
        <v>3</v>
      </c>
      <c r="E1550" t="s">
        <v>4</v>
      </c>
      <c r="F1550">
        <v>54</v>
      </c>
      <c r="G1550">
        <v>96</v>
      </c>
      <c r="H1550" t="s">
        <v>13</v>
      </c>
      <c r="I1550" t="b">
        <f t="shared" si="24"/>
        <v>0</v>
      </c>
    </row>
    <row r="1551" spans="1:9" x14ac:dyDescent="0.2">
      <c r="A1551" t="s">
        <v>4691</v>
      </c>
      <c r="B1551" t="s">
        <v>4692</v>
      </c>
      <c r="C1551" t="s">
        <v>4693</v>
      </c>
      <c r="D1551" t="s">
        <v>4694</v>
      </c>
      <c r="E1551" t="s">
        <v>4</v>
      </c>
      <c r="F1551">
        <v>538</v>
      </c>
      <c r="G1551">
        <v>1390</v>
      </c>
      <c r="H1551" t="s">
        <v>13</v>
      </c>
      <c r="I1551" t="b">
        <f t="shared" si="24"/>
        <v>0</v>
      </c>
    </row>
    <row r="1552" spans="1:9" x14ac:dyDescent="0.2">
      <c r="A1552" t="s">
        <v>6186</v>
      </c>
      <c r="B1552" t="s">
        <v>6187</v>
      </c>
      <c r="C1552" t="s">
        <v>773</v>
      </c>
      <c r="D1552" t="s">
        <v>337</v>
      </c>
      <c r="E1552" t="s">
        <v>4</v>
      </c>
      <c r="F1552">
        <v>17</v>
      </c>
      <c r="G1552">
        <v>94</v>
      </c>
      <c r="H1552" t="s">
        <v>13</v>
      </c>
      <c r="I1552" t="b">
        <f t="shared" si="24"/>
        <v>0</v>
      </c>
    </row>
    <row r="1553" spans="1:9" x14ac:dyDescent="0.2">
      <c r="A1553" t="s">
        <v>4815</v>
      </c>
      <c r="B1553" t="s">
        <v>4816</v>
      </c>
      <c r="C1553" t="s">
        <v>410</v>
      </c>
      <c r="D1553" t="s">
        <v>4817</v>
      </c>
      <c r="E1553" t="s">
        <v>4</v>
      </c>
      <c r="F1553">
        <v>5476</v>
      </c>
      <c r="G1553">
        <v>98</v>
      </c>
      <c r="H1553" t="s">
        <v>13</v>
      </c>
      <c r="I1553" t="b">
        <f t="shared" si="24"/>
        <v>1</v>
      </c>
    </row>
    <row r="1554" spans="1:9" x14ac:dyDescent="0.2">
      <c r="A1554" t="s">
        <v>6221</v>
      </c>
      <c r="B1554" t="s">
        <v>6222</v>
      </c>
      <c r="C1554" t="s">
        <v>579</v>
      </c>
      <c r="D1554" t="s">
        <v>3</v>
      </c>
      <c r="E1554" t="s">
        <v>4</v>
      </c>
      <c r="F1554">
        <v>24</v>
      </c>
      <c r="G1554">
        <v>41</v>
      </c>
      <c r="H1554" t="s">
        <v>13</v>
      </c>
      <c r="I1554" t="b">
        <f t="shared" si="24"/>
        <v>0</v>
      </c>
    </row>
    <row r="1555" spans="1:9" x14ac:dyDescent="0.2">
      <c r="A1555" t="s">
        <v>5292</v>
      </c>
      <c r="B1555" t="s">
        <v>5294</v>
      </c>
      <c r="C1555" t="s">
        <v>5295</v>
      </c>
      <c r="D1555" t="s">
        <v>3</v>
      </c>
      <c r="E1555" t="s">
        <v>4</v>
      </c>
      <c r="F1555">
        <v>122</v>
      </c>
      <c r="G1555">
        <v>82</v>
      </c>
      <c r="H1555" t="s">
        <v>13</v>
      </c>
      <c r="I1555" t="b">
        <f t="shared" si="24"/>
        <v>0</v>
      </c>
    </row>
    <row r="1556" spans="1:9" x14ac:dyDescent="0.2">
      <c r="A1556" t="s">
        <v>159</v>
      </c>
      <c r="B1556" t="s">
        <v>160</v>
      </c>
      <c r="C1556" t="s">
        <v>161</v>
      </c>
      <c r="D1556" t="s">
        <v>162</v>
      </c>
      <c r="E1556" t="s">
        <v>4</v>
      </c>
      <c r="F1556">
        <v>134</v>
      </c>
      <c r="G1556">
        <v>57</v>
      </c>
      <c r="H1556" t="s">
        <v>13</v>
      </c>
      <c r="I1556" t="b">
        <f t="shared" si="24"/>
        <v>0</v>
      </c>
    </row>
    <row r="1557" spans="1:9" x14ac:dyDescent="0.2">
      <c r="A1557" t="s">
        <v>3315</v>
      </c>
      <c r="B1557" t="s">
        <v>3316</v>
      </c>
      <c r="C1557" t="s">
        <v>226</v>
      </c>
      <c r="D1557" t="s">
        <v>227</v>
      </c>
      <c r="E1557" t="s">
        <v>4</v>
      </c>
      <c r="F1557">
        <v>9225</v>
      </c>
      <c r="G1557">
        <v>7170</v>
      </c>
      <c r="H1557" t="s">
        <v>13</v>
      </c>
      <c r="I1557" t="b">
        <f t="shared" si="24"/>
        <v>1</v>
      </c>
    </row>
    <row r="1558" spans="1:9" x14ac:dyDescent="0.2">
      <c r="A1558" t="s">
        <v>6276</v>
      </c>
      <c r="B1558" t="s">
        <v>6277</v>
      </c>
      <c r="C1558" t="s">
        <v>226</v>
      </c>
      <c r="D1558" t="s">
        <v>227</v>
      </c>
      <c r="E1558" t="s">
        <v>4</v>
      </c>
      <c r="F1558">
        <v>9228</v>
      </c>
      <c r="G1558">
        <v>7170</v>
      </c>
      <c r="H1558" t="s">
        <v>13</v>
      </c>
      <c r="I1558" t="b">
        <f t="shared" si="24"/>
        <v>0</v>
      </c>
    </row>
    <row r="1559" spans="1:9" x14ac:dyDescent="0.2">
      <c r="A1559" t="s">
        <v>3640</v>
      </c>
      <c r="B1559" t="s">
        <v>3641</v>
      </c>
      <c r="C1559" t="s">
        <v>3642</v>
      </c>
      <c r="D1559" t="s">
        <v>2335</v>
      </c>
      <c r="E1559" t="s">
        <v>4</v>
      </c>
      <c r="F1559">
        <v>797</v>
      </c>
      <c r="G1559">
        <v>1614</v>
      </c>
      <c r="H1559" t="s">
        <v>13</v>
      </c>
      <c r="I1559" t="b">
        <f t="shared" si="24"/>
        <v>0</v>
      </c>
    </row>
    <row r="1560" spans="1:9" x14ac:dyDescent="0.2">
      <c r="A1560" t="s">
        <v>2780</v>
      </c>
      <c r="B1560" t="s">
        <v>2781</v>
      </c>
      <c r="C1560" t="s">
        <v>241</v>
      </c>
      <c r="D1560" t="s">
        <v>932</v>
      </c>
      <c r="E1560" t="s">
        <v>4</v>
      </c>
      <c r="F1560">
        <v>805</v>
      </c>
      <c r="G1560">
        <v>577</v>
      </c>
      <c r="H1560" t="s">
        <v>13</v>
      </c>
      <c r="I1560" t="b">
        <f t="shared" si="24"/>
        <v>0</v>
      </c>
    </row>
    <row r="1561" spans="1:9" x14ac:dyDescent="0.2">
      <c r="A1561" t="s">
        <v>3697</v>
      </c>
      <c r="B1561" t="s">
        <v>3698</v>
      </c>
      <c r="C1561" t="s">
        <v>2954</v>
      </c>
      <c r="D1561" t="s">
        <v>1813</v>
      </c>
      <c r="E1561" t="s">
        <v>4</v>
      </c>
      <c r="F1561">
        <v>379</v>
      </c>
      <c r="G1561">
        <v>1030</v>
      </c>
      <c r="H1561" t="s">
        <v>13</v>
      </c>
      <c r="I1561" t="b">
        <f t="shared" si="24"/>
        <v>0</v>
      </c>
    </row>
    <row r="1562" spans="1:9" x14ac:dyDescent="0.2">
      <c r="A1562" t="s">
        <v>3356</v>
      </c>
      <c r="B1562" t="s">
        <v>3357</v>
      </c>
      <c r="C1562" t="s">
        <v>3358</v>
      </c>
      <c r="D1562" t="s">
        <v>3</v>
      </c>
      <c r="E1562" t="s">
        <v>4</v>
      </c>
      <c r="F1562">
        <v>759</v>
      </c>
      <c r="G1562">
        <v>167</v>
      </c>
      <c r="H1562" t="s">
        <v>13</v>
      </c>
      <c r="I1562" t="b">
        <f t="shared" si="24"/>
        <v>0</v>
      </c>
    </row>
    <row r="1563" spans="1:9" x14ac:dyDescent="0.2">
      <c r="A1563" t="s">
        <v>2606</v>
      </c>
      <c r="B1563" t="s">
        <v>2607</v>
      </c>
      <c r="C1563" t="s">
        <v>2608</v>
      </c>
      <c r="D1563" t="s">
        <v>1372</v>
      </c>
      <c r="E1563" t="s">
        <v>4</v>
      </c>
      <c r="F1563">
        <v>207</v>
      </c>
      <c r="G1563">
        <v>468</v>
      </c>
      <c r="H1563" t="s">
        <v>13</v>
      </c>
      <c r="I1563" t="b">
        <f t="shared" si="24"/>
        <v>0</v>
      </c>
    </row>
    <row r="1564" spans="1:9" x14ac:dyDescent="0.2">
      <c r="A1564" t="s">
        <v>1384</v>
      </c>
      <c r="B1564" t="s">
        <v>1385</v>
      </c>
      <c r="C1564" t="s">
        <v>1386</v>
      </c>
      <c r="D1564" t="s">
        <v>1387</v>
      </c>
      <c r="E1564" t="s">
        <v>4</v>
      </c>
      <c r="F1564">
        <v>1825</v>
      </c>
      <c r="G1564">
        <v>276</v>
      </c>
      <c r="H1564" t="s">
        <v>13</v>
      </c>
      <c r="I1564" t="b">
        <f t="shared" si="24"/>
        <v>0</v>
      </c>
    </row>
    <row r="1565" spans="1:9" x14ac:dyDescent="0.2">
      <c r="A1565" t="s">
        <v>714</v>
      </c>
      <c r="B1565" t="s">
        <v>715</v>
      </c>
      <c r="C1565" t="s">
        <v>716</v>
      </c>
      <c r="D1565" t="s">
        <v>717</v>
      </c>
      <c r="E1565" t="s">
        <v>4</v>
      </c>
      <c r="F1565">
        <v>8962</v>
      </c>
      <c r="G1565">
        <v>1047</v>
      </c>
      <c r="H1565" t="s">
        <v>13</v>
      </c>
      <c r="I1565" t="b">
        <f t="shared" si="24"/>
        <v>0</v>
      </c>
    </row>
    <row r="1566" spans="1:9" x14ac:dyDescent="0.2">
      <c r="A1566" t="s">
        <v>2734</v>
      </c>
      <c r="B1566" t="s">
        <v>2735</v>
      </c>
      <c r="C1566" t="s">
        <v>579</v>
      </c>
      <c r="D1566" t="s">
        <v>3</v>
      </c>
      <c r="E1566" t="s">
        <v>4</v>
      </c>
      <c r="F1566">
        <v>16</v>
      </c>
      <c r="G1566">
        <v>153</v>
      </c>
      <c r="H1566" t="s">
        <v>13</v>
      </c>
      <c r="I1566" t="b">
        <f t="shared" si="24"/>
        <v>0</v>
      </c>
    </row>
    <row r="1567" spans="1:9" x14ac:dyDescent="0.2">
      <c r="A1567" t="s">
        <v>1646</v>
      </c>
      <c r="B1567" t="s">
        <v>1647</v>
      </c>
      <c r="C1567" t="s">
        <v>1648</v>
      </c>
      <c r="D1567" t="s">
        <v>1649</v>
      </c>
      <c r="E1567" t="s">
        <v>4</v>
      </c>
      <c r="F1567">
        <v>1014</v>
      </c>
      <c r="G1567">
        <v>670</v>
      </c>
      <c r="H1567" t="s">
        <v>13</v>
      </c>
      <c r="I1567" t="b">
        <f t="shared" si="24"/>
        <v>0</v>
      </c>
    </row>
    <row r="1568" spans="1:9" x14ac:dyDescent="0.2">
      <c r="A1568" t="s">
        <v>6706</v>
      </c>
      <c r="B1568" t="s">
        <v>6707</v>
      </c>
      <c r="C1568" t="s">
        <v>2048</v>
      </c>
      <c r="D1568" t="s">
        <v>1439</v>
      </c>
      <c r="E1568" t="s">
        <v>4</v>
      </c>
      <c r="F1568">
        <v>28332</v>
      </c>
      <c r="G1568">
        <v>38</v>
      </c>
      <c r="H1568" t="s">
        <v>13</v>
      </c>
      <c r="I1568" t="b">
        <f t="shared" si="24"/>
        <v>0</v>
      </c>
    </row>
    <row r="1569" spans="1:9" x14ac:dyDescent="0.2">
      <c r="A1569" t="s">
        <v>4701</v>
      </c>
      <c r="B1569" t="s">
        <v>4702</v>
      </c>
      <c r="C1569" t="s">
        <v>4110</v>
      </c>
      <c r="D1569" t="s">
        <v>4703</v>
      </c>
      <c r="E1569" t="s">
        <v>4</v>
      </c>
      <c r="F1569">
        <v>1066</v>
      </c>
      <c r="G1569">
        <v>1715</v>
      </c>
      <c r="H1569" t="s">
        <v>13</v>
      </c>
      <c r="I1569" t="b">
        <f t="shared" si="24"/>
        <v>0</v>
      </c>
    </row>
    <row r="1570" spans="1:9" x14ac:dyDescent="0.2">
      <c r="A1570" t="s">
        <v>5985</v>
      </c>
      <c r="B1570" t="s">
        <v>5986</v>
      </c>
      <c r="C1570" t="s">
        <v>5561</v>
      </c>
      <c r="D1570" t="s">
        <v>5987</v>
      </c>
      <c r="E1570" t="s">
        <v>4</v>
      </c>
      <c r="F1570">
        <v>16</v>
      </c>
      <c r="G1570">
        <v>224</v>
      </c>
      <c r="H1570" t="s">
        <v>13</v>
      </c>
      <c r="I1570" t="b">
        <f t="shared" si="24"/>
        <v>0</v>
      </c>
    </row>
    <row r="1571" spans="1:9" x14ac:dyDescent="0.2">
      <c r="A1571" t="s">
        <v>7018</v>
      </c>
      <c r="B1571" t="s">
        <v>7019</v>
      </c>
      <c r="C1571" t="s">
        <v>7020</v>
      </c>
      <c r="D1571" t="s">
        <v>1372</v>
      </c>
      <c r="E1571" t="s">
        <v>4</v>
      </c>
      <c r="F1571">
        <v>224</v>
      </c>
      <c r="G1571">
        <v>200</v>
      </c>
      <c r="H1571" t="s">
        <v>13</v>
      </c>
      <c r="I1571" t="b">
        <f t="shared" si="24"/>
        <v>0</v>
      </c>
    </row>
    <row r="1572" spans="1:9" x14ac:dyDescent="0.2">
      <c r="A1572" t="s">
        <v>1623</v>
      </c>
      <c r="B1572" t="s">
        <v>1624</v>
      </c>
      <c r="C1572" t="s">
        <v>1625</v>
      </c>
      <c r="D1572" t="s">
        <v>1626</v>
      </c>
      <c r="E1572" t="s">
        <v>4</v>
      </c>
      <c r="F1572">
        <v>255</v>
      </c>
      <c r="G1572">
        <v>777</v>
      </c>
      <c r="H1572" t="s">
        <v>13</v>
      </c>
      <c r="I1572" t="b">
        <f t="shared" si="24"/>
        <v>0</v>
      </c>
    </row>
    <row r="1573" spans="1:9" x14ac:dyDescent="0.2">
      <c r="A1573" t="s">
        <v>5776</v>
      </c>
      <c r="B1573" t="s">
        <v>5777</v>
      </c>
      <c r="C1573" t="s">
        <v>323</v>
      </c>
      <c r="D1573" t="s">
        <v>3</v>
      </c>
      <c r="E1573" t="s">
        <v>4</v>
      </c>
      <c r="F1573">
        <v>41</v>
      </c>
      <c r="G1573">
        <v>59</v>
      </c>
      <c r="H1573" t="s">
        <v>13</v>
      </c>
      <c r="I1573" t="b">
        <f t="shared" si="24"/>
        <v>0</v>
      </c>
    </row>
    <row r="1574" spans="1:9" x14ac:dyDescent="0.2">
      <c r="A1574" t="s">
        <v>393</v>
      </c>
      <c r="B1574" t="s">
        <v>394</v>
      </c>
      <c r="C1574" t="s">
        <v>395</v>
      </c>
      <c r="D1574" t="s">
        <v>396</v>
      </c>
      <c r="E1574" t="s">
        <v>4</v>
      </c>
      <c r="F1574">
        <v>48</v>
      </c>
      <c r="G1574">
        <v>230</v>
      </c>
      <c r="H1574" t="s">
        <v>13</v>
      </c>
      <c r="I1574" t="b">
        <f t="shared" si="24"/>
        <v>0</v>
      </c>
    </row>
    <row r="1575" spans="1:9" x14ac:dyDescent="0.2">
      <c r="A1575" t="s">
        <v>4001</v>
      </c>
      <c r="B1575" t="s">
        <v>4002</v>
      </c>
      <c r="C1575" t="s">
        <v>4003</v>
      </c>
      <c r="D1575" t="s">
        <v>4004</v>
      </c>
      <c r="E1575" t="s">
        <v>4</v>
      </c>
      <c r="F1575">
        <v>2396</v>
      </c>
      <c r="G1575">
        <v>500</v>
      </c>
      <c r="H1575" t="s">
        <v>13</v>
      </c>
      <c r="I1575" t="b">
        <f t="shared" si="24"/>
        <v>0</v>
      </c>
    </row>
    <row r="1576" spans="1:9" x14ac:dyDescent="0.2">
      <c r="A1576" t="s">
        <v>3528</v>
      </c>
      <c r="B1576" t="s">
        <v>3529</v>
      </c>
      <c r="C1576" t="s">
        <v>2230</v>
      </c>
      <c r="D1576" t="s">
        <v>3530</v>
      </c>
      <c r="E1576" t="s">
        <v>4</v>
      </c>
      <c r="F1576">
        <v>62</v>
      </c>
      <c r="G1576">
        <v>108</v>
      </c>
      <c r="H1576" t="s">
        <v>13</v>
      </c>
      <c r="I1576" t="b">
        <f t="shared" si="24"/>
        <v>0</v>
      </c>
    </row>
    <row r="1577" spans="1:9" x14ac:dyDescent="0.2">
      <c r="A1577" t="s">
        <v>4957</v>
      </c>
      <c r="B1577" t="s">
        <v>4958</v>
      </c>
      <c r="C1577" t="s">
        <v>1409</v>
      </c>
      <c r="D1577" t="s">
        <v>3</v>
      </c>
      <c r="E1577" t="s">
        <v>4</v>
      </c>
      <c r="F1577">
        <v>22</v>
      </c>
      <c r="G1577">
        <v>192</v>
      </c>
      <c r="H1577" t="s">
        <v>645</v>
      </c>
      <c r="I1577" t="b">
        <f t="shared" si="24"/>
        <v>0</v>
      </c>
    </row>
    <row r="1578" spans="1:9" x14ac:dyDescent="0.2">
      <c r="A1578" t="s">
        <v>1546</v>
      </c>
      <c r="B1578" t="s">
        <v>1547</v>
      </c>
      <c r="C1578" t="s">
        <v>1548</v>
      </c>
      <c r="D1578" t="s">
        <v>1549</v>
      </c>
      <c r="E1578" t="s">
        <v>4</v>
      </c>
      <c r="F1578">
        <v>38</v>
      </c>
      <c r="G1578">
        <v>122</v>
      </c>
      <c r="H1578" t="s">
        <v>13</v>
      </c>
      <c r="I1578" t="b">
        <f t="shared" si="24"/>
        <v>0</v>
      </c>
    </row>
    <row r="1579" spans="1:9" x14ac:dyDescent="0.2">
      <c r="A1579" t="s">
        <v>2600</v>
      </c>
      <c r="B1579" t="s">
        <v>2603</v>
      </c>
      <c r="C1579" t="s">
        <v>2604</v>
      </c>
      <c r="D1579" t="s">
        <v>2605</v>
      </c>
      <c r="E1579" t="s">
        <v>4</v>
      </c>
      <c r="F1579">
        <v>503</v>
      </c>
      <c r="G1579">
        <v>673</v>
      </c>
      <c r="H1579" t="s">
        <v>50</v>
      </c>
      <c r="I1579" t="b">
        <f t="shared" si="24"/>
        <v>0</v>
      </c>
    </row>
    <row r="1580" spans="1:9" x14ac:dyDescent="0.2">
      <c r="A1580" t="s">
        <v>4304</v>
      </c>
      <c r="B1580" t="s">
        <v>4305</v>
      </c>
      <c r="C1580" t="s">
        <v>97</v>
      </c>
      <c r="D1580" t="s">
        <v>1188</v>
      </c>
      <c r="E1580" t="s">
        <v>4</v>
      </c>
      <c r="F1580">
        <v>206</v>
      </c>
      <c r="G1580">
        <v>114</v>
      </c>
      <c r="H1580" t="s">
        <v>13</v>
      </c>
      <c r="I1580" t="b">
        <f t="shared" si="24"/>
        <v>0</v>
      </c>
    </row>
    <row r="1581" spans="1:9" x14ac:dyDescent="0.2">
      <c r="A1581" t="s">
        <v>6364</v>
      </c>
      <c r="B1581" t="s">
        <v>6365</v>
      </c>
      <c r="C1581" t="s">
        <v>4328</v>
      </c>
      <c r="D1581" t="s">
        <v>320</v>
      </c>
      <c r="E1581" t="s">
        <v>4</v>
      </c>
      <c r="F1581">
        <v>120</v>
      </c>
      <c r="G1581">
        <v>114</v>
      </c>
      <c r="H1581" t="s">
        <v>13</v>
      </c>
      <c r="I1581" t="b">
        <f t="shared" si="24"/>
        <v>0</v>
      </c>
    </row>
    <row r="1582" spans="1:9" x14ac:dyDescent="0.2">
      <c r="A1582" t="s">
        <v>6991</v>
      </c>
      <c r="B1582" t="s">
        <v>6992</v>
      </c>
      <c r="C1582" t="s">
        <v>383</v>
      </c>
      <c r="D1582" t="s">
        <v>113</v>
      </c>
      <c r="E1582" t="s">
        <v>4</v>
      </c>
      <c r="F1582">
        <v>2067</v>
      </c>
      <c r="G1582">
        <v>852</v>
      </c>
      <c r="H1582" t="s">
        <v>13</v>
      </c>
      <c r="I1582" t="b">
        <f t="shared" si="24"/>
        <v>0</v>
      </c>
    </row>
    <row r="1583" spans="1:9" x14ac:dyDescent="0.2">
      <c r="A1583" t="s">
        <v>606</v>
      </c>
      <c r="B1583" t="s">
        <v>607</v>
      </c>
      <c r="C1583" t="s">
        <v>608</v>
      </c>
      <c r="D1583" t="s">
        <v>3</v>
      </c>
      <c r="E1583" t="s">
        <v>4</v>
      </c>
      <c r="F1583">
        <v>4994</v>
      </c>
      <c r="G1583">
        <v>5323</v>
      </c>
      <c r="H1583" t="s">
        <v>76</v>
      </c>
      <c r="I1583" t="b">
        <f t="shared" si="24"/>
        <v>0</v>
      </c>
    </row>
    <row r="1584" spans="1:9" x14ac:dyDescent="0.2">
      <c r="A1584" t="s">
        <v>5161</v>
      </c>
      <c r="B1584" t="s">
        <v>5162</v>
      </c>
      <c r="C1584" t="s">
        <v>2204</v>
      </c>
      <c r="D1584" t="s">
        <v>491</v>
      </c>
      <c r="E1584" t="s">
        <v>4</v>
      </c>
      <c r="F1584">
        <v>297</v>
      </c>
      <c r="G1584">
        <v>520</v>
      </c>
      <c r="H1584" t="s">
        <v>13</v>
      </c>
      <c r="I1584" t="b">
        <f t="shared" si="24"/>
        <v>0</v>
      </c>
    </row>
    <row r="1585" spans="1:9" x14ac:dyDescent="0.2">
      <c r="A1585" t="s">
        <v>3202</v>
      </c>
      <c r="B1585" t="s">
        <v>3205</v>
      </c>
      <c r="C1585" t="s">
        <v>3206</v>
      </c>
      <c r="D1585" t="s">
        <v>3</v>
      </c>
      <c r="E1585" t="s">
        <v>4</v>
      </c>
      <c r="F1585">
        <v>91</v>
      </c>
      <c r="G1585">
        <v>493</v>
      </c>
      <c r="H1585" t="s">
        <v>13</v>
      </c>
      <c r="I1585" t="b">
        <f t="shared" si="24"/>
        <v>0</v>
      </c>
    </row>
    <row r="1586" spans="1:9" x14ac:dyDescent="0.2">
      <c r="A1586" t="s">
        <v>3393</v>
      </c>
      <c r="B1586" t="s">
        <v>3394</v>
      </c>
      <c r="C1586" t="s">
        <v>1152</v>
      </c>
      <c r="D1586" t="s">
        <v>2957</v>
      </c>
      <c r="E1586" t="s">
        <v>4</v>
      </c>
      <c r="F1586">
        <v>1438</v>
      </c>
      <c r="G1586">
        <v>580</v>
      </c>
      <c r="H1586" t="s">
        <v>13</v>
      </c>
      <c r="I1586" t="b">
        <f t="shared" si="24"/>
        <v>0</v>
      </c>
    </row>
    <row r="1587" spans="1:9" x14ac:dyDescent="0.2">
      <c r="A1587" t="s">
        <v>4516</v>
      </c>
      <c r="B1587" t="s">
        <v>4517</v>
      </c>
      <c r="C1587" t="s">
        <v>1720</v>
      </c>
      <c r="D1587" t="s">
        <v>1698</v>
      </c>
      <c r="E1587" t="s">
        <v>4</v>
      </c>
      <c r="F1587">
        <v>946</v>
      </c>
      <c r="G1587">
        <v>634</v>
      </c>
      <c r="H1587" t="s">
        <v>13</v>
      </c>
      <c r="I1587" t="b">
        <f t="shared" si="24"/>
        <v>0</v>
      </c>
    </row>
    <row r="1588" spans="1:9" x14ac:dyDescent="0.2">
      <c r="A1588" t="s">
        <v>4832</v>
      </c>
      <c r="B1588" t="s">
        <v>4833</v>
      </c>
      <c r="C1588" t="s">
        <v>4110</v>
      </c>
      <c r="D1588" t="s">
        <v>4703</v>
      </c>
      <c r="E1588" t="s">
        <v>4</v>
      </c>
      <c r="F1588">
        <v>1066</v>
      </c>
      <c r="G1588">
        <v>1715</v>
      </c>
      <c r="H1588" t="s">
        <v>13</v>
      </c>
      <c r="I1588" t="b">
        <f t="shared" si="24"/>
        <v>0</v>
      </c>
    </row>
    <row r="1589" spans="1:9" x14ac:dyDescent="0.2">
      <c r="A1589" t="s">
        <v>1223</v>
      </c>
      <c r="B1589" t="s">
        <v>1224</v>
      </c>
      <c r="C1589" t="s">
        <v>1225</v>
      </c>
      <c r="D1589" t="s">
        <v>64</v>
      </c>
      <c r="E1589" t="s">
        <v>4</v>
      </c>
      <c r="F1589">
        <v>266</v>
      </c>
      <c r="G1589">
        <v>211</v>
      </c>
      <c r="H1589" t="s">
        <v>13</v>
      </c>
      <c r="I1589" t="b">
        <f t="shared" si="24"/>
        <v>0</v>
      </c>
    </row>
    <row r="1590" spans="1:9" x14ac:dyDescent="0.2">
      <c r="A1590" t="s">
        <v>6298</v>
      </c>
      <c r="B1590" t="s">
        <v>6299</v>
      </c>
      <c r="C1590" t="s">
        <v>6243</v>
      </c>
      <c r="D1590" t="s">
        <v>6244</v>
      </c>
      <c r="E1590" t="s">
        <v>4</v>
      </c>
      <c r="F1590">
        <v>362</v>
      </c>
      <c r="G1590">
        <v>131</v>
      </c>
      <c r="H1590" t="s">
        <v>13</v>
      </c>
      <c r="I1590" t="b">
        <f t="shared" si="24"/>
        <v>0</v>
      </c>
    </row>
    <row r="1591" spans="1:9" x14ac:dyDescent="0.2">
      <c r="A1591" t="s">
        <v>4283</v>
      </c>
      <c r="B1591" t="s">
        <v>4284</v>
      </c>
      <c r="C1591" t="s">
        <v>2753</v>
      </c>
      <c r="D1591" t="s">
        <v>1372</v>
      </c>
      <c r="E1591" t="s">
        <v>4</v>
      </c>
      <c r="F1591">
        <v>70</v>
      </c>
      <c r="G1591">
        <v>372</v>
      </c>
      <c r="H1591" t="s">
        <v>13</v>
      </c>
      <c r="I1591" t="b">
        <f t="shared" si="24"/>
        <v>0</v>
      </c>
    </row>
    <row r="1592" spans="1:9" x14ac:dyDescent="0.2">
      <c r="A1592" t="s">
        <v>1104</v>
      </c>
      <c r="B1592" t="s">
        <v>1105</v>
      </c>
      <c r="C1592" t="s">
        <v>1106</v>
      </c>
      <c r="D1592" t="s">
        <v>3</v>
      </c>
      <c r="E1592" t="s">
        <v>4</v>
      </c>
      <c r="F1592">
        <v>81</v>
      </c>
      <c r="G1592">
        <v>255</v>
      </c>
      <c r="H1592" t="s">
        <v>13</v>
      </c>
      <c r="I1592" t="b">
        <f t="shared" si="24"/>
        <v>0</v>
      </c>
    </row>
    <row r="1593" spans="1:9" x14ac:dyDescent="0.2">
      <c r="A1593" t="s">
        <v>6509</v>
      </c>
      <c r="B1593" t="s">
        <v>6511</v>
      </c>
      <c r="C1593" t="s">
        <v>5956</v>
      </c>
      <c r="D1593" t="s">
        <v>3</v>
      </c>
      <c r="E1593" t="s">
        <v>4</v>
      </c>
      <c r="F1593">
        <v>50</v>
      </c>
      <c r="G1593">
        <v>242</v>
      </c>
      <c r="H1593" t="s">
        <v>13</v>
      </c>
      <c r="I1593" t="b">
        <f t="shared" si="24"/>
        <v>0</v>
      </c>
    </row>
    <row r="1594" spans="1:9" x14ac:dyDescent="0.2">
      <c r="A1594" t="s">
        <v>2641</v>
      </c>
      <c r="B1594" t="s">
        <v>2642</v>
      </c>
      <c r="C1594" t="s">
        <v>2643</v>
      </c>
      <c r="D1594" t="s">
        <v>3</v>
      </c>
      <c r="E1594" t="s">
        <v>4</v>
      </c>
      <c r="F1594">
        <v>180</v>
      </c>
      <c r="G1594">
        <v>366</v>
      </c>
      <c r="H1594" t="s">
        <v>13</v>
      </c>
      <c r="I1594" t="b">
        <f t="shared" si="24"/>
        <v>0</v>
      </c>
    </row>
    <row r="1595" spans="1:9" x14ac:dyDescent="0.2">
      <c r="A1595" t="s">
        <v>2861</v>
      </c>
      <c r="B1595" t="s">
        <v>2862</v>
      </c>
      <c r="C1595" t="s">
        <v>362</v>
      </c>
      <c r="D1595" t="s">
        <v>663</v>
      </c>
      <c r="E1595" t="s">
        <v>4</v>
      </c>
      <c r="F1595">
        <v>1997</v>
      </c>
      <c r="G1595">
        <v>1059</v>
      </c>
      <c r="H1595" t="s">
        <v>13</v>
      </c>
      <c r="I1595" t="b">
        <f t="shared" si="24"/>
        <v>0</v>
      </c>
    </row>
    <row r="1596" spans="1:9" x14ac:dyDescent="0.2">
      <c r="A1596" t="s">
        <v>687</v>
      </c>
      <c r="B1596" t="s">
        <v>688</v>
      </c>
      <c r="C1596" t="s">
        <v>689</v>
      </c>
      <c r="D1596" t="s">
        <v>3</v>
      </c>
      <c r="E1596" t="s">
        <v>4</v>
      </c>
      <c r="F1596">
        <v>81</v>
      </c>
      <c r="G1596">
        <v>328</v>
      </c>
      <c r="H1596" t="s">
        <v>86</v>
      </c>
      <c r="I1596" t="b">
        <f t="shared" si="24"/>
        <v>0</v>
      </c>
    </row>
    <row r="1597" spans="1:9" x14ac:dyDescent="0.2">
      <c r="A1597" t="s">
        <v>3969</v>
      </c>
      <c r="B1597" t="s">
        <v>3970</v>
      </c>
      <c r="C1597" t="s">
        <v>3971</v>
      </c>
      <c r="D1597" t="s">
        <v>3972</v>
      </c>
      <c r="E1597" t="s">
        <v>4</v>
      </c>
      <c r="F1597">
        <v>13</v>
      </c>
      <c r="G1597">
        <v>50</v>
      </c>
      <c r="H1597" t="s">
        <v>13</v>
      </c>
      <c r="I1597" t="b">
        <f t="shared" si="24"/>
        <v>0</v>
      </c>
    </row>
    <row r="1598" spans="1:9" x14ac:dyDescent="0.2">
      <c r="A1598" t="s">
        <v>6451</v>
      </c>
      <c r="B1598" t="s">
        <v>6452</v>
      </c>
      <c r="C1598" t="s">
        <v>6453</v>
      </c>
      <c r="D1598" t="s">
        <v>6454</v>
      </c>
      <c r="E1598" t="s">
        <v>4</v>
      </c>
      <c r="F1598">
        <v>61</v>
      </c>
      <c r="G1598">
        <v>127</v>
      </c>
      <c r="H1598" t="s">
        <v>13</v>
      </c>
      <c r="I1598" t="b">
        <f t="shared" si="24"/>
        <v>0</v>
      </c>
    </row>
    <row r="1599" spans="1:9" x14ac:dyDescent="0.2">
      <c r="A1599" t="s">
        <v>5441</v>
      </c>
      <c r="B1599" t="s">
        <v>5442</v>
      </c>
      <c r="C1599" t="s">
        <v>5443</v>
      </c>
      <c r="D1599" t="s">
        <v>3</v>
      </c>
      <c r="E1599" t="s">
        <v>4</v>
      </c>
      <c r="F1599">
        <v>329</v>
      </c>
      <c r="G1599">
        <v>307</v>
      </c>
      <c r="H1599" t="s">
        <v>13</v>
      </c>
      <c r="I1599" t="b">
        <f t="shared" si="24"/>
        <v>0</v>
      </c>
    </row>
    <row r="1600" spans="1:9" x14ac:dyDescent="0.2">
      <c r="A1600" t="s">
        <v>7200</v>
      </c>
      <c r="B1600" t="s">
        <v>7201</v>
      </c>
      <c r="C1600" t="s">
        <v>4796</v>
      </c>
      <c r="D1600" t="s">
        <v>3</v>
      </c>
      <c r="E1600" t="s">
        <v>4</v>
      </c>
      <c r="F1600">
        <v>19</v>
      </c>
      <c r="G1600">
        <v>145</v>
      </c>
      <c r="H1600" t="s">
        <v>86</v>
      </c>
      <c r="I1600" t="b">
        <f t="shared" si="24"/>
        <v>0</v>
      </c>
    </row>
    <row r="1601" spans="1:9" x14ac:dyDescent="0.2">
      <c r="A1601" t="s">
        <v>3269</v>
      </c>
      <c r="B1601" t="s">
        <v>3270</v>
      </c>
      <c r="C1601" t="s">
        <v>3271</v>
      </c>
      <c r="D1601" t="s">
        <v>3</v>
      </c>
      <c r="E1601" t="s">
        <v>4</v>
      </c>
      <c r="F1601">
        <v>23</v>
      </c>
      <c r="G1601">
        <v>262</v>
      </c>
      <c r="H1601" t="s">
        <v>13</v>
      </c>
      <c r="I1601" t="b">
        <f t="shared" si="24"/>
        <v>0</v>
      </c>
    </row>
    <row r="1602" spans="1:9" x14ac:dyDescent="0.2">
      <c r="A1602" t="s">
        <v>5974</v>
      </c>
      <c r="B1602" t="s">
        <v>5975</v>
      </c>
      <c r="C1602" t="s">
        <v>5976</v>
      </c>
      <c r="D1602" t="s">
        <v>64</v>
      </c>
      <c r="E1602" t="s">
        <v>4</v>
      </c>
      <c r="F1602">
        <v>309</v>
      </c>
      <c r="G1602">
        <v>1058</v>
      </c>
      <c r="H1602" t="s">
        <v>13</v>
      </c>
      <c r="I1602" t="b">
        <f t="shared" si="24"/>
        <v>0</v>
      </c>
    </row>
    <row r="1603" spans="1:9" x14ac:dyDescent="0.2">
      <c r="A1603" t="s">
        <v>4424</v>
      </c>
      <c r="B1603" t="s">
        <v>4425</v>
      </c>
      <c r="C1603" t="s">
        <v>414</v>
      </c>
      <c r="D1603" t="s">
        <v>4426</v>
      </c>
      <c r="E1603" t="s">
        <v>4</v>
      </c>
      <c r="F1603">
        <v>2325</v>
      </c>
      <c r="G1603">
        <v>517</v>
      </c>
      <c r="H1603" t="s">
        <v>13</v>
      </c>
      <c r="I1603" t="b">
        <f t="shared" ref="I1603:I1666" si="25">isDup(B1603, B1604, 0.7)</f>
        <v>0</v>
      </c>
    </row>
    <row r="1604" spans="1:9" x14ac:dyDescent="0.2">
      <c r="A1604" t="s">
        <v>4600</v>
      </c>
      <c r="B1604" t="s">
        <v>4601</v>
      </c>
      <c r="C1604" t="s">
        <v>4602</v>
      </c>
      <c r="D1604" t="s">
        <v>1000</v>
      </c>
      <c r="E1604" t="s">
        <v>4</v>
      </c>
      <c r="F1604">
        <v>1124</v>
      </c>
      <c r="G1604">
        <v>676</v>
      </c>
      <c r="H1604" t="s">
        <v>13</v>
      </c>
      <c r="I1604" t="b">
        <f t="shared" si="25"/>
        <v>0</v>
      </c>
    </row>
    <row r="1605" spans="1:9" x14ac:dyDescent="0.2">
      <c r="A1605" t="s">
        <v>199</v>
      </c>
      <c r="B1605" t="s">
        <v>200</v>
      </c>
      <c r="C1605" t="s">
        <v>201</v>
      </c>
      <c r="D1605" t="s">
        <v>98</v>
      </c>
      <c r="E1605" t="s">
        <v>4</v>
      </c>
      <c r="F1605">
        <v>340</v>
      </c>
      <c r="G1605">
        <v>54</v>
      </c>
      <c r="H1605" t="s">
        <v>13</v>
      </c>
      <c r="I1605" t="b">
        <f t="shared" si="25"/>
        <v>0</v>
      </c>
    </row>
    <row r="1606" spans="1:9" x14ac:dyDescent="0.2">
      <c r="A1606" t="s">
        <v>141</v>
      </c>
      <c r="B1606" t="s">
        <v>142</v>
      </c>
      <c r="C1606" t="s">
        <v>143</v>
      </c>
      <c r="D1606" t="s">
        <v>144</v>
      </c>
      <c r="E1606" t="s">
        <v>4</v>
      </c>
      <c r="F1606">
        <v>11</v>
      </c>
      <c r="G1606">
        <v>322</v>
      </c>
      <c r="H1606" t="s">
        <v>13</v>
      </c>
      <c r="I1606" t="b">
        <f t="shared" si="25"/>
        <v>0</v>
      </c>
    </row>
    <row r="1607" spans="1:9" x14ac:dyDescent="0.2">
      <c r="A1607" t="s">
        <v>3913</v>
      </c>
      <c r="B1607" t="s">
        <v>3914</v>
      </c>
      <c r="C1607" t="s">
        <v>1596</v>
      </c>
      <c r="D1607" t="s">
        <v>1597</v>
      </c>
      <c r="E1607" t="s">
        <v>4</v>
      </c>
      <c r="F1607">
        <v>4</v>
      </c>
      <c r="G1607">
        <v>0</v>
      </c>
      <c r="H1607" t="s">
        <v>13</v>
      </c>
      <c r="I1607" t="b">
        <f t="shared" si="25"/>
        <v>0</v>
      </c>
    </row>
    <row r="1608" spans="1:9" x14ac:dyDescent="0.2">
      <c r="A1608" t="s">
        <v>6972</v>
      </c>
      <c r="B1608" t="s">
        <v>6973</v>
      </c>
      <c r="C1608" t="s">
        <v>6974</v>
      </c>
      <c r="D1608" t="s">
        <v>6975</v>
      </c>
      <c r="E1608" t="s">
        <v>4</v>
      </c>
      <c r="F1608">
        <v>421</v>
      </c>
      <c r="G1608">
        <v>270</v>
      </c>
      <c r="H1608" t="s">
        <v>13</v>
      </c>
      <c r="I1608" t="b">
        <f t="shared" si="25"/>
        <v>0</v>
      </c>
    </row>
    <row r="1609" spans="1:9" x14ac:dyDescent="0.2">
      <c r="A1609" t="s">
        <v>5685</v>
      </c>
      <c r="B1609" t="s">
        <v>5686</v>
      </c>
      <c r="C1609" t="s">
        <v>5687</v>
      </c>
      <c r="D1609" t="s">
        <v>5688</v>
      </c>
      <c r="E1609" t="s">
        <v>4</v>
      </c>
      <c r="F1609">
        <v>921</v>
      </c>
      <c r="G1609">
        <v>355</v>
      </c>
      <c r="H1609" t="s">
        <v>13</v>
      </c>
      <c r="I1609" t="b">
        <f t="shared" si="25"/>
        <v>0</v>
      </c>
    </row>
    <row r="1610" spans="1:9" x14ac:dyDescent="0.2">
      <c r="A1610" t="s">
        <v>1306</v>
      </c>
      <c r="B1610" t="s">
        <v>1307</v>
      </c>
      <c r="C1610" t="s">
        <v>1308</v>
      </c>
      <c r="D1610" t="s">
        <v>1309</v>
      </c>
      <c r="E1610" t="s">
        <v>4</v>
      </c>
      <c r="F1610">
        <v>273</v>
      </c>
      <c r="G1610">
        <v>46</v>
      </c>
      <c r="H1610" t="s">
        <v>13</v>
      </c>
      <c r="I1610" t="b">
        <f t="shared" si="25"/>
        <v>0</v>
      </c>
    </row>
    <row r="1611" spans="1:9" x14ac:dyDescent="0.2">
      <c r="A1611" t="s">
        <v>2003</v>
      </c>
      <c r="B1611" t="s">
        <v>2004</v>
      </c>
      <c r="C1611" t="s">
        <v>2005</v>
      </c>
      <c r="D1611" t="s">
        <v>2006</v>
      </c>
      <c r="E1611" t="s">
        <v>4</v>
      </c>
      <c r="F1611">
        <v>1321</v>
      </c>
      <c r="G1611">
        <v>1091</v>
      </c>
      <c r="H1611" t="s">
        <v>13</v>
      </c>
      <c r="I1611" t="b">
        <f t="shared" si="25"/>
        <v>0</v>
      </c>
    </row>
    <row r="1612" spans="1:9" x14ac:dyDescent="0.2">
      <c r="A1612" t="s">
        <v>6591</v>
      </c>
      <c r="B1612" t="s">
        <v>6592</v>
      </c>
      <c r="C1612" t="s">
        <v>459</v>
      </c>
      <c r="D1612" t="s">
        <v>216</v>
      </c>
      <c r="E1612" t="s">
        <v>4</v>
      </c>
      <c r="F1612">
        <v>178</v>
      </c>
      <c r="G1612">
        <v>135</v>
      </c>
      <c r="H1612" t="s">
        <v>13</v>
      </c>
      <c r="I1612" t="b">
        <f t="shared" si="25"/>
        <v>0</v>
      </c>
    </row>
    <row r="1613" spans="1:9" x14ac:dyDescent="0.2">
      <c r="A1613" t="s">
        <v>1168</v>
      </c>
      <c r="B1613" t="s">
        <v>1169</v>
      </c>
      <c r="C1613" t="s">
        <v>595</v>
      </c>
      <c r="D1613" t="s">
        <v>3</v>
      </c>
      <c r="E1613" t="s">
        <v>4</v>
      </c>
      <c r="F1613">
        <v>154</v>
      </c>
      <c r="G1613">
        <v>258</v>
      </c>
      <c r="H1613" t="s">
        <v>13</v>
      </c>
      <c r="I1613" t="b">
        <f t="shared" si="25"/>
        <v>0</v>
      </c>
    </row>
    <row r="1614" spans="1:9" x14ac:dyDescent="0.2">
      <c r="A1614" t="s">
        <v>5581</v>
      </c>
      <c r="B1614" t="s">
        <v>5582</v>
      </c>
      <c r="C1614" t="s">
        <v>2230</v>
      </c>
      <c r="D1614" t="s">
        <v>5583</v>
      </c>
      <c r="E1614" t="s">
        <v>4</v>
      </c>
      <c r="F1614">
        <v>187</v>
      </c>
      <c r="G1614">
        <v>624</v>
      </c>
      <c r="H1614" t="s">
        <v>13</v>
      </c>
      <c r="I1614" t="b">
        <f t="shared" si="25"/>
        <v>0</v>
      </c>
    </row>
    <row r="1615" spans="1:9" x14ac:dyDescent="0.2">
      <c r="A1615" t="s">
        <v>4539</v>
      </c>
      <c r="B1615" t="s">
        <v>4540</v>
      </c>
      <c r="C1615" t="s">
        <v>4541</v>
      </c>
      <c r="D1615" t="s">
        <v>3</v>
      </c>
      <c r="E1615" t="s">
        <v>4</v>
      </c>
      <c r="F1615">
        <v>1</v>
      </c>
      <c r="G1615">
        <v>3</v>
      </c>
      <c r="H1615" t="s">
        <v>13</v>
      </c>
      <c r="I1615" t="b">
        <f t="shared" si="25"/>
        <v>0</v>
      </c>
    </row>
    <row r="1616" spans="1:9" x14ac:dyDescent="0.2">
      <c r="A1616" t="s">
        <v>5313</v>
      </c>
      <c r="B1616" t="s">
        <v>5314</v>
      </c>
      <c r="C1616" t="s">
        <v>5315</v>
      </c>
      <c r="D1616" t="s">
        <v>5316</v>
      </c>
      <c r="E1616" t="s">
        <v>4</v>
      </c>
      <c r="F1616">
        <v>159</v>
      </c>
      <c r="G1616">
        <v>152</v>
      </c>
      <c r="H1616" t="s">
        <v>5317</v>
      </c>
      <c r="I1616" t="b">
        <f t="shared" si="25"/>
        <v>0</v>
      </c>
    </row>
    <row r="1617" spans="1:9" x14ac:dyDescent="0.2">
      <c r="A1617" t="s">
        <v>3065</v>
      </c>
      <c r="B1617" t="s">
        <v>3066</v>
      </c>
      <c r="C1617" t="s">
        <v>2011</v>
      </c>
      <c r="D1617" t="s">
        <v>3</v>
      </c>
      <c r="E1617" t="s">
        <v>4</v>
      </c>
      <c r="F1617">
        <v>555</v>
      </c>
      <c r="G1617">
        <v>692</v>
      </c>
      <c r="H1617" t="s">
        <v>5</v>
      </c>
      <c r="I1617" t="b">
        <f t="shared" si="25"/>
        <v>1</v>
      </c>
    </row>
    <row r="1618" spans="1:9" x14ac:dyDescent="0.2">
      <c r="A1618" t="s">
        <v>4254</v>
      </c>
      <c r="B1618" t="s">
        <v>4255</v>
      </c>
      <c r="C1618" t="s">
        <v>1258</v>
      </c>
      <c r="D1618" t="s">
        <v>64</v>
      </c>
      <c r="E1618" t="s">
        <v>4</v>
      </c>
      <c r="F1618">
        <v>36</v>
      </c>
      <c r="G1618">
        <v>0</v>
      </c>
      <c r="H1618" t="s">
        <v>13</v>
      </c>
      <c r="I1618" t="b">
        <f t="shared" si="25"/>
        <v>0</v>
      </c>
    </row>
    <row r="1619" spans="1:9" x14ac:dyDescent="0.2">
      <c r="A1619" t="s">
        <v>1824</v>
      </c>
      <c r="B1619" t="s">
        <v>1825</v>
      </c>
      <c r="C1619" t="s">
        <v>1596</v>
      </c>
      <c r="D1619" t="s">
        <v>1597</v>
      </c>
      <c r="E1619" t="s">
        <v>4</v>
      </c>
      <c r="F1619">
        <v>4</v>
      </c>
      <c r="G1619">
        <v>0</v>
      </c>
      <c r="H1619" t="s">
        <v>13</v>
      </c>
      <c r="I1619" t="b">
        <f t="shared" si="25"/>
        <v>0</v>
      </c>
    </row>
    <row r="1620" spans="1:9" x14ac:dyDescent="0.2">
      <c r="A1620" t="s">
        <v>3643</v>
      </c>
      <c r="B1620" t="s">
        <v>3644</v>
      </c>
      <c r="C1620" t="s">
        <v>3645</v>
      </c>
      <c r="D1620" t="s">
        <v>3646</v>
      </c>
      <c r="E1620" t="s">
        <v>4</v>
      </c>
      <c r="F1620">
        <v>2688</v>
      </c>
      <c r="G1620">
        <v>560</v>
      </c>
      <c r="H1620" t="s">
        <v>13</v>
      </c>
      <c r="I1620" t="b">
        <f t="shared" si="25"/>
        <v>0</v>
      </c>
    </row>
    <row r="1621" spans="1:9" x14ac:dyDescent="0.2">
      <c r="A1621" t="s">
        <v>4265</v>
      </c>
      <c r="B1621" t="s">
        <v>4266</v>
      </c>
      <c r="C1621" t="s">
        <v>1510</v>
      </c>
      <c r="D1621" t="s">
        <v>2927</v>
      </c>
      <c r="E1621" t="s">
        <v>4</v>
      </c>
      <c r="F1621">
        <v>376</v>
      </c>
      <c r="G1621">
        <v>1085</v>
      </c>
      <c r="H1621" t="s">
        <v>50</v>
      </c>
      <c r="I1621" t="b">
        <f t="shared" si="25"/>
        <v>0</v>
      </c>
    </row>
    <row r="1622" spans="1:9" x14ac:dyDescent="0.2">
      <c r="A1622" t="s">
        <v>2551</v>
      </c>
      <c r="B1622" t="s">
        <v>2552</v>
      </c>
      <c r="C1622" t="s">
        <v>171</v>
      </c>
      <c r="D1622" t="s">
        <v>2553</v>
      </c>
      <c r="E1622" t="s">
        <v>4</v>
      </c>
      <c r="F1622">
        <v>230</v>
      </c>
      <c r="G1622">
        <v>122</v>
      </c>
      <c r="H1622" t="s">
        <v>13</v>
      </c>
      <c r="I1622" t="b">
        <f t="shared" si="25"/>
        <v>0</v>
      </c>
    </row>
    <row r="1623" spans="1:9" x14ac:dyDescent="0.2">
      <c r="A1623" t="s">
        <v>7030</v>
      </c>
      <c r="B1623" t="s">
        <v>7031</v>
      </c>
      <c r="C1623" t="s">
        <v>7032</v>
      </c>
      <c r="D1623" t="s">
        <v>7033</v>
      </c>
      <c r="E1623" t="s">
        <v>4</v>
      </c>
      <c r="F1623">
        <v>512</v>
      </c>
      <c r="G1623">
        <v>533</v>
      </c>
      <c r="H1623" t="s">
        <v>13</v>
      </c>
      <c r="I1623" t="b">
        <f t="shared" si="25"/>
        <v>0</v>
      </c>
    </row>
    <row r="1624" spans="1:9" x14ac:dyDescent="0.2">
      <c r="A1624" t="s">
        <v>2277</v>
      </c>
      <c r="B1624" t="s">
        <v>2278</v>
      </c>
      <c r="C1624" t="s">
        <v>2279</v>
      </c>
      <c r="D1624" t="s">
        <v>2280</v>
      </c>
      <c r="E1624" t="s">
        <v>4</v>
      </c>
      <c r="F1624">
        <v>265</v>
      </c>
      <c r="G1624">
        <v>262</v>
      </c>
      <c r="H1624" t="s">
        <v>13</v>
      </c>
      <c r="I1624" t="b">
        <f t="shared" si="25"/>
        <v>0</v>
      </c>
    </row>
    <row r="1625" spans="1:9" x14ac:dyDescent="0.2">
      <c r="A1625" t="s">
        <v>7170</v>
      </c>
      <c r="B1625" t="s">
        <v>7171</v>
      </c>
      <c r="C1625" t="s">
        <v>773</v>
      </c>
      <c r="D1625" t="s">
        <v>3</v>
      </c>
      <c r="E1625" t="s">
        <v>4</v>
      </c>
      <c r="F1625">
        <v>756</v>
      </c>
      <c r="G1625">
        <v>47</v>
      </c>
      <c r="H1625" t="s">
        <v>13</v>
      </c>
      <c r="I1625" t="b">
        <f t="shared" si="25"/>
        <v>0</v>
      </c>
    </row>
    <row r="1626" spans="1:9" x14ac:dyDescent="0.2">
      <c r="A1626" t="s">
        <v>1101</v>
      </c>
      <c r="B1626" t="s">
        <v>1102</v>
      </c>
      <c r="C1626" t="s">
        <v>1103</v>
      </c>
      <c r="D1626" t="s">
        <v>3</v>
      </c>
      <c r="E1626" t="s">
        <v>4</v>
      </c>
      <c r="F1626">
        <v>0</v>
      </c>
      <c r="G1626">
        <v>20</v>
      </c>
      <c r="H1626" t="s">
        <v>13</v>
      </c>
      <c r="I1626" t="b">
        <f t="shared" si="25"/>
        <v>0</v>
      </c>
    </row>
    <row r="1627" spans="1:9" x14ac:dyDescent="0.2">
      <c r="A1627" t="s">
        <v>4039</v>
      </c>
      <c r="B1627" t="s">
        <v>4040</v>
      </c>
      <c r="C1627" t="s">
        <v>279</v>
      </c>
      <c r="D1627" t="s">
        <v>3</v>
      </c>
      <c r="E1627" t="s">
        <v>38</v>
      </c>
      <c r="F1627">
        <v>3609</v>
      </c>
      <c r="G1627">
        <v>6</v>
      </c>
      <c r="H1627" t="s">
        <v>13</v>
      </c>
      <c r="I1627" t="b">
        <f t="shared" si="25"/>
        <v>0</v>
      </c>
    </row>
    <row r="1628" spans="1:9" x14ac:dyDescent="0.2">
      <c r="A1628" t="s">
        <v>609</v>
      </c>
      <c r="B1628" t="s">
        <v>610</v>
      </c>
      <c r="C1628" t="s">
        <v>611</v>
      </c>
      <c r="D1628" t="s">
        <v>612</v>
      </c>
      <c r="E1628" t="s">
        <v>4</v>
      </c>
      <c r="F1628">
        <v>380</v>
      </c>
      <c r="G1628">
        <v>402</v>
      </c>
      <c r="H1628" t="s">
        <v>13</v>
      </c>
      <c r="I1628" t="b">
        <f t="shared" si="25"/>
        <v>0</v>
      </c>
    </row>
    <row r="1629" spans="1:9" x14ac:dyDescent="0.2">
      <c r="A1629" t="s">
        <v>2024</v>
      </c>
      <c r="B1629" t="s">
        <v>2025</v>
      </c>
      <c r="C1629" t="s">
        <v>208</v>
      </c>
      <c r="D1629" t="s">
        <v>172</v>
      </c>
      <c r="E1629" t="s">
        <v>4</v>
      </c>
      <c r="F1629">
        <v>10</v>
      </c>
      <c r="G1629">
        <v>2</v>
      </c>
      <c r="H1629" t="s">
        <v>13</v>
      </c>
      <c r="I1629" t="b">
        <f t="shared" si="25"/>
        <v>0</v>
      </c>
    </row>
    <row r="1630" spans="1:9" x14ac:dyDescent="0.2">
      <c r="A1630" t="s">
        <v>963</v>
      </c>
      <c r="B1630" t="s">
        <v>964</v>
      </c>
      <c r="C1630" t="s">
        <v>653</v>
      </c>
      <c r="D1630" t="s">
        <v>965</v>
      </c>
      <c r="E1630" t="s">
        <v>4</v>
      </c>
      <c r="F1630">
        <v>97</v>
      </c>
      <c r="G1630">
        <v>120</v>
      </c>
      <c r="H1630" t="s">
        <v>13</v>
      </c>
      <c r="I1630" t="b">
        <f t="shared" si="25"/>
        <v>0</v>
      </c>
    </row>
    <row r="1631" spans="1:9" x14ac:dyDescent="0.2">
      <c r="A1631" t="s">
        <v>5596</v>
      </c>
      <c r="B1631" t="s">
        <v>5597</v>
      </c>
      <c r="C1631" t="s">
        <v>70</v>
      </c>
      <c r="D1631" t="s">
        <v>3</v>
      </c>
      <c r="E1631" t="s">
        <v>4</v>
      </c>
      <c r="F1631">
        <v>127</v>
      </c>
      <c r="G1631">
        <v>271</v>
      </c>
      <c r="H1631" t="s">
        <v>13</v>
      </c>
      <c r="I1631" t="b">
        <f t="shared" si="25"/>
        <v>0</v>
      </c>
    </row>
    <row r="1632" spans="1:9" x14ac:dyDescent="0.2">
      <c r="A1632" t="s">
        <v>5521</v>
      </c>
      <c r="B1632" t="s">
        <v>5522</v>
      </c>
      <c r="C1632" t="s">
        <v>5105</v>
      </c>
      <c r="D1632" t="s">
        <v>5523</v>
      </c>
      <c r="E1632" t="s">
        <v>4</v>
      </c>
      <c r="F1632">
        <v>1214</v>
      </c>
      <c r="G1632">
        <v>2257</v>
      </c>
      <c r="H1632" t="s">
        <v>13</v>
      </c>
      <c r="I1632" t="b">
        <f t="shared" si="25"/>
        <v>0</v>
      </c>
    </row>
    <row r="1633" spans="1:9" x14ac:dyDescent="0.2">
      <c r="A1633" t="s">
        <v>6128</v>
      </c>
      <c r="B1633" t="s">
        <v>6129</v>
      </c>
      <c r="C1633" t="s">
        <v>1469</v>
      </c>
      <c r="D1633" t="s">
        <v>6130</v>
      </c>
      <c r="E1633" t="s">
        <v>4</v>
      </c>
      <c r="F1633">
        <v>55</v>
      </c>
      <c r="G1633">
        <v>81</v>
      </c>
      <c r="H1633" t="s">
        <v>13</v>
      </c>
      <c r="I1633" t="b">
        <f t="shared" si="25"/>
        <v>0</v>
      </c>
    </row>
    <row r="1634" spans="1:9" x14ac:dyDescent="0.2">
      <c r="A1634" t="s">
        <v>2799</v>
      </c>
      <c r="B1634" t="s">
        <v>2800</v>
      </c>
      <c r="C1634" t="s">
        <v>2801</v>
      </c>
      <c r="D1634" t="s">
        <v>2802</v>
      </c>
      <c r="E1634" t="s">
        <v>4</v>
      </c>
      <c r="F1634">
        <v>2376</v>
      </c>
      <c r="G1634">
        <v>449</v>
      </c>
      <c r="H1634" t="s">
        <v>13</v>
      </c>
      <c r="I1634" t="b">
        <f t="shared" si="25"/>
        <v>0</v>
      </c>
    </row>
    <row r="1635" spans="1:9" x14ac:dyDescent="0.2">
      <c r="A1635" t="s">
        <v>5007</v>
      </c>
      <c r="B1635" t="s">
        <v>5008</v>
      </c>
      <c r="C1635" t="s">
        <v>818</v>
      </c>
      <c r="D1635" t="s">
        <v>5009</v>
      </c>
      <c r="E1635" t="s">
        <v>4</v>
      </c>
      <c r="F1635">
        <v>0</v>
      </c>
      <c r="G1635">
        <v>1</v>
      </c>
      <c r="H1635" t="s">
        <v>13</v>
      </c>
      <c r="I1635" t="b">
        <f t="shared" si="25"/>
        <v>0</v>
      </c>
    </row>
    <row r="1636" spans="1:9" x14ac:dyDescent="0.2">
      <c r="A1636" t="s">
        <v>2359</v>
      </c>
      <c r="B1636" t="s">
        <v>2360</v>
      </c>
      <c r="C1636" t="s">
        <v>2361</v>
      </c>
      <c r="D1636" t="s">
        <v>2362</v>
      </c>
      <c r="E1636" t="s">
        <v>4</v>
      </c>
      <c r="F1636">
        <v>126</v>
      </c>
      <c r="G1636">
        <v>657</v>
      </c>
      <c r="H1636" t="s">
        <v>13</v>
      </c>
      <c r="I1636" t="b">
        <f t="shared" si="25"/>
        <v>0</v>
      </c>
    </row>
    <row r="1637" spans="1:9" x14ac:dyDescent="0.2">
      <c r="A1637" t="s">
        <v>3545</v>
      </c>
      <c r="B1637" t="s">
        <v>3546</v>
      </c>
      <c r="C1637" t="s">
        <v>3547</v>
      </c>
      <c r="D1637" t="s">
        <v>3</v>
      </c>
      <c r="E1637" t="s">
        <v>4</v>
      </c>
      <c r="F1637">
        <v>175</v>
      </c>
      <c r="G1637">
        <v>384</v>
      </c>
      <c r="H1637" t="s">
        <v>13</v>
      </c>
      <c r="I1637" t="b">
        <f t="shared" si="25"/>
        <v>0</v>
      </c>
    </row>
    <row r="1638" spans="1:9" x14ac:dyDescent="0.2">
      <c r="A1638" t="s">
        <v>5691</v>
      </c>
      <c r="B1638" t="s">
        <v>5692</v>
      </c>
      <c r="C1638" t="s">
        <v>5503</v>
      </c>
      <c r="D1638" t="s">
        <v>98</v>
      </c>
      <c r="E1638" t="s">
        <v>4</v>
      </c>
      <c r="F1638">
        <v>145</v>
      </c>
      <c r="G1638">
        <v>124</v>
      </c>
      <c r="H1638" t="s">
        <v>13</v>
      </c>
      <c r="I1638" t="b">
        <f t="shared" si="25"/>
        <v>0</v>
      </c>
    </row>
    <row r="1639" spans="1:9" x14ac:dyDescent="0.2">
      <c r="A1639" t="s">
        <v>3504</v>
      </c>
      <c r="B1639" t="s">
        <v>3506</v>
      </c>
      <c r="C1639" t="s">
        <v>177</v>
      </c>
      <c r="D1639" t="s">
        <v>734</v>
      </c>
      <c r="E1639" t="s">
        <v>4</v>
      </c>
      <c r="F1639">
        <v>210</v>
      </c>
      <c r="G1639">
        <v>273</v>
      </c>
      <c r="H1639" t="s">
        <v>13</v>
      </c>
      <c r="I1639" t="b">
        <f t="shared" si="25"/>
        <v>0</v>
      </c>
    </row>
    <row r="1640" spans="1:9" x14ac:dyDescent="0.2">
      <c r="A1640" t="s">
        <v>3341</v>
      </c>
      <c r="B1640" t="s">
        <v>3342</v>
      </c>
      <c r="C1640" t="s">
        <v>204</v>
      </c>
      <c r="D1640" t="s">
        <v>3</v>
      </c>
      <c r="E1640" t="s">
        <v>4</v>
      </c>
      <c r="F1640">
        <v>118</v>
      </c>
      <c r="G1640">
        <v>384</v>
      </c>
      <c r="H1640" t="s">
        <v>13</v>
      </c>
      <c r="I1640" t="b">
        <f t="shared" si="25"/>
        <v>0</v>
      </c>
    </row>
    <row r="1641" spans="1:9" x14ac:dyDescent="0.2">
      <c r="A1641" t="s">
        <v>6602</v>
      </c>
      <c r="B1641" t="s">
        <v>6603</v>
      </c>
      <c r="C1641" t="s">
        <v>4399</v>
      </c>
      <c r="D1641" t="s">
        <v>6604</v>
      </c>
      <c r="E1641" t="s">
        <v>4</v>
      </c>
      <c r="F1641">
        <v>538</v>
      </c>
      <c r="G1641">
        <v>602</v>
      </c>
      <c r="H1641" t="s">
        <v>13</v>
      </c>
      <c r="I1641" t="b">
        <f t="shared" si="25"/>
        <v>0</v>
      </c>
    </row>
    <row r="1642" spans="1:9" x14ac:dyDescent="0.2">
      <c r="A1642" t="s">
        <v>6380</v>
      </c>
      <c r="B1642" t="s">
        <v>6381</v>
      </c>
      <c r="C1642" t="s">
        <v>999</v>
      </c>
      <c r="D1642" t="s">
        <v>6382</v>
      </c>
      <c r="E1642" t="s">
        <v>4</v>
      </c>
      <c r="F1642">
        <v>65</v>
      </c>
      <c r="G1642">
        <v>206</v>
      </c>
      <c r="H1642" t="s">
        <v>13</v>
      </c>
      <c r="I1642" t="b">
        <f t="shared" si="25"/>
        <v>0</v>
      </c>
    </row>
    <row r="1643" spans="1:9" x14ac:dyDescent="0.2">
      <c r="A1643" t="s">
        <v>3053</v>
      </c>
      <c r="B1643" t="s">
        <v>3054</v>
      </c>
      <c r="C1643" t="s">
        <v>459</v>
      </c>
      <c r="D1643" t="s">
        <v>3</v>
      </c>
      <c r="E1643" t="s">
        <v>4</v>
      </c>
      <c r="F1643">
        <v>670</v>
      </c>
      <c r="G1643">
        <v>568</v>
      </c>
      <c r="H1643" t="s">
        <v>13</v>
      </c>
      <c r="I1643" t="b">
        <f t="shared" si="25"/>
        <v>0</v>
      </c>
    </row>
    <row r="1644" spans="1:9" x14ac:dyDescent="0.2">
      <c r="A1644" t="s">
        <v>5501</v>
      </c>
      <c r="B1644" t="s">
        <v>5502</v>
      </c>
      <c r="C1644" t="s">
        <v>5503</v>
      </c>
      <c r="D1644" t="s">
        <v>98</v>
      </c>
      <c r="E1644" t="s">
        <v>4</v>
      </c>
      <c r="F1644">
        <v>145</v>
      </c>
      <c r="G1644">
        <v>124</v>
      </c>
      <c r="H1644" t="s">
        <v>13</v>
      </c>
      <c r="I1644" t="b">
        <f t="shared" si="25"/>
        <v>0</v>
      </c>
    </row>
    <row r="1645" spans="1:9" x14ac:dyDescent="0.2">
      <c r="A1645" t="s">
        <v>2231</v>
      </c>
      <c r="B1645" t="s">
        <v>2232</v>
      </c>
      <c r="C1645" t="s">
        <v>2233</v>
      </c>
      <c r="D1645">
        <v>904</v>
      </c>
      <c r="E1645" t="s">
        <v>4</v>
      </c>
      <c r="F1645">
        <v>635</v>
      </c>
      <c r="G1645">
        <v>70</v>
      </c>
      <c r="H1645" t="s">
        <v>13</v>
      </c>
      <c r="I1645" t="b">
        <f t="shared" si="25"/>
        <v>0</v>
      </c>
    </row>
    <row r="1646" spans="1:9" x14ac:dyDescent="0.2">
      <c r="A1646" t="s">
        <v>1341</v>
      </c>
      <c r="B1646" t="s">
        <v>1342</v>
      </c>
      <c r="C1646" t="s">
        <v>494</v>
      </c>
      <c r="D1646" t="s">
        <v>1343</v>
      </c>
      <c r="E1646" t="s">
        <v>4</v>
      </c>
      <c r="F1646">
        <v>1096</v>
      </c>
      <c r="G1646">
        <v>993</v>
      </c>
      <c r="H1646" t="s">
        <v>13</v>
      </c>
      <c r="I1646" t="b">
        <f t="shared" si="25"/>
        <v>0</v>
      </c>
    </row>
    <row r="1647" spans="1:9" x14ac:dyDescent="0.2">
      <c r="A1647" t="s">
        <v>4270</v>
      </c>
      <c r="B1647" t="s">
        <v>4271</v>
      </c>
      <c r="C1647" t="s">
        <v>3596</v>
      </c>
      <c r="D1647" t="s">
        <v>3</v>
      </c>
      <c r="E1647" t="s">
        <v>4</v>
      </c>
      <c r="F1647">
        <v>365</v>
      </c>
      <c r="G1647">
        <v>454</v>
      </c>
      <c r="H1647" t="s">
        <v>13</v>
      </c>
      <c r="I1647" t="b">
        <f t="shared" si="25"/>
        <v>0</v>
      </c>
    </row>
    <row r="1648" spans="1:9" x14ac:dyDescent="0.2">
      <c r="A1648" t="s">
        <v>6207</v>
      </c>
      <c r="B1648" t="s">
        <v>6208</v>
      </c>
      <c r="C1648" t="s">
        <v>2977</v>
      </c>
      <c r="D1648" t="s">
        <v>6209</v>
      </c>
      <c r="E1648" t="s">
        <v>4</v>
      </c>
      <c r="F1648">
        <v>542</v>
      </c>
      <c r="G1648">
        <v>587</v>
      </c>
      <c r="H1648" t="s">
        <v>13</v>
      </c>
      <c r="I1648" t="b">
        <f t="shared" si="25"/>
        <v>0</v>
      </c>
    </row>
    <row r="1649" spans="1:9" x14ac:dyDescent="0.2">
      <c r="A1649" t="s">
        <v>5139</v>
      </c>
      <c r="B1649" t="s">
        <v>5140</v>
      </c>
      <c r="C1649" t="s">
        <v>5141</v>
      </c>
      <c r="D1649" t="s">
        <v>5142</v>
      </c>
      <c r="E1649" t="s">
        <v>4</v>
      </c>
      <c r="F1649">
        <v>83</v>
      </c>
      <c r="G1649">
        <v>575</v>
      </c>
      <c r="H1649" t="s">
        <v>13</v>
      </c>
      <c r="I1649" t="b">
        <f t="shared" si="25"/>
        <v>0</v>
      </c>
    </row>
    <row r="1650" spans="1:9" x14ac:dyDescent="0.2">
      <c r="A1650" t="s">
        <v>2525</v>
      </c>
      <c r="B1650" t="s">
        <v>2526</v>
      </c>
      <c r="C1650" t="s">
        <v>410</v>
      </c>
      <c r="D1650" t="s">
        <v>2527</v>
      </c>
      <c r="E1650" t="s">
        <v>4</v>
      </c>
      <c r="F1650">
        <v>966</v>
      </c>
      <c r="G1650">
        <v>534</v>
      </c>
      <c r="H1650" t="s">
        <v>13</v>
      </c>
      <c r="I1650" t="b">
        <f t="shared" si="25"/>
        <v>0</v>
      </c>
    </row>
    <row r="1651" spans="1:9" x14ac:dyDescent="0.2">
      <c r="A1651" t="s">
        <v>3886</v>
      </c>
      <c r="B1651" t="s">
        <v>3887</v>
      </c>
      <c r="C1651" t="s">
        <v>1258</v>
      </c>
      <c r="D1651" t="s">
        <v>3</v>
      </c>
      <c r="E1651" t="s">
        <v>4</v>
      </c>
      <c r="F1651">
        <v>24</v>
      </c>
      <c r="G1651">
        <v>572</v>
      </c>
      <c r="H1651" t="s">
        <v>76</v>
      </c>
      <c r="I1651" t="b">
        <f t="shared" si="25"/>
        <v>0</v>
      </c>
    </row>
    <row r="1652" spans="1:9" x14ac:dyDescent="0.2">
      <c r="A1652" t="s">
        <v>583</v>
      </c>
      <c r="B1652" t="s">
        <v>584</v>
      </c>
      <c r="C1652" t="s">
        <v>585</v>
      </c>
      <c r="D1652" t="s">
        <v>3</v>
      </c>
      <c r="E1652" t="s">
        <v>4</v>
      </c>
      <c r="F1652">
        <v>446</v>
      </c>
      <c r="G1652">
        <v>1474</v>
      </c>
      <c r="H1652" t="s">
        <v>13</v>
      </c>
      <c r="I1652" t="b">
        <f t="shared" si="25"/>
        <v>0</v>
      </c>
    </row>
    <row r="1653" spans="1:9" x14ac:dyDescent="0.2">
      <c r="A1653" t="s">
        <v>2978</v>
      </c>
      <c r="B1653" t="s">
        <v>2979</v>
      </c>
      <c r="C1653" t="s">
        <v>2980</v>
      </c>
      <c r="D1653" t="s">
        <v>2981</v>
      </c>
      <c r="E1653" t="s">
        <v>4</v>
      </c>
      <c r="F1653">
        <v>128</v>
      </c>
      <c r="G1653">
        <v>1067</v>
      </c>
      <c r="H1653" t="s">
        <v>86</v>
      </c>
      <c r="I1653" t="b">
        <f t="shared" si="25"/>
        <v>0</v>
      </c>
    </row>
    <row r="1654" spans="1:9" x14ac:dyDescent="0.2">
      <c r="A1654" t="s">
        <v>5495</v>
      </c>
      <c r="B1654" t="s">
        <v>5496</v>
      </c>
      <c r="C1654" t="s">
        <v>2558</v>
      </c>
      <c r="D1654" t="s">
        <v>5497</v>
      </c>
      <c r="E1654" t="s">
        <v>38</v>
      </c>
      <c r="F1654">
        <v>16662</v>
      </c>
      <c r="G1654">
        <v>1315</v>
      </c>
      <c r="H1654" t="s">
        <v>13</v>
      </c>
      <c r="I1654" t="b">
        <f t="shared" si="25"/>
        <v>0</v>
      </c>
    </row>
    <row r="1655" spans="1:9" x14ac:dyDescent="0.2">
      <c r="A1655" t="s">
        <v>4677</v>
      </c>
      <c r="B1655" t="s">
        <v>4678</v>
      </c>
      <c r="C1655" t="s">
        <v>1230</v>
      </c>
      <c r="D1655" t="s">
        <v>2139</v>
      </c>
      <c r="E1655" t="s">
        <v>4</v>
      </c>
      <c r="F1655">
        <v>417</v>
      </c>
      <c r="G1655">
        <v>410</v>
      </c>
      <c r="H1655" t="s">
        <v>13</v>
      </c>
      <c r="I1655" t="b">
        <f t="shared" si="25"/>
        <v>0</v>
      </c>
    </row>
    <row r="1656" spans="1:9" x14ac:dyDescent="0.2">
      <c r="A1656" t="s">
        <v>6624</v>
      </c>
      <c r="B1656" t="s">
        <v>6625</v>
      </c>
      <c r="C1656" t="s">
        <v>3063</v>
      </c>
      <c r="D1656" t="s">
        <v>3</v>
      </c>
      <c r="E1656" t="s">
        <v>4</v>
      </c>
      <c r="F1656">
        <v>5</v>
      </c>
      <c r="G1656">
        <v>7</v>
      </c>
      <c r="H1656" t="s">
        <v>13</v>
      </c>
      <c r="I1656" t="b">
        <f t="shared" si="25"/>
        <v>0</v>
      </c>
    </row>
    <row r="1657" spans="1:9" x14ac:dyDescent="0.2">
      <c r="A1657" t="s">
        <v>1846</v>
      </c>
      <c r="B1657" t="s">
        <v>1847</v>
      </c>
      <c r="C1657" t="s">
        <v>319</v>
      </c>
      <c r="D1657" t="s">
        <v>1848</v>
      </c>
      <c r="E1657" t="s">
        <v>4</v>
      </c>
      <c r="F1657">
        <v>37</v>
      </c>
      <c r="G1657">
        <v>8</v>
      </c>
      <c r="H1657" t="s">
        <v>13</v>
      </c>
      <c r="I1657" t="b">
        <f t="shared" si="25"/>
        <v>0</v>
      </c>
    </row>
    <row r="1658" spans="1:9" x14ac:dyDescent="0.2">
      <c r="A1658" t="s">
        <v>1748</v>
      </c>
      <c r="B1658" t="s">
        <v>1749</v>
      </c>
      <c r="C1658" t="s">
        <v>1750</v>
      </c>
      <c r="D1658" t="s">
        <v>1751</v>
      </c>
      <c r="E1658" t="s">
        <v>4</v>
      </c>
      <c r="F1658">
        <v>101</v>
      </c>
      <c r="G1658">
        <v>542</v>
      </c>
      <c r="H1658" t="s">
        <v>13</v>
      </c>
      <c r="I1658" t="b">
        <f t="shared" si="25"/>
        <v>0</v>
      </c>
    </row>
    <row r="1659" spans="1:9" x14ac:dyDescent="0.2">
      <c r="A1659" t="s">
        <v>3374</v>
      </c>
      <c r="B1659" t="s">
        <v>3376</v>
      </c>
      <c r="C1659" t="s">
        <v>3063</v>
      </c>
      <c r="D1659" t="s">
        <v>3</v>
      </c>
      <c r="E1659" t="s">
        <v>4</v>
      </c>
      <c r="F1659">
        <v>100</v>
      </c>
      <c r="G1659">
        <v>261</v>
      </c>
      <c r="H1659" t="s">
        <v>13</v>
      </c>
      <c r="I1659" t="b">
        <f t="shared" si="25"/>
        <v>0</v>
      </c>
    </row>
    <row r="1660" spans="1:9" x14ac:dyDescent="0.2">
      <c r="A1660" t="s">
        <v>5832</v>
      </c>
      <c r="B1660" t="s">
        <v>5833</v>
      </c>
      <c r="C1660" t="s">
        <v>3635</v>
      </c>
      <c r="D1660" t="s">
        <v>5834</v>
      </c>
      <c r="E1660" t="s">
        <v>4</v>
      </c>
      <c r="F1660">
        <v>91</v>
      </c>
      <c r="G1660">
        <v>170</v>
      </c>
      <c r="H1660" t="s">
        <v>13</v>
      </c>
      <c r="I1660" t="b">
        <f t="shared" si="25"/>
        <v>0</v>
      </c>
    </row>
    <row r="1661" spans="1:9" x14ac:dyDescent="0.2">
      <c r="A1661" t="s">
        <v>3956</v>
      </c>
      <c r="B1661" t="s">
        <v>3957</v>
      </c>
      <c r="C1661" t="s">
        <v>3958</v>
      </c>
      <c r="D1661" t="s">
        <v>3959</v>
      </c>
      <c r="E1661" t="s">
        <v>4</v>
      </c>
      <c r="F1661">
        <v>2482</v>
      </c>
      <c r="G1661">
        <v>1802</v>
      </c>
      <c r="H1661" t="s">
        <v>13</v>
      </c>
      <c r="I1661" t="b">
        <f t="shared" si="25"/>
        <v>0</v>
      </c>
    </row>
    <row r="1662" spans="1:9" x14ac:dyDescent="0.2">
      <c r="A1662" t="s">
        <v>6111</v>
      </c>
      <c r="B1662" t="s">
        <v>6112</v>
      </c>
      <c r="C1662" t="s">
        <v>6113</v>
      </c>
      <c r="D1662" t="s">
        <v>6114</v>
      </c>
      <c r="E1662" t="s">
        <v>4</v>
      </c>
      <c r="F1662">
        <v>563</v>
      </c>
      <c r="G1662">
        <v>35</v>
      </c>
      <c r="H1662" t="s">
        <v>13</v>
      </c>
      <c r="I1662" t="b">
        <f t="shared" si="25"/>
        <v>0</v>
      </c>
    </row>
    <row r="1663" spans="1:9" x14ac:dyDescent="0.2">
      <c r="A1663" t="s">
        <v>617</v>
      </c>
      <c r="B1663" t="s">
        <v>618</v>
      </c>
      <c r="C1663" t="s">
        <v>487</v>
      </c>
      <c r="D1663" t="s">
        <v>488</v>
      </c>
      <c r="E1663" t="s">
        <v>4</v>
      </c>
      <c r="F1663">
        <v>1899</v>
      </c>
      <c r="G1663">
        <v>540</v>
      </c>
      <c r="H1663" t="s">
        <v>13</v>
      </c>
      <c r="I1663" t="b">
        <f t="shared" si="25"/>
        <v>1</v>
      </c>
    </row>
    <row r="1664" spans="1:9" x14ac:dyDescent="0.2">
      <c r="A1664" t="s">
        <v>3671</v>
      </c>
      <c r="B1664" t="s">
        <v>3672</v>
      </c>
      <c r="C1664" t="s">
        <v>487</v>
      </c>
      <c r="D1664" t="s">
        <v>488</v>
      </c>
      <c r="E1664" t="s">
        <v>4</v>
      </c>
      <c r="F1664">
        <v>1899</v>
      </c>
      <c r="G1664">
        <v>540</v>
      </c>
      <c r="H1664" t="s">
        <v>13</v>
      </c>
      <c r="I1664" t="b">
        <f t="shared" si="25"/>
        <v>1</v>
      </c>
    </row>
    <row r="1665" spans="1:9" x14ac:dyDescent="0.2">
      <c r="A1665" t="s">
        <v>5210</v>
      </c>
      <c r="B1665" t="s">
        <v>5211</v>
      </c>
      <c r="C1665" t="s">
        <v>487</v>
      </c>
      <c r="D1665" t="s">
        <v>488</v>
      </c>
      <c r="E1665" t="s">
        <v>4</v>
      </c>
      <c r="F1665">
        <v>1898</v>
      </c>
      <c r="G1665">
        <v>540</v>
      </c>
      <c r="H1665" t="s">
        <v>13</v>
      </c>
      <c r="I1665" t="b">
        <f t="shared" si="25"/>
        <v>1</v>
      </c>
    </row>
    <row r="1666" spans="1:9" x14ac:dyDescent="0.2">
      <c r="A1666" t="s">
        <v>5898</v>
      </c>
      <c r="B1666" t="s">
        <v>5899</v>
      </c>
      <c r="C1666" t="s">
        <v>487</v>
      </c>
      <c r="D1666" t="s">
        <v>488</v>
      </c>
      <c r="E1666" t="s">
        <v>4</v>
      </c>
      <c r="F1666">
        <v>1898</v>
      </c>
      <c r="G1666">
        <v>540</v>
      </c>
      <c r="H1666" t="s">
        <v>13</v>
      </c>
      <c r="I1666" t="b">
        <f t="shared" si="25"/>
        <v>1</v>
      </c>
    </row>
    <row r="1667" spans="1:9" x14ac:dyDescent="0.2">
      <c r="A1667" t="s">
        <v>4478</v>
      </c>
      <c r="B1667" t="s">
        <v>4479</v>
      </c>
      <c r="C1667" t="s">
        <v>487</v>
      </c>
      <c r="D1667" t="s">
        <v>488</v>
      </c>
      <c r="E1667" t="s">
        <v>4</v>
      </c>
      <c r="F1667">
        <v>1898</v>
      </c>
      <c r="G1667">
        <v>540</v>
      </c>
      <c r="H1667" t="s">
        <v>13</v>
      </c>
      <c r="I1667" t="b">
        <f t="shared" ref="I1667:I1730" si="26">isDup(B1667, B1668, 0.7)</f>
        <v>1</v>
      </c>
    </row>
    <row r="1668" spans="1:9" x14ac:dyDescent="0.2">
      <c r="A1668" t="s">
        <v>2839</v>
      </c>
      <c r="B1668" t="s">
        <v>2840</v>
      </c>
      <c r="C1668" t="s">
        <v>487</v>
      </c>
      <c r="D1668" t="s">
        <v>488</v>
      </c>
      <c r="E1668" t="s">
        <v>4</v>
      </c>
      <c r="F1668">
        <v>1899</v>
      </c>
      <c r="G1668">
        <v>540</v>
      </c>
      <c r="H1668" t="s">
        <v>13</v>
      </c>
      <c r="I1668" t="b">
        <f t="shared" si="26"/>
        <v>0</v>
      </c>
    </row>
    <row r="1669" spans="1:9" x14ac:dyDescent="0.2">
      <c r="A1669" t="s">
        <v>4965</v>
      </c>
      <c r="B1669" t="s">
        <v>4966</v>
      </c>
      <c r="C1669" t="s">
        <v>4967</v>
      </c>
      <c r="D1669" t="s">
        <v>3</v>
      </c>
      <c r="E1669" t="s">
        <v>4</v>
      </c>
      <c r="F1669">
        <v>32</v>
      </c>
      <c r="G1669">
        <v>45</v>
      </c>
      <c r="H1669" t="s">
        <v>86</v>
      </c>
      <c r="I1669" t="b">
        <f t="shared" si="26"/>
        <v>0</v>
      </c>
    </row>
    <row r="1670" spans="1:9" x14ac:dyDescent="0.2">
      <c r="A1670" t="s">
        <v>2350</v>
      </c>
      <c r="B1670" t="s">
        <v>2351</v>
      </c>
      <c r="C1670" t="s">
        <v>1534</v>
      </c>
      <c r="D1670" t="s">
        <v>3</v>
      </c>
      <c r="E1670" t="s">
        <v>4</v>
      </c>
      <c r="F1670">
        <v>7</v>
      </c>
      <c r="G1670">
        <v>155</v>
      </c>
      <c r="H1670" t="s">
        <v>13</v>
      </c>
      <c r="I1670" t="b">
        <f t="shared" si="26"/>
        <v>0</v>
      </c>
    </row>
    <row r="1671" spans="1:9" x14ac:dyDescent="0.2">
      <c r="A1671" t="s">
        <v>1252</v>
      </c>
      <c r="B1671" t="s">
        <v>1253</v>
      </c>
      <c r="C1671" t="s">
        <v>1254</v>
      </c>
      <c r="D1671" t="s">
        <v>1255</v>
      </c>
      <c r="E1671" t="s">
        <v>4</v>
      </c>
      <c r="F1671">
        <v>1353</v>
      </c>
      <c r="G1671">
        <v>1068</v>
      </c>
      <c r="H1671" t="s">
        <v>13</v>
      </c>
      <c r="I1671" t="b">
        <f t="shared" si="26"/>
        <v>0</v>
      </c>
    </row>
    <row r="1672" spans="1:9" x14ac:dyDescent="0.2">
      <c r="A1672" t="s">
        <v>5838</v>
      </c>
      <c r="B1672" t="s">
        <v>5839</v>
      </c>
      <c r="C1672" t="s">
        <v>1328</v>
      </c>
      <c r="D1672" t="s">
        <v>3</v>
      </c>
      <c r="E1672" t="s">
        <v>4</v>
      </c>
      <c r="F1672">
        <v>472</v>
      </c>
      <c r="G1672">
        <v>1639</v>
      </c>
      <c r="H1672" t="s">
        <v>13</v>
      </c>
      <c r="I1672" t="b">
        <f t="shared" si="26"/>
        <v>0</v>
      </c>
    </row>
    <row r="1673" spans="1:9" x14ac:dyDescent="0.2">
      <c r="A1673" t="s">
        <v>5864</v>
      </c>
      <c r="B1673" t="s">
        <v>5865</v>
      </c>
      <c r="C1673" t="s">
        <v>3435</v>
      </c>
      <c r="D1673" t="s">
        <v>5866</v>
      </c>
      <c r="E1673" t="s">
        <v>4</v>
      </c>
      <c r="F1673">
        <v>487</v>
      </c>
      <c r="G1673">
        <v>1004</v>
      </c>
      <c r="H1673" t="s">
        <v>13</v>
      </c>
      <c r="I1673" t="b">
        <f t="shared" si="26"/>
        <v>0</v>
      </c>
    </row>
    <row r="1674" spans="1:9" x14ac:dyDescent="0.2">
      <c r="A1674" t="s">
        <v>5334</v>
      </c>
      <c r="B1674" t="s">
        <v>5335</v>
      </c>
      <c r="C1674" t="s">
        <v>5336</v>
      </c>
      <c r="D1674" t="s">
        <v>3</v>
      </c>
      <c r="E1674" t="s">
        <v>4</v>
      </c>
      <c r="F1674">
        <v>173</v>
      </c>
      <c r="G1674">
        <v>1661</v>
      </c>
      <c r="H1674" t="s">
        <v>13</v>
      </c>
      <c r="I1674" t="b">
        <f t="shared" si="26"/>
        <v>0</v>
      </c>
    </row>
    <row r="1675" spans="1:9" x14ac:dyDescent="0.2">
      <c r="A1675" t="s">
        <v>692</v>
      </c>
      <c r="B1675" t="s">
        <v>693</v>
      </c>
      <c r="C1675" t="s">
        <v>694</v>
      </c>
      <c r="D1675" t="s">
        <v>42</v>
      </c>
      <c r="E1675" t="s">
        <v>4</v>
      </c>
      <c r="F1675">
        <v>172</v>
      </c>
      <c r="G1675">
        <v>84</v>
      </c>
      <c r="H1675" t="s">
        <v>13</v>
      </c>
      <c r="I1675" t="b">
        <f t="shared" si="26"/>
        <v>0</v>
      </c>
    </row>
    <row r="1676" spans="1:9" x14ac:dyDescent="0.2">
      <c r="A1676" t="s">
        <v>3441</v>
      </c>
      <c r="B1676" t="s">
        <v>3442</v>
      </c>
      <c r="C1676" t="s">
        <v>3443</v>
      </c>
      <c r="D1676" t="s">
        <v>2706</v>
      </c>
      <c r="E1676" t="s">
        <v>4</v>
      </c>
      <c r="F1676">
        <v>14</v>
      </c>
      <c r="G1676">
        <v>36</v>
      </c>
      <c r="H1676" t="s">
        <v>13</v>
      </c>
      <c r="I1676" t="b">
        <f t="shared" si="26"/>
        <v>0</v>
      </c>
    </row>
    <row r="1677" spans="1:9" x14ac:dyDescent="0.2">
      <c r="A1677" t="s">
        <v>4634</v>
      </c>
      <c r="B1677" t="s">
        <v>4635</v>
      </c>
      <c r="C1677" t="s">
        <v>1587</v>
      </c>
      <c r="D1677" t="s">
        <v>4636</v>
      </c>
      <c r="E1677" t="s">
        <v>4</v>
      </c>
      <c r="F1677">
        <v>1358</v>
      </c>
      <c r="G1677">
        <v>330</v>
      </c>
      <c r="H1677" t="s">
        <v>13</v>
      </c>
      <c r="I1677" t="b">
        <f t="shared" si="26"/>
        <v>0</v>
      </c>
    </row>
    <row r="1678" spans="1:9" x14ac:dyDescent="0.2">
      <c r="A1678" t="s">
        <v>3878</v>
      </c>
      <c r="B1678" t="s">
        <v>3879</v>
      </c>
      <c r="C1678" t="s">
        <v>3880</v>
      </c>
      <c r="D1678" t="s">
        <v>3</v>
      </c>
      <c r="E1678" t="s">
        <v>4</v>
      </c>
      <c r="F1678">
        <v>38018</v>
      </c>
      <c r="G1678">
        <v>192</v>
      </c>
      <c r="H1678" t="s">
        <v>645</v>
      </c>
      <c r="I1678" t="b">
        <f t="shared" si="26"/>
        <v>0</v>
      </c>
    </row>
    <row r="1679" spans="1:9" x14ac:dyDescent="0.2">
      <c r="A1679" t="s">
        <v>2457</v>
      </c>
      <c r="B1679" t="s">
        <v>2458</v>
      </c>
      <c r="C1679" t="s">
        <v>2459</v>
      </c>
      <c r="D1679" t="s">
        <v>326</v>
      </c>
      <c r="E1679" t="s">
        <v>4</v>
      </c>
      <c r="F1679">
        <v>2</v>
      </c>
      <c r="G1679">
        <v>8</v>
      </c>
      <c r="H1679" t="s">
        <v>13</v>
      </c>
      <c r="I1679" t="b">
        <f t="shared" si="26"/>
        <v>0</v>
      </c>
    </row>
    <row r="1680" spans="1:9" x14ac:dyDescent="0.2">
      <c r="A1680" t="s">
        <v>4760</v>
      </c>
      <c r="B1680" t="s">
        <v>4761</v>
      </c>
      <c r="C1680" t="s">
        <v>740</v>
      </c>
      <c r="D1680" t="s">
        <v>4762</v>
      </c>
      <c r="E1680" t="s">
        <v>4</v>
      </c>
      <c r="F1680">
        <v>165</v>
      </c>
      <c r="G1680">
        <v>243</v>
      </c>
      <c r="H1680" t="s">
        <v>13</v>
      </c>
      <c r="I1680" t="b">
        <f t="shared" si="26"/>
        <v>0</v>
      </c>
    </row>
    <row r="1681" spans="1:9" x14ac:dyDescent="0.2">
      <c r="A1681" t="s">
        <v>1184</v>
      </c>
      <c r="B1681" t="s">
        <v>1186</v>
      </c>
      <c r="C1681" t="s">
        <v>1187</v>
      </c>
      <c r="D1681" t="s">
        <v>1188</v>
      </c>
      <c r="E1681" t="s">
        <v>4</v>
      </c>
      <c r="F1681">
        <v>198</v>
      </c>
      <c r="G1681">
        <v>120</v>
      </c>
      <c r="H1681" t="s">
        <v>13</v>
      </c>
      <c r="I1681" t="b">
        <f t="shared" si="26"/>
        <v>0</v>
      </c>
    </row>
    <row r="1682" spans="1:9" x14ac:dyDescent="0.2">
      <c r="A1682" t="s">
        <v>4576</v>
      </c>
      <c r="B1682" t="s">
        <v>4577</v>
      </c>
      <c r="C1682" t="s">
        <v>4578</v>
      </c>
      <c r="D1682" t="s">
        <v>1817</v>
      </c>
      <c r="E1682" t="s">
        <v>4</v>
      </c>
      <c r="F1682">
        <v>392</v>
      </c>
      <c r="G1682">
        <v>969</v>
      </c>
      <c r="H1682" t="s">
        <v>13</v>
      </c>
      <c r="I1682" t="b">
        <f t="shared" si="26"/>
        <v>0</v>
      </c>
    </row>
    <row r="1683" spans="1:9" x14ac:dyDescent="0.2">
      <c r="A1683" t="s">
        <v>5546</v>
      </c>
      <c r="B1683" t="s">
        <v>5547</v>
      </c>
      <c r="C1683" t="s">
        <v>2646</v>
      </c>
      <c r="D1683" t="s">
        <v>5548</v>
      </c>
      <c r="E1683" t="s">
        <v>4</v>
      </c>
      <c r="F1683">
        <v>336</v>
      </c>
      <c r="G1683">
        <v>809</v>
      </c>
      <c r="H1683" t="s">
        <v>13</v>
      </c>
      <c r="I1683" t="b">
        <f t="shared" si="26"/>
        <v>0</v>
      </c>
    </row>
    <row r="1684" spans="1:9" x14ac:dyDescent="0.2">
      <c r="A1684" t="s">
        <v>5290</v>
      </c>
      <c r="B1684" t="s">
        <v>5291</v>
      </c>
      <c r="C1684" t="s">
        <v>472</v>
      </c>
      <c r="D1684" t="s">
        <v>3</v>
      </c>
      <c r="E1684" t="s">
        <v>4</v>
      </c>
      <c r="F1684">
        <v>479</v>
      </c>
      <c r="G1684">
        <v>305</v>
      </c>
      <c r="H1684" t="s">
        <v>13</v>
      </c>
      <c r="I1684" t="b">
        <f t="shared" si="26"/>
        <v>0</v>
      </c>
    </row>
    <row r="1685" spans="1:9" x14ac:dyDescent="0.2">
      <c r="A1685" t="s">
        <v>5392</v>
      </c>
      <c r="B1685" t="s">
        <v>5393</v>
      </c>
      <c r="C1685" t="s">
        <v>2593</v>
      </c>
      <c r="D1685" t="s">
        <v>5394</v>
      </c>
      <c r="E1685" t="s">
        <v>4</v>
      </c>
      <c r="F1685">
        <v>72</v>
      </c>
      <c r="G1685">
        <v>366</v>
      </c>
      <c r="H1685" t="s">
        <v>13</v>
      </c>
      <c r="I1685" t="b">
        <f t="shared" si="26"/>
        <v>0</v>
      </c>
    </row>
    <row r="1686" spans="1:9" x14ac:dyDescent="0.2">
      <c r="A1686" t="s">
        <v>775</v>
      </c>
      <c r="B1686" t="s">
        <v>776</v>
      </c>
      <c r="C1686" t="s">
        <v>777</v>
      </c>
      <c r="D1686" t="s">
        <v>3</v>
      </c>
      <c r="E1686" t="s">
        <v>4</v>
      </c>
      <c r="F1686">
        <v>11</v>
      </c>
      <c r="G1686">
        <v>54</v>
      </c>
      <c r="H1686" t="s">
        <v>13</v>
      </c>
      <c r="I1686" t="b">
        <f t="shared" si="26"/>
        <v>0</v>
      </c>
    </row>
    <row r="1687" spans="1:9" x14ac:dyDescent="0.2">
      <c r="A1687" t="s">
        <v>3400</v>
      </c>
      <c r="B1687" t="s">
        <v>3401</v>
      </c>
      <c r="C1687" t="s">
        <v>1152</v>
      </c>
      <c r="D1687" t="s">
        <v>2957</v>
      </c>
      <c r="E1687" t="s">
        <v>4</v>
      </c>
      <c r="F1687">
        <v>1438</v>
      </c>
      <c r="G1687">
        <v>580</v>
      </c>
      <c r="H1687" t="s">
        <v>13</v>
      </c>
      <c r="I1687" t="b">
        <f t="shared" si="26"/>
        <v>0</v>
      </c>
    </row>
    <row r="1688" spans="1:9" x14ac:dyDescent="0.2">
      <c r="A1688" t="s">
        <v>6758</v>
      </c>
      <c r="B1688" t="s">
        <v>6759</v>
      </c>
      <c r="C1688" t="s">
        <v>3912</v>
      </c>
      <c r="D1688" t="s">
        <v>6498</v>
      </c>
      <c r="E1688" t="s">
        <v>4</v>
      </c>
      <c r="F1688">
        <v>141</v>
      </c>
      <c r="G1688">
        <v>439</v>
      </c>
      <c r="H1688" t="s">
        <v>13</v>
      </c>
      <c r="I1688" t="b">
        <f t="shared" si="26"/>
        <v>1</v>
      </c>
    </row>
    <row r="1689" spans="1:9" x14ac:dyDescent="0.2">
      <c r="A1689" t="s">
        <v>1031</v>
      </c>
      <c r="B1689" t="s">
        <v>1034</v>
      </c>
      <c r="C1689" t="s">
        <v>1035</v>
      </c>
      <c r="D1689" t="s">
        <v>101</v>
      </c>
      <c r="E1689" t="s">
        <v>4</v>
      </c>
      <c r="F1689">
        <v>984</v>
      </c>
      <c r="G1689">
        <v>273</v>
      </c>
      <c r="H1689" t="s">
        <v>126</v>
      </c>
      <c r="I1689" t="b">
        <f t="shared" si="26"/>
        <v>0</v>
      </c>
    </row>
    <row r="1690" spans="1:9" x14ac:dyDescent="0.2">
      <c r="A1690" t="s">
        <v>7244</v>
      </c>
      <c r="B1690" t="s">
        <v>7245</v>
      </c>
      <c r="C1690" t="s">
        <v>2854</v>
      </c>
      <c r="D1690" t="s">
        <v>1171</v>
      </c>
      <c r="E1690" t="s">
        <v>4</v>
      </c>
      <c r="F1690">
        <v>171</v>
      </c>
      <c r="G1690">
        <v>359</v>
      </c>
      <c r="H1690" t="s">
        <v>13</v>
      </c>
      <c r="I1690" t="b">
        <f t="shared" si="26"/>
        <v>0</v>
      </c>
    </row>
    <row r="1691" spans="1:9" x14ac:dyDescent="0.2">
      <c r="A1691" t="s">
        <v>5296</v>
      </c>
      <c r="B1691" t="s">
        <v>5297</v>
      </c>
      <c r="C1691" t="s">
        <v>2314</v>
      </c>
      <c r="D1691" t="s">
        <v>3</v>
      </c>
      <c r="E1691" t="s">
        <v>4</v>
      </c>
      <c r="F1691">
        <v>157</v>
      </c>
      <c r="G1691">
        <v>178</v>
      </c>
      <c r="H1691" t="s">
        <v>13</v>
      </c>
      <c r="I1691" t="b">
        <f t="shared" si="26"/>
        <v>0</v>
      </c>
    </row>
    <row r="1692" spans="1:9" x14ac:dyDescent="0.2">
      <c r="A1692" t="s">
        <v>378</v>
      </c>
      <c r="B1692" t="s">
        <v>379</v>
      </c>
      <c r="C1692" t="s">
        <v>165</v>
      </c>
      <c r="D1692" t="s">
        <v>380</v>
      </c>
      <c r="E1692" t="s">
        <v>4</v>
      </c>
      <c r="F1692">
        <v>16</v>
      </c>
      <c r="G1692">
        <v>65</v>
      </c>
      <c r="H1692" t="s">
        <v>13</v>
      </c>
      <c r="I1692" t="b">
        <f t="shared" si="26"/>
        <v>0</v>
      </c>
    </row>
    <row r="1693" spans="1:9" x14ac:dyDescent="0.2">
      <c r="A1693" t="s">
        <v>5477</v>
      </c>
      <c r="B1693" t="s">
        <v>5478</v>
      </c>
      <c r="C1693" t="s">
        <v>5479</v>
      </c>
      <c r="D1693" t="s">
        <v>3137</v>
      </c>
      <c r="E1693" t="s">
        <v>4</v>
      </c>
      <c r="F1693">
        <v>525</v>
      </c>
      <c r="G1693">
        <v>189</v>
      </c>
      <c r="H1693" t="s">
        <v>13</v>
      </c>
      <c r="I1693" t="b">
        <f t="shared" si="26"/>
        <v>0</v>
      </c>
    </row>
    <row r="1694" spans="1:9" x14ac:dyDescent="0.2">
      <c r="A1694" t="s">
        <v>2435</v>
      </c>
      <c r="B1694" t="s">
        <v>2436</v>
      </c>
      <c r="C1694" t="s">
        <v>2395</v>
      </c>
      <c r="D1694" t="s">
        <v>3</v>
      </c>
      <c r="E1694" t="s">
        <v>4</v>
      </c>
      <c r="F1694">
        <v>47</v>
      </c>
      <c r="G1694">
        <v>88</v>
      </c>
      <c r="H1694" t="s">
        <v>13</v>
      </c>
      <c r="I1694" t="b">
        <f t="shared" si="26"/>
        <v>0</v>
      </c>
    </row>
    <row r="1695" spans="1:9" x14ac:dyDescent="0.2">
      <c r="A1695" t="s">
        <v>5738</v>
      </c>
      <c r="B1695" t="s">
        <v>5739</v>
      </c>
      <c r="C1695" t="s">
        <v>5740</v>
      </c>
      <c r="D1695" t="s">
        <v>4548</v>
      </c>
      <c r="E1695" t="s">
        <v>4</v>
      </c>
      <c r="F1695">
        <v>1278</v>
      </c>
      <c r="G1695">
        <v>625</v>
      </c>
      <c r="H1695" t="s">
        <v>13</v>
      </c>
      <c r="I1695" t="b">
        <f t="shared" si="26"/>
        <v>0</v>
      </c>
    </row>
    <row r="1696" spans="1:9" x14ac:dyDescent="0.2">
      <c r="A1696" t="s">
        <v>4561</v>
      </c>
      <c r="B1696" t="s">
        <v>4562</v>
      </c>
      <c r="C1696" t="s">
        <v>4158</v>
      </c>
      <c r="D1696">
        <v>0</v>
      </c>
      <c r="E1696" t="s">
        <v>4</v>
      </c>
      <c r="F1696">
        <v>49</v>
      </c>
      <c r="G1696">
        <v>181</v>
      </c>
      <c r="H1696" t="s">
        <v>13</v>
      </c>
      <c r="I1696" t="b">
        <f t="shared" si="26"/>
        <v>0</v>
      </c>
    </row>
    <row r="1697" spans="1:9" x14ac:dyDescent="0.2">
      <c r="A1697" t="s">
        <v>2600</v>
      </c>
      <c r="B1697" t="s">
        <v>2601</v>
      </c>
      <c r="C1697" t="s">
        <v>2602</v>
      </c>
      <c r="D1697" t="s">
        <v>3</v>
      </c>
      <c r="E1697" t="s">
        <v>4</v>
      </c>
      <c r="F1697">
        <v>24</v>
      </c>
      <c r="G1697">
        <v>95</v>
      </c>
      <c r="H1697" t="s">
        <v>13</v>
      </c>
      <c r="I1697" t="b">
        <f t="shared" si="26"/>
        <v>0</v>
      </c>
    </row>
    <row r="1698" spans="1:9" x14ac:dyDescent="0.2">
      <c r="A1698" t="s">
        <v>6198</v>
      </c>
      <c r="B1698" t="s">
        <v>6199</v>
      </c>
      <c r="C1698" t="s">
        <v>391</v>
      </c>
      <c r="D1698" t="s">
        <v>3</v>
      </c>
      <c r="E1698" t="s">
        <v>4</v>
      </c>
      <c r="F1698">
        <v>8</v>
      </c>
      <c r="G1698">
        <v>92</v>
      </c>
      <c r="H1698" t="s">
        <v>13</v>
      </c>
      <c r="I1698" t="b">
        <f t="shared" si="26"/>
        <v>0</v>
      </c>
    </row>
    <row r="1699" spans="1:9" x14ac:dyDescent="0.2">
      <c r="A1699" t="s">
        <v>2858</v>
      </c>
      <c r="B1699" t="s">
        <v>2859</v>
      </c>
      <c r="C1699" t="s">
        <v>2860</v>
      </c>
      <c r="D1699" t="s">
        <v>3</v>
      </c>
      <c r="E1699" t="s">
        <v>4</v>
      </c>
      <c r="F1699">
        <v>208</v>
      </c>
      <c r="G1699">
        <v>508</v>
      </c>
      <c r="H1699" t="s">
        <v>13</v>
      </c>
      <c r="I1699" t="b">
        <f t="shared" si="26"/>
        <v>0</v>
      </c>
    </row>
    <row r="1700" spans="1:9" x14ac:dyDescent="0.2">
      <c r="A1700" t="s">
        <v>4794</v>
      </c>
      <c r="B1700" t="s">
        <v>4795</v>
      </c>
      <c r="C1700" t="s">
        <v>4796</v>
      </c>
      <c r="D1700" t="s">
        <v>3</v>
      </c>
      <c r="E1700" t="s">
        <v>4</v>
      </c>
      <c r="F1700">
        <v>443</v>
      </c>
      <c r="G1700">
        <v>500</v>
      </c>
      <c r="H1700" t="s">
        <v>13</v>
      </c>
      <c r="I1700" t="b">
        <f t="shared" si="26"/>
        <v>0</v>
      </c>
    </row>
    <row r="1701" spans="1:9" x14ac:dyDescent="0.2">
      <c r="A1701" t="s">
        <v>5350</v>
      </c>
      <c r="B1701" t="s">
        <v>5351</v>
      </c>
      <c r="C1701" t="s">
        <v>5352</v>
      </c>
      <c r="D1701" t="s">
        <v>5353</v>
      </c>
      <c r="E1701" t="s">
        <v>4</v>
      </c>
      <c r="F1701">
        <v>99</v>
      </c>
      <c r="G1701">
        <v>141</v>
      </c>
      <c r="H1701" t="s">
        <v>13</v>
      </c>
      <c r="I1701" t="b">
        <f t="shared" si="26"/>
        <v>0</v>
      </c>
    </row>
    <row r="1702" spans="1:9" x14ac:dyDescent="0.2">
      <c r="A1702" t="s">
        <v>3306</v>
      </c>
      <c r="B1702" t="s">
        <v>3307</v>
      </c>
      <c r="C1702" t="s">
        <v>3308</v>
      </c>
      <c r="D1702" t="s">
        <v>3309</v>
      </c>
      <c r="E1702" t="s">
        <v>4</v>
      </c>
      <c r="F1702">
        <v>2204</v>
      </c>
      <c r="G1702">
        <v>595</v>
      </c>
      <c r="H1702" t="s">
        <v>13</v>
      </c>
      <c r="I1702" t="b">
        <f t="shared" si="26"/>
        <v>0</v>
      </c>
    </row>
    <row r="1703" spans="1:9" x14ac:dyDescent="0.2">
      <c r="A1703" t="s">
        <v>3929</v>
      </c>
      <c r="B1703" t="s">
        <v>3930</v>
      </c>
      <c r="C1703" t="s">
        <v>999</v>
      </c>
      <c r="D1703" t="s">
        <v>3931</v>
      </c>
      <c r="E1703" t="s">
        <v>4</v>
      </c>
      <c r="F1703">
        <v>119</v>
      </c>
      <c r="G1703">
        <v>524</v>
      </c>
      <c r="H1703" t="s">
        <v>13</v>
      </c>
      <c r="I1703" t="b">
        <f t="shared" si="26"/>
        <v>0</v>
      </c>
    </row>
    <row r="1704" spans="1:9" x14ac:dyDescent="0.2">
      <c r="A1704" t="s">
        <v>3321</v>
      </c>
      <c r="B1704" t="s">
        <v>3322</v>
      </c>
      <c r="C1704" t="s">
        <v>621</v>
      </c>
      <c r="D1704" t="s">
        <v>3323</v>
      </c>
      <c r="E1704" t="s">
        <v>4</v>
      </c>
      <c r="F1704">
        <v>183</v>
      </c>
      <c r="G1704">
        <v>207</v>
      </c>
      <c r="H1704" t="s">
        <v>13</v>
      </c>
      <c r="I1704" t="b">
        <f t="shared" si="26"/>
        <v>0</v>
      </c>
    </row>
    <row r="1705" spans="1:9" x14ac:dyDescent="0.2">
      <c r="A1705" t="s">
        <v>7034</v>
      </c>
      <c r="B1705" t="s">
        <v>7035</v>
      </c>
      <c r="C1705" t="s">
        <v>4080</v>
      </c>
      <c r="D1705" t="s">
        <v>7036</v>
      </c>
      <c r="E1705" t="s">
        <v>4</v>
      </c>
      <c r="F1705">
        <v>123</v>
      </c>
      <c r="G1705">
        <v>167</v>
      </c>
      <c r="H1705" t="s">
        <v>13</v>
      </c>
      <c r="I1705" t="b">
        <f t="shared" si="26"/>
        <v>0</v>
      </c>
    </row>
    <row r="1706" spans="1:9" x14ac:dyDescent="0.2">
      <c r="A1706" t="s">
        <v>5991</v>
      </c>
      <c r="B1706" t="s">
        <v>5992</v>
      </c>
      <c r="C1706" t="s">
        <v>2048</v>
      </c>
      <c r="D1706" t="s">
        <v>3</v>
      </c>
      <c r="E1706" t="s">
        <v>4</v>
      </c>
      <c r="F1706">
        <v>5</v>
      </c>
      <c r="G1706">
        <v>41</v>
      </c>
      <c r="H1706" t="s">
        <v>114</v>
      </c>
      <c r="I1706" t="b">
        <f t="shared" si="26"/>
        <v>0</v>
      </c>
    </row>
    <row r="1707" spans="1:9" x14ac:dyDescent="0.2">
      <c r="A1707" t="s">
        <v>6860</v>
      </c>
      <c r="B1707" t="s">
        <v>6861</v>
      </c>
      <c r="C1707" t="s">
        <v>3404</v>
      </c>
      <c r="D1707" t="s">
        <v>3</v>
      </c>
      <c r="E1707" t="s">
        <v>4</v>
      </c>
      <c r="F1707">
        <v>249</v>
      </c>
      <c r="G1707">
        <v>232</v>
      </c>
      <c r="H1707" t="s">
        <v>114</v>
      </c>
      <c r="I1707" t="b">
        <f t="shared" si="26"/>
        <v>0</v>
      </c>
    </row>
    <row r="1708" spans="1:9" x14ac:dyDescent="0.2">
      <c r="A1708" t="s">
        <v>4595</v>
      </c>
      <c r="B1708" t="s">
        <v>4596</v>
      </c>
      <c r="C1708" t="s">
        <v>777</v>
      </c>
      <c r="D1708" t="s">
        <v>2139</v>
      </c>
      <c r="E1708" t="s">
        <v>4</v>
      </c>
      <c r="F1708">
        <v>28</v>
      </c>
      <c r="G1708">
        <v>278</v>
      </c>
      <c r="H1708" t="s">
        <v>13</v>
      </c>
      <c r="I1708" t="b">
        <f t="shared" si="26"/>
        <v>0</v>
      </c>
    </row>
    <row r="1709" spans="1:9" x14ac:dyDescent="0.2">
      <c r="A1709" t="s">
        <v>5949</v>
      </c>
      <c r="B1709" t="s">
        <v>5950</v>
      </c>
      <c r="C1709" t="s">
        <v>48</v>
      </c>
      <c r="D1709" t="s">
        <v>3</v>
      </c>
      <c r="E1709" t="s">
        <v>4</v>
      </c>
      <c r="F1709">
        <v>3505</v>
      </c>
      <c r="G1709">
        <v>67</v>
      </c>
      <c r="H1709" t="s">
        <v>13</v>
      </c>
      <c r="I1709" t="b">
        <f t="shared" si="26"/>
        <v>1</v>
      </c>
    </row>
    <row r="1710" spans="1:9" x14ac:dyDescent="0.2">
      <c r="A1710" t="s">
        <v>5920</v>
      </c>
      <c r="B1710" t="s">
        <v>5921</v>
      </c>
      <c r="C1710" t="s">
        <v>48</v>
      </c>
      <c r="D1710" t="s">
        <v>3</v>
      </c>
      <c r="E1710" t="s">
        <v>4</v>
      </c>
      <c r="F1710">
        <v>3505</v>
      </c>
      <c r="G1710">
        <v>67</v>
      </c>
      <c r="H1710" t="s">
        <v>13</v>
      </c>
      <c r="I1710" t="b">
        <f t="shared" si="26"/>
        <v>0</v>
      </c>
    </row>
    <row r="1711" spans="1:9" x14ac:dyDescent="0.2">
      <c r="A1711" t="s">
        <v>4400</v>
      </c>
      <c r="B1711" t="s">
        <v>4401</v>
      </c>
      <c r="C1711" t="s">
        <v>4402</v>
      </c>
      <c r="D1711" t="s">
        <v>3</v>
      </c>
      <c r="E1711" t="s">
        <v>4</v>
      </c>
      <c r="F1711">
        <v>12</v>
      </c>
      <c r="G1711">
        <v>55</v>
      </c>
      <c r="H1711" t="s">
        <v>13</v>
      </c>
      <c r="I1711" t="b">
        <f t="shared" si="26"/>
        <v>0</v>
      </c>
    </row>
    <row r="1712" spans="1:9" x14ac:dyDescent="0.2">
      <c r="A1712" t="s">
        <v>2063</v>
      </c>
      <c r="B1712" t="s">
        <v>2064</v>
      </c>
      <c r="C1712" t="s">
        <v>2065</v>
      </c>
      <c r="D1712" t="s">
        <v>2066</v>
      </c>
      <c r="E1712" t="s">
        <v>4</v>
      </c>
      <c r="F1712">
        <v>9748</v>
      </c>
      <c r="G1712">
        <v>399</v>
      </c>
      <c r="H1712" t="s">
        <v>13</v>
      </c>
      <c r="I1712" t="b">
        <f t="shared" si="26"/>
        <v>0</v>
      </c>
    </row>
    <row r="1713" spans="1:9" x14ac:dyDescent="0.2">
      <c r="A1713" t="s">
        <v>1373</v>
      </c>
      <c r="B1713" t="s">
        <v>1374</v>
      </c>
      <c r="C1713" t="s">
        <v>1375</v>
      </c>
      <c r="D1713" t="s">
        <v>1376</v>
      </c>
      <c r="E1713" t="s">
        <v>4</v>
      </c>
      <c r="F1713">
        <v>1197</v>
      </c>
      <c r="G1713">
        <v>398</v>
      </c>
      <c r="H1713" t="s">
        <v>13</v>
      </c>
      <c r="I1713" t="b">
        <f t="shared" si="26"/>
        <v>0</v>
      </c>
    </row>
    <row r="1714" spans="1:9" x14ac:dyDescent="0.2">
      <c r="A1714" t="s">
        <v>922</v>
      </c>
      <c r="B1714" t="s">
        <v>923</v>
      </c>
      <c r="C1714" t="s">
        <v>924</v>
      </c>
      <c r="D1714" t="s">
        <v>925</v>
      </c>
      <c r="E1714" t="s">
        <v>4</v>
      </c>
      <c r="F1714">
        <v>1059</v>
      </c>
      <c r="G1714">
        <v>100</v>
      </c>
      <c r="H1714" t="s">
        <v>13</v>
      </c>
      <c r="I1714" t="b">
        <f t="shared" si="26"/>
        <v>0</v>
      </c>
    </row>
    <row r="1715" spans="1:9" x14ac:dyDescent="0.2">
      <c r="A1715" t="s">
        <v>6719</v>
      </c>
      <c r="B1715" t="s">
        <v>6721</v>
      </c>
      <c r="C1715" t="s">
        <v>5753</v>
      </c>
      <c r="D1715" t="s">
        <v>6722</v>
      </c>
      <c r="E1715" t="s">
        <v>4</v>
      </c>
      <c r="F1715">
        <v>207</v>
      </c>
      <c r="G1715">
        <v>316</v>
      </c>
      <c r="H1715" t="s">
        <v>13</v>
      </c>
      <c r="I1715" t="b">
        <f t="shared" si="26"/>
        <v>0</v>
      </c>
    </row>
    <row r="1716" spans="1:9" x14ac:dyDescent="0.2">
      <c r="A1716" t="s">
        <v>4896</v>
      </c>
      <c r="B1716" t="s">
        <v>4897</v>
      </c>
      <c r="C1716" t="s">
        <v>974</v>
      </c>
      <c r="D1716" t="s">
        <v>3</v>
      </c>
      <c r="E1716" t="s">
        <v>4</v>
      </c>
      <c r="F1716">
        <v>254</v>
      </c>
      <c r="G1716">
        <v>818</v>
      </c>
      <c r="H1716" t="s">
        <v>13</v>
      </c>
      <c r="I1716" t="b">
        <f t="shared" si="26"/>
        <v>0</v>
      </c>
    </row>
    <row r="1717" spans="1:9" x14ac:dyDescent="0.2">
      <c r="A1717" t="s">
        <v>5614</v>
      </c>
      <c r="B1717" t="s">
        <v>5618</v>
      </c>
      <c r="C1717" t="s">
        <v>241</v>
      </c>
      <c r="D1717" t="s">
        <v>5619</v>
      </c>
      <c r="E1717" t="s">
        <v>4</v>
      </c>
      <c r="F1717">
        <v>758</v>
      </c>
      <c r="G1717">
        <v>2205</v>
      </c>
      <c r="H1717" t="s">
        <v>13</v>
      </c>
      <c r="I1717" t="b">
        <f t="shared" si="26"/>
        <v>0</v>
      </c>
    </row>
    <row r="1718" spans="1:9" x14ac:dyDescent="0.2">
      <c r="A1718" t="s">
        <v>4766</v>
      </c>
      <c r="B1718" t="s">
        <v>4767</v>
      </c>
      <c r="C1718" t="s">
        <v>279</v>
      </c>
      <c r="D1718" t="s">
        <v>4768</v>
      </c>
      <c r="E1718" t="s">
        <v>4</v>
      </c>
      <c r="F1718">
        <v>243</v>
      </c>
      <c r="G1718">
        <v>64</v>
      </c>
      <c r="H1718" t="s">
        <v>13</v>
      </c>
      <c r="I1718" t="b">
        <f t="shared" si="26"/>
        <v>1</v>
      </c>
    </row>
    <row r="1719" spans="1:9" x14ac:dyDescent="0.2">
      <c r="A1719" t="s">
        <v>4603</v>
      </c>
      <c r="B1719" t="s">
        <v>4604</v>
      </c>
      <c r="C1719" t="s">
        <v>4605</v>
      </c>
      <c r="D1719" t="s">
        <v>4606</v>
      </c>
      <c r="E1719" t="s">
        <v>4</v>
      </c>
      <c r="F1719">
        <v>2801</v>
      </c>
      <c r="G1719">
        <v>1195</v>
      </c>
      <c r="H1719" t="s">
        <v>13</v>
      </c>
      <c r="I1719" t="b">
        <f t="shared" si="26"/>
        <v>0</v>
      </c>
    </row>
    <row r="1720" spans="1:9" x14ac:dyDescent="0.2">
      <c r="A1720" t="s">
        <v>1887</v>
      </c>
      <c r="B1720" t="s">
        <v>1888</v>
      </c>
      <c r="C1720" t="s">
        <v>1889</v>
      </c>
      <c r="D1720">
        <v>1988</v>
      </c>
      <c r="E1720" t="s">
        <v>4</v>
      </c>
      <c r="F1720">
        <v>134</v>
      </c>
      <c r="G1720">
        <v>196</v>
      </c>
      <c r="H1720" t="s">
        <v>13</v>
      </c>
      <c r="I1720" t="b">
        <f t="shared" si="26"/>
        <v>0</v>
      </c>
    </row>
    <row r="1721" spans="1:9" x14ac:dyDescent="0.2">
      <c r="A1721" t="s">
        <v>5004</v>
      </c>
      <c r="B1721" t="s">
        <v>5005</v>
      </c>
      <c r="C1721" t="s">
        <v>3682</v>
      </c>
      <c r="D1721" t="s">
        <v>5006</v>
      </c>
      <c r="E1721" t="s">
        <v>4</v>
      </c>
      <c r="F1721">
        <v>85</v>
      </c>
      <c r="G1721">
        <v>0</v>
      </c>
      <c r="H1721" t="s">
        <v>13</v>
      </c>
      <c r="I1721" t="b">
        <f t="shared" si="26"/>
        <v>0</v>
      </c>
    </row>
    <row r="1722" spans="1:9" x14ac:dyDescent="0.2">
      <c r="A1722" t="s">
        <v>2477</v>
      </c>
      <c r="B1722" t="s">
        <v>2478</v>
      </c>
      <c r="C1722" t="s">
        <v>181</v>
      </c>
      <c r="D1722" t="s">
        <v>3</v>
      </c>
      <c r="E1722" t="s">
        <v>4</v>
      </c>
      <c r="F1722">
        <v>131</v>
      </c>
      <c r="G1722">
        <v>81</v>
      </c>
      <c r="H1722" t="s">
        <v>50</v>
      </c>
      <c r="I1722" t="b">
        <f t="shared" si="26"/>
        <v>1</v>
      </c>
    </row>
    <row r="1723" spans="1:9" x14ac:dyDescent="0.2">
      <c r="A1723" t="s">
        <v>2168</v>
      </c>
      <c r="B1723" t="s">
        <v>2169</v>
      </c>
      <c r="C1723" t="s">
        <v>2170</v>
      </c>
      <c r="D1723" t="s">
        <v>2171</v>
      </c>
      <c r="E1723" t="s">
        <v>4</v>
      </c>
      <c r="F1723">
        <v>924</v>
      </c>
      <c r="G1723">
        <v>136</v>
      </c>
      <c r="H1723" t="s">
        <v>13</v>
      </c>
      <c r="I1723" t="b">
        <f t="shared" si="26"/>
        <v>0</v>
      </c>
    </row>
    <row r="1724" spans="1:9" x14ac:dyDescent="0.2">
      <c r="A1724" t="s">
        <v>2782</v>
      </c>
      <c r="B1724" t="s">
        <v>2783</v>
      </c>
      <c r="C1724" t="s">
        <v>948</v>
      </c>
      <c r="D1724" t="s">
        <v>2784</v>
      </c>
      <c r="E1724" t="s">
        <v>4</v>
      </c>
      <c r="F1724">
        <v>160</v>
      </c>
      <c r="G1724">
        <v>475</v>
      </c>
      <c r="H1724" t="s">
        <v>13</v>
      </c>
      <c r="I1724" t="b">
        <f t="shared" si="26"/>
        <v>0</v>
      </c>
    </row>
    <row r="1725" spans="1:9" x14ac:dyDescent="0.2">
      <c r="A1725" t="s">
        <v>2440</v>
      </c>
      <c r="B1725" t="s">
        <v>2441</v>
      </c>
      <c r="C1725" t="s">
        <v>2442</v>
      </c>
      <c r="D1725" t="s">
        <v>3</v>
      </c>
      <c r="E1725" t="s">
        <v>4</v>
      </c>
      <c r="F1725">
        <v>225</v>
      </c>
      <c r="G1725">
        <v>56</v>
      </c>
      <c r="H1725" t="s">
        <v>13</v>
      </c>
      <c r="I1725" t="b">
        <f t="shared" si="26"/>
        <v>0</v>
      </c>
    </row>
    <row r="1726" spans="1:9" x14ac:dyDescent="0.2">
      <c r="A1726" t="s">
        <v>6875</v>
      </c>
      <c r="B1726" t="s">
        <v>6876</v>
      </c>
      <c r="C1726" t="s">
        <v>6877</v>
      </c>
      <c r="D1726" t="s">
        <v>3</v>
      </c>
      <c r="E1726" t="s">
        <v>4</v>
      </c>
      <c r="F1726">
        <v>151</v>
      </c>
      <c r="G1726">
        <v>175</v>
      </c>
      <c r="H1726" t="s">
        <v>13</v>
      </c>
      <c r="I1726" t="b">
        <f t="shared" si="26"/>
        <v>0</v>
      </c>
    </row>
    <row r="1727" spans="1:9" x14ac:dyDescent="0.2">
      <c r="A1727" t="s">
        <v>260</v>
      </c>
      <c r="B1727" t="s">
        <v>261</v>
      </c>
      <c r="C1727" t="s">
        <v>165</v>
      </c>
      <c r="D1727" t="s">
        <v>71</v>
      </c>
      <c r="E1727" t="s">
        <v>4</v>
      </c>
      <c r="F1727">
        <v>545</v>
      </c>
      <c r="G1727">
        <v>805</v>
      </c>
      <c r="H1727" t="s">
        <v>13</v>
      </c>
      <c r="I1727" t="b">
        <f t="shared" si="26"/>
        <v>0</v>
      </c>
    </row>
    <row r="1728" spans="1:9" x14ac:dyDescent="0.2">
      <c r="A1728" t="s">
        <v>2180</v>
      </c>
      <c r="B1728" t="s">
        <v>2181</v>
      </c>
      <c r="C1728" t="s">
        <v>2170</v>
      </c>
      <c r="D1728" t="s">
        <v>2171</v>
      </c>
      <c r="E1728" t="s">
        <v>4</v>
      </c>
      <c r="F1728">
        <v>924</v>
      </c>
      <c r="G1728">
        <v>136</v>
      </c>
      <c r="H1728" t="s">
        <v>13</v>
      </c>
      <c r="I1728" t="b">
        <f t="shared" si="26"/>
        <v>0</v>
      </c>
    </row>
    <row r="1729" spans="1:9" x14ac:dyDescent="0.2">
      <c r="A1729" t="s">
        <v>5080</v>
      </c>
      <c r="B1729" t="s">
        <v>5081</v>
      </c>
      <c r="C1729" t="s">
        <v>5082</v>
      </c>
      <c r="D1729" t="s">
        <v>5083</v>
      </c>
      <c r="E1729" t="s">
        <v>4</v>
      </c>
      <c r="F1729">
        <v>160</v>
      </c>
      <c r="G1729">
        <v>11</v>
      </c>
      <c r="H1729" t="s">
        <v>1092</v>
      </c>
      <c r="I1729" t="b">
        <f t="shared" si="26"/>
        <v>0</v>
      </c>
    </row>
    <row r="1730" spans="1:9" x14ac:dyDescent="0.2">
      <c r="A1730" t="s">
        <v>4945</v>
      </c>
      <c r="B1730" t="s">
        <v>4946</v>
      </c>
      <c r="C1730" t="s">
        <v>2379</v>
      </c>
      <c r="D1730" t="s">
        <v>3</v>
      </c>
      <c r="E1730" t="s">
        <v>4</v>
      </c>
      <c r="F1730">
        <v>88</v>
      </c>
      <c r="G1730">
        <v>87</v>
      </c>
      <c r="H1730" t="s">
        <v>13</v>
      </c>
      <c r="I1730" t="b">
        <f t="shared" si="26"/>
        <v>0</v>
      </c>
    </row>
    <row r="1731" spans="1:9" x14ac:dyDescent="0.2">
      <c r="A1731" t="s">
        <v>834</v>
      </c>
      <c r="B1731" t="s">
        <v>835</v>
      </c>
      <c r="C1731" t="s">
        <v>836</v>
      </c>
      <c r="D1731" t="s">
        <v>837</v>
      </c>
      <c r="E1731" t="s">
        <v>4</v>
      </c>
      <c r="F1731">
        <v>6881</v>
      </c>
      <c r="G1731">
        <v>101</v>
      </c>
      <c r="H1731" t="s">
        <v>13</v>
      </c>
      <c r="I1731" t="b">
        <f t="shared" ref="I1731:I1794" si="27">isDup(B1731, B1732, 0.7)</f>
        <v>0</v>
      </c>
    </row>
    <row r="1732" spans="1:9" x14ac:dyDescent="0.2">
      <c r="A1732" t="s">
        <v>3713</v>
      </c>
      <c r="B1732" t="s">
        <v>3717</v>
      </c>
      <c r="C1732" t="s">
        <v>309</v>
      </c>
      <c r="D1732" t="s">
        <v>3718</v>
      </c>
      <c r="E1732" t="s">
        <v>4</v>
      </c>
      <c r="F1732">
        <v>72</v>
      </c>
      <c r="G1732">
        <v>403</v>
      </c>
      <c r="H1732" t="s">
        <v>13</v>
      </c>
      <c r="I1732" t="b">
        <f t="shared" si="27"/>
        <v>0</v>
      </c>
    </row>
    <row r="1733" spans="1:9" x14ac:dyDescent="0.2">
      <c r="A1733" t="s">
        <v>4078</v>
      </c>
      <c r="B1733" t="s">
        <v>4079</v>
      </c>
      <c r="C1733" t="s">
        <v>4080</v>
      </c>
      <c r="D1733" t="s">
        <v>4081</v>
      </c>
      <c r="E1733" t="s">
        <v>4</v>
      </c>
      <c r="F1733">
        <v>171</v>
      </c>
      <c r="G1733">
        <v>169</v>
      </c>
      <c r="H1733" t="s">
        <v>363</v>
      </c>
      <c r="I1733" t="b">
        <f t="shared" si="27"/>
        <v>0</v>
      </c>
    </row>
    <row r="1734" spans="1:9" x14ac:dyDescent="0.2">
      <c r="A1734" t="s">
        <v>4287</v>
      </c>
      <c r="B1734" t="s">
        <v>4288</v>
      </c>
      <c r="C1734" t="s">
        <v>2632</v>
      </c>
      <c r="D1734" t="s">
        <v>101</v>
      </c>
      <c r="E1734" t="s">
        <v>4</v>
      </c>
      <c r="F1734">
        <v>84</v>
      </c>
      <c r="G1734">
        <v>57</v>
      </c>
      <c r="H1734" t="s">
        <v>13</v>
      </c>
      <c r="I1734" t="b">
        <f t="shared" si="27"/>
        <v>0</v>
      </c>
    </row>
    <row r="1735" spans="1:9" x14ac:dyDescent="0.2">
      <c r="A1735" t="s">
        <v>2354</v>
      </c>
      <c r="B1735" t="s">
        <v>2355</v>
      </c>
      <c r="C1735" t="s">
        <v>1757</v>
      </c>
      <c r="D1735" t="s">
        <v>2356</v>
      </c>
      <c r="E1735" t="s">
        <v>4</v>
      </c>
      <c r="F1735">
        <v>11</v>
      </c>
      <c r="G1735">
        <v>84</v>
      </c>
      <c r="H1735" t="s">
        <v>13</v>
      </c>
      <c r="I1735" t="b">
        <f t="shared" si="27"/>
        <v>0</v>
      </c>
    </row>
    <row r="1736" spans="1:9" x14ac:dyDescent="0.2">
      <c r="A1736" t="s">
        <v>738</v>
      </c>
      <c r="B1736" t="s">
        <v>739</v>
      </c>
      <c r="C1736" t="s">
        <v>740</v>
      </c>
      <c r="D1736" t="s">
        <v>3</v>
      </c>
      <c r="E1736" t="s">
        <v>4</v>
      </c>
      <c r="F1736">
        <v>17345</v>
      </c>
      <c r="G1736">
        <v>12513</v>
      </c>
      <c r="H1736" t="s">
        <v>13</v>
      </c>
      <c r="I1736" t="b">
        <f t="shared" si="27"/>
        <v>0</v>
      </c>
    </row>
    <row r="1737" spans="1:9" x14ac:dyDescent="0.2">
      <c r="A1737" t="s">
        <v>822</v>
      </c>
      <c r="B1737" t="s">
        <v>823</v>
      </c>
      <c r="C1737" t="s">
        <v>824</v>
      </c>
      <c r="D1737" t="s">
        <v>825</v>
      </c>
      <c r="E1737" t="s">
        <v>4</v>
      </c>
      <c r="F1737">
        <v>1</v>
      </c>
      <c r="G1737">
        <v>29</v>
      </c>
      <c r="H1737" t="s">
        <v>13</v>
      </c>
      <c r="I1737" t="b">
        <f t="shared" si="27"/>
        <v>0</v>
      </c>
    </row>
    <row r="1738" spans="1:9" x14ac:dyDescent="0.2">
      <c r="A1738" t="s">
        <v>2013</v>
      </c>
      <c r="B1738" t="s">
        <v>2014</v>
      </c>
      <c r="C1738" t="s">
        <v>1103</v>
      </c>
      <c r="D1738" t="s">
        <v>3</v>
      </c>
      <c r="E1738" t="s">
        <v>4</v>
      </c>
      <c r="F1738">
        <v>1</v>
      </c>
      <c r="G1738">
        <v>11</v>
      </c>
      <c r="H1738" t="s">
        <v>13</v>
      </c>
      <c r="I1738" t="b">
        <f t="shared" si="27"/>
        <v>0</v>
      </c>
    </row>
    <row r="1739" spans="1:9" x14ac:dyDescent="0.2">
      <c r="A1739" t="s">
        <v>1483</v>
      </c>
      <c r="B1739" t="s">
        <v>1484</v>
      </c>
      <c r="C1739" t="s">
        <v>1210</v>
      </c>
      <c r="D1739" t="s">
        <v>1485</v>
      </c>
      <c r="E1739" t="s">
        <v>4</v>
      </c>
      <c r="F1739">
        <v>964</v>
      </c>
      <c r="G1739">
        <v>2475</v>
      </c>
      <c r="H1739" t="s">
        <v>13</v>
      </c>
      <c r="I1739" t="b">
        <f t="shared" si="27"/>
        <v>0</v>
      </c>
    </row>
    <row r="1740" spans="1:9" x14ac:dyDescent="0.2">
      <c r="A1740" t="s">
        <v>6469</v>
      </c>
      <c r="B1740" t="s">
        <v>6470</v>
      </c>
      <c r="C1740" t="s">
        <v>1057</v>
      </c>
      <c r="D1740" t="s">
        <v>6471</v>
      </c>
      <c r="E1740" t="s">
        <v>4</v>
      </c>
      <c r="F1740">
        <v>14</v>
      </c>
      <c r="G1740">
        <v>71</v>
      </c>
      <c r="H1740" t="s">
        <v>13</v>
      </c>
      <c r="I1740" t="b">
        <f t="shared" si="27"/>
        <v>0</v>
      </c>
    </row>
    <row r="1741" spans="1:9" x14ac:dyDescent="0.2">
      <c r="A1741" t="s">
        <v>2809</v>
      </c>
      <c r="B1741" t="s">
        <v>2810</v>
      </c>
      <c r="C1741" t="s">
        <v>2811</v>
      </c>
      <c r="D1741" t="s">
        <v>3</v>
      </c>
      <c r="E1741" t="s">
        <v>4</v>
      </c>
      <c r="F1741">
        <v>191</v>
      </c>
      <c r="G1741">
        <v>104</v>
      </c>
      <c r="H1741" t="s">
        <v>13</v>
      </c>
      <c r="I1741" t="b">
        <f t="shared" si="27"/>
        <v>0</v>
      </c>
    </row>
    <row r="1742" spans="1:9" x14ac:dyDescent="0.2">
      <c r="A1742" t="s">
        <v>1897</v>
      </c>
      <c r="B1742" t="s">
        <v>1898</v>
      </c>
      <c r="C1742" t="s">
        <v>223</v>
      </c>
      <c r="D1742" t="s">
        <v>3</v>
      </c>
      <c r="E1742" t="s">
        <v>4</v>
      </c>
      <c r="F1742">
        <v>224</v>
      </c>
      <c r="G1742">
        <v>1407</v>
      </c>
      <c r="H1742" t="s">
        <v>13</v>
      </c>
      <c r="I1742" t="b">
        <f t="shared" si="27"/>
        <v>0</v>
      </c>
    </row>
    <row r="1743" spans="1:9" x14ac:dyDescent="0.2">
      <c r="A1743" t="s">
        <v>2026</v>
      </c>
      <c r="B1743" t="s">
        <v>2027</v>
      </c>
      <c r="C1743" t="s">
        <v>2028</v>
      </c>
      <c r="D1743" t="s">
        <v>1188</v>
      </c>
      <c r="E1743" t="s">
        <v>4</v>
      </c>
      <c r="F1743">
        <v>1314</v>
      </c>
      <c r="G1743">
        <v>2612</v>
      </c>
      <c r="H1743" t="s">
        <v>13</v>
      </c>
      <c r="I1743" t="b">
        <f t="shared" si="27"/>
        <v>0</v>
      </c>
    </row>
    <row r="1744" spans="1:9" x14ac:dyDescent="0.2">
      <c r="A1744" t="s">
        <v>6525</v>
      </c>
      <c r="B1744" t="s">
        <v>6526</v>
      </c>
      <c r="C1744" t="s">
        <v>6527</v>
      </c>
      <c r="D1744" t="s">
        <v>6528</v>
      </c>
      <c r="E1744" t="s">
        <v>4</v>
      </c>
      <c r="F1744">
        <v>119</v>
      </c>
      <c r="G1744">
        <v>73</v>
      </c>
      <c r="H1744" t="s">
        <v>13</v>
      </c>
      <c r="I1744" t="b">
        <f t="shared" si="27"/>
        <v>0</v>
      </c>
    </row>
    <row r="1745" spans="1:9" x14ac:dyDescent="0.2">
      <c r="A1745" t="s">
        <v>6738</v>
      </c>
      <c r="B1745" t="s">
        <v>6739</v>
      </c>
      <c r="C1745" t="s">
        <v>4609</v>
      </c>
      <c r="D1745" t="s">
        <v>403</v>
      </c>
      <c r="E1745" t="s">
        <v>4</v>
      </c>
      <c r="F1745">
        <v>35834</v>
      </c>
      <c r="G1745">
        <v>1551</v>
      </c>
      <c r="H1745" t="s">
        <v>13</v>
      </c>
      <c r="I1745" t="b">
        <f t="shared" si="27"/>
        <v>0</v>
      </c>
    </row>
    <row r="1746" spans="1:9" x14ac:dyDescent="0.2">
      <c r="A1746" t="s">
        <v>5174</v>
      </c>
      <c r="B1746" t="s">
        <v>5175</v>
      </c>
      <c r="C1746" t="s">
        <v>818</v>
      </c>
      <c r="D1746" t="s">
        <v>5009</v>
      </c>
      <c r="E1746" t="s">
        <v>4</v>
      </c>
      <c r="F1746">
        <v>0</v>
      </c>
      <c r="G1746">
        <v>1</v>
      </c>
      <c r="H1746" t="s">
        <v>13</v>
      </c>
      <c r="I1746" t="b">
        <f t="shared" si="27"/>
        <v>0</v>
      </c>
    </row>
    <row r="1747" spans="1:9" x14ac:dyDescent="0.2">
      <c r="A1747" t="s">
        <v>5325</v>
      </c>
      <c r="B1747" t="s">
        <v>5326</v>
      </c>
      <c r="C1747" t="s">
        <v>5327</v>
      </c>
      <c r="D1747" t="s">
        <v>569</v>
      </c>
      <c r="E1747" t="s">
        <v>4</v>
      </c>
      <c r="F1747">
        <v>249</v>
      </c>
      <c r="G1747">
        <v>547</v>
      </c>
      <c r="H1747" t="s">
        <v>13</v>
      </c>
      <c r="I1747" t="b">
        <f t="shared" si="27"/>
        <v>0</v>
      </c>
    </row>
    <row r="1748" spans="1:9" x14ac:dyDescent="0.2">
      <c r="A1748" t="s">
        <v>2168</v>
      </c>
      <c r="B1748" t="s">
        <v>2172</v>
      </c>
      <c r="C1748" t="s">
        <v>2173</v>
      </c>
      <c r="D1748" t="s">
        <v>2174</v>
      </c>
      <c r="E1748" t="s">
        <v>4</v>
      </c>
      <c r="F1748">
        <v>62084</v>
      </c>
      <c r="G1748">
        <v>346</v>
      </c>
      <c r="H1748" t="s">
        <v>86</v>
      </c>
      <c r="I1748" t="b">
        <f t="shared" si="27"/>
        <v>0</v>
      </c>
    </row>
    <row r="1749" spans="1:9" x14ac:dyDescent="0.2">
      <c r="A1749" t="s">
        <v>3239</v>
      </c>
      <c r="B1749" t="s">
        <v>3240</v>
      </c>
      <c r="C1749" t="s">
        <v>704</v>
      </c>
      <c r="D1749" t="s">
        <v>3241</v>
      </c>
      <c r="E1749" t="s">
        <v>4</v>
      </c>
      <c r="F1749">
        <v>178</v>
      </c>
      <c r="G1749">
        <v>150</v>
      </c>
      <c r="H1749" t="s">
        <v>13</v>
      </c>
      <c r="I1749" t="b">
        <f t="shared" si="27"/>
        <v>0</v>
      </c>
    </row>
    <row r="1750" spans="1:9" x14ac:dyDescent="0.2">
      <c r="A1750" t="s">
        <v>2471</v>
      </c>
      <c r="B1750" t="s">
        <v>2472</v>
      </c>
      <c r="C1750" t="s">
        <v>1596</v>
      </c>
      <c r="D1750" t="s">
        <v>1597</v>
      </c>
      <c r="E1750" t="s">
        <v>4</v>
      </c>
      <c r="F1750">
        <v>4</v>
      </c>
      <c r="G1750">
        <v>0</v>
      </c>
      <c r="H1750" t="s">
        <v>13</v>
      </c>
      <c r="I1750" t="b">
        <f t="shared" si="27"/>
        <v>0</v>
      </c>
    </row>
    <row r="1751" spans="1:9" x14ac:dyDescent="0.2">
      <c r="A1751" t="s">
        <v>277</v>
      </c>
      <c r="B1751" t="s">
        <v>278</v>
      </c>
      <c r="C1751" t="s">
        <v>279</v>
      </c>
      <c r="D1751" t="s">
        <v>280</v>
      </c>
      <c r="E1751" t="s">
        <v>4</v>
      </c>
      <c r="F1751">
        <v>135</v>
      </c>
      <c r="G1751">
        <v>258</v>
      </c>
      <c r="H1751" t="s">
        <v>13</v>
      </c>
      <c r="I1751" t="b">
        <f t="shared" si="27"/>
        <v>0</v>
      </c>
    </row>
    <row r="1752" spans="1:9" x14ac:dyDescent="0.2">
      <c r="A1752" t="s">
        <v>4744</v>
      </c>
      <c r="B1752" t="s">
        <v>4745</v>
      </c>
      <c r="C1752" t="s">
        <v>204</v>
      </c>
      <c r="D1752" t="s">
        <v>3</v>
      </c>
      <c r="E1752" t="s">
        <v>4</v>
      </c>
      <c r="F1752">
        <v>118</v>
      </c>
      <c r="G1752">
        <v>384</v>
      </c>
      <c r="H1752" t="s">
        <v>13</v>
      </c>
      <c r="I1752" t="b">
        <f t="shared" si="27"/>
        <v>0</v>
      </c>
    </row>
    <row r="1753" spans="1:9" x14ac:dyDescent="0.2">
      <c r="A1753" t="s">
        <v>6534</v>
      </c>
      <c r="B1753" t="s">
        <v>6535</v>
      </c>
      <c r="C1753" t="s">
        <v>3435</v>
      </c>
      <c r="D1753" t="s">
        <v>3</v>
      </c>
      <c r="E1753" t="s">
        <v>4</v>
      </c>
      <c r="F1753">
        <v>27</v>
      </c>
      <c r="G1753">
        <v>27</v>
      </c>
      <c r="H1753" t="s">
        <v>13</v>
      </c>
      <c r="I1753" t="b">
        <f t="shared" si="27"/>
        <v>0</v>
      </c>
    </row>
    <row r="1754" spans="1:9" x14ac:dyDescent="0.2">
      <c r="A1754" t="s">
        <v>2468</v>
      </c>
      <c r="B1754" t="s">
        <v>2469</v>
      </c>
      <c r="C1754" t="s">
        <v>2470</v>
      </c>
      <c r="D1754" t="s">
        <v>3</v>
      </c>
      <c r="E1754" t="s">
        <v>4</v>
      </c>
      <c r="F1754">
        <v>144</v>
      </c>
      <c r="G1754">
        <v>238</v>
      </c>
      <c r="H1754" t="s">
        <v>13</v>
      </c>
      <c r="I1754" t="b">
        <f t="shared" si="27"/>
        <v>0</v>
      </c>
    </row>
    <row r="1755" spans="1:9" x14ac:dyDescent="0.2">
      <c r="A1755" t="s">
        <v>563</v>
      </c>
      <c r="B1755" t="s">
        <v>564</v>
      </c>
      <c r="C1755" t="s">
        <v>565</v>
      </c>
      <c r="D1755" t="s">
        <v>566</v>
      </c>
      <c r="E1755" t="s">
        <v>4</v>
      </c>
      <c r="F1755">
        <v>499</v>
      </c>
      <c r="G1755">
        <v>352</v>
      </c>
      <c r="H1755" t="s">
        <v>5</v>
      </c>
      <c r="I1755" t="b">
        <f t="shared" si="27"/>
        <v>0</v>
      </c>
    </row>
    <row r="1756" spans="1:9" x14ac:dyDescent="0.2">
      <c r="A1756" t="s">
        <v>1937</v>
      </c>
      <c r="B1756" t="s">
        <v>1938</v>
      </c>
      <c r="C1756" t="s">
        <v>679</v>
      </c>
      <c r="D1756" t="s">
        <v>1939</v>
      </c>
      <c r="E1756" t="s">
        <v>4</v>
      </c>
      <c r="F1756">
        <v>48</v>
      </c>
      <c r="G1756">
        <v>139</v>
      </c>
      <c r="H1756" t="s">
        <v>13</v>
      </c>
      <c r="I1756" t="b">
        <f t="shared" si="27"/>
        <v>0</v>
      </c>
    </row>
    <row r="1757" spans="1:9" x14ac:dyDescent="0.2">
      <c r="A1757" t="s">
        <v>4329</v>
      </c>
      <c r="B1757" t="s">
        <v>4330</v>
      </c>
      <c r="C1757" t="s">
        <v>4331</v>
      </c>
      <c r="D1757" t="s">
        <v>4332</v>
      </c>
      <c r="E1757" t="s">
        <v>4</v>
      </c>
      <c r="F1757">
        <v>20</v>
      </c>
      <c r="G1757">
        <v>95</v>
      </c>
      <c r="H1757" t="s">
        <v>13</v>
      </c>
      <c r="I1757" t="b">
        <f t="shared" si="27"/>
        <v>0</v>
      </c>
    </row>
    <row r="1758" spans="1:9" x14ac:dyDescent="0.2">
      <c r="A1758" t="s">
        <v>3915</v>
      </c>
      <c r="B1758" t="s">
        <v>3916</v>
      </c>
      <c r="C1758" t="s">
        <v>3917</v>
      </c>
      <c r="D1758" t="s">
        <v>3</v>
      </c>
      <c r="E1758" t="s">
        <v>4</v>
      </c>
      <c r="F1758">
        <v>461</v>
      </c>
      <c r="G1758">
        <v>77</v>
      </c>
      <c r="H1758" t="s">
        <v>13</v>
      </c>
      <c r="I1758" t="b">
        <f t="shared" si="27"/>
        <v>0</v>
      </c>
    </row>
    <row r="1759" spans="1:9" x14ac:dyDescent="0.2">
      <c r="A1759" t="s">
        <v>4919</v>
      </c>
      <c r="B1759" t="s">
        <v>4920</v>
      </c>
      <c r="C1759" t="s">
        <v>4921</v>
      </c>
      <c r="D1759" t="s">
        <v>4922</v>
      </c>
      <c r="E1759" t="s">
        <v>4</v>
      </c>
      <c r="F1759">
        <v>248</v>
      </c>
      <c r="G1759">
        <v>173</v>
      </c>
      <c r="H1759" t="s">
        <v>13</v>
      </c>
      <c r="I1759" t="b">
        <f t="shared" si="27"/>
        <v>0</v>
      </c>
    </row>
    <row r="1760" spans="1:9" x14ac:dyDescent="0.2">
      <c r="A1760" t="s">
        <v>5231</v>
      </c>
      <c r="B1760" t="s">
        <v>5232</v>
      </c>
      <c r="C1760" t="s">
        <v>730</v>
      </c>
      <c r="D1760" t="s">
        <v>3</v>
      </c>
      <c r="E1760" t="s">
        <v>4</v>
      </c>
      <c r="F1760">
        <v>49</v>
      </c>
      <c r="G1760">
        <v>146</v>
      </c>
      <c r="H1760" t="s">
        <v>13</v>
      </c>
      <c r="I1760" t="b">
        <f t="shared" si="27"/>
        <v>0</v>
      </c>
    </row>
    <row r="1761" spans="1:9" x14ac:dyDescent="0.2">
      <c r="A1761" t="s">
        <v>310</v>
      </c>
      <c r="B1761" t="s">
        <v>311</v>
      </c>
      <c r="C1761" t="s">
        <v>312</v>
      </c>
      <c r="D1761" t="s">
        <v>3</v>
      </c>
      <c r="E1761" t="s">
        <v>4</v>
      </c>
      <c r="F1761">
        <v>90</v>
      </c>
      <c r="G1761">
        <v>117</v>
      </c>
      <c r="H1761" t="s">
        <v>50</v>
      </c>
      <c r="I1761" t="b">
        <f t="shared" si="27"/>
        <v>0</v>
      </c>
    </row>
    <row r="1762" spans="1:9" x14ac:dyDescent="0.2">
      <c r="A1762" t="s">
        <v>5962</v>
      </c>
      <c r="B1762" t="s">
        <v>5963</v>
      </c>
      <c r="C1762" t="s">
        <v>595</v>
      </c>
      <c r="D1762" t="s">
        <v>1027</v>
      </c>
      <c r="E1762" t="s">
        <v>4</v>
      </c>
      <c r="F1762">
        <v>296</v>
      </c>
      <c r="G1762">
        <v>202</v>
      </c>
      <c r="H1762" t="s">
        <v>13</v>
      </c>
      <c r="I1762" t="b">
        <f t="shared" si="27"/>
        <v>0</v>
      </c>
    </row>
    <row r="1763" spans="1:9" x14ac:dyDescent="0.2">
      <c r="A1763" t="s">
        <v>6988</v>
      </c>
      <c r="B1763" t="s">
        <v>6989</v>
      </c>
      <c r="C1763" t="s">
        <v>6990</v>
      </c>
      <c r="D1763" t="s">
        <v>3</v>
      </c>
      <c r="E1763" t="s">
        <v>4</v>
      </c>
      <c r="F1763">
        <v>1843</v>
      </c>
      <c r="G1763">
        <v>106</v>
      </c>
      <c r="H1763" t="s">
        <v>50</v>
      </c>
      <c r="I1763" t="b">
        <f t="shared" si="27"/>
        <v>0</v>
      </c>
    </row>
    <row r="1764" spans="1:9" x14ac:dyDescent="0.2">
      <c r="A1764" t="s">
        <v>4661</v>
      </c>
      <c r="B1764" t="s">
        <v>4662</v>
      </c>
      <c r="C1764" t="s">
        <v>1291</v>
      </c>
      <c r="D1764" t="s">
        <v>4663</v>
      </c>
      <c r="E1764" t="s">
        <v>4</v>
      </c>
      <c r="F1764">
        <v>24</v>
      </c>
      <c r="G1764">
        <v>163</v>
      </c>
      <c r="H1764" t="s">
        <v>13</v>
      </c>
      <c r="I1764" t="b">
        <f t="shared" si="27"/>
        <v>0</v>
      </c>
    </row>
    <row r="1765" spans="1:9" x14ac:dyDescent="0.2">
      <c r="A1765" t="s">
        <v>2296</v>
      </c>
      <c r="B1765" t="s">
        <v>2297</v>
      </c>
      <c r="C1765" t="s">
        <v>2298</v>
      </c>
      <c r="D1765" t="s">
        <v>2299</v>
      </c>
      <c r="E1765" t="s">
        <v>4</v>
      </c>
      <c r="F1765">
        <v>5041</v>
      </c>
      <c r="G1765">
        <v>1690</v>
      </c>
      <c r="H1765" t="s">
        <v>13</v>
      </c>
      <c r="I1765" t="b">
        <f t="shared" si="27"/>
        <v>0</v>
      </c>
    </row>
    <row r="1766" spans="1:9" x14ac:dyDescent="0.2">
      <c r="A1766" t="s">
        <v>4134</v>
      </c>
      <c r="B1766" t="s">
        <v>4135</v>
      </c>
      <c r="C1766" t="s">
        <v>999</v>
      </c>
      <c r="D1766" t="s">
        <v>4136</v>
      </c>
      <c r="E1766" t="s">
        <v>4</v>
      </c>
      <c r="F1766">
        <v>275</v>
      </c>
      <c r="G1766">
        <v>878</v>
      </c>
      <c r="H1766" t="s">
        <v>13</v>
      </c>
      <c r="I1766" t="b">
        <f t="shared" si="27"/>
        <v>0</v>
      </c>
    </row>
    <row r="1767" spans="1:9" x14ac:dyDescent="0.2">
      <c r="A1767" t="s">
        <v>2594</v>
      </c>
      <c r="B1767" t="s">
        <v>2595</v>
      </c>
      <c r="C1767" t="s">
        <v>2596</v>
      </c>
      <c r="D1767" t="s">
        <v>403</v>
      </c>
      <c r="E1767" t="s">
        <v>4</v>
      </c>
      <c r="F1767">
        <v>2450</v>
      </c>
      <c r="G1767">
        <v>2099</v>
      </c>
      <c r="H1767" t="s">
        <v>13</v>
      </c>
      <c r="I1767" t="b">
        <f t="shared" si="27"/>
        <v>0</v>
      </c>
    </row>
    <row r="1768" spans="1:9" x14ac:dyDescent="0.2">
      <c r="A1768" t="s">
        <v>6775</v>
      </c>
      <c r="B1768" t="s">
        <v>6776</v>
      </c>
      <c r="C1768" t="s">
        <v>1095</v>
      </c>
      <c r="D1768" t="s">
        <v>3</v>
      </c>
      <c r="E1768" t="s">
        <v>4</v>
      </c>
      <c r="F1768">
        <v>0</v>
      </c>
      <c r="G1768">
        <v>10</v>
      </c>
      <c r="H1768" t="s">
        <v>13</v>
      </c>
      <c r="I1768" t="b">
        <f t="shared" si="27"/>
        <v>0</v>
      </c>
    </row>
    <row r="1769" spans="1:9" x14ac:dyDescent="0.2">
      <c r="A1769" t="s">
        <v>6120</v>
      </c>
      <c r="B1769" t="s">
        <v>6121</v>
      </c>
      <c r="C1769" t="s">
        <v>1522</v>
      </c>
      <c r="D1769" t="s">
        <v>3</v>
      </c>
      <c r="E1769" t="s">
        <v>4</v>
      </c>
      <c r="F1769">
        <v>766</v>
      </c>
      <c r="G1769">
        <v>20</v>
      </c>
      <c r="H1769" t="s">
        <v>13</v>
      </c>
      <c r="I1769" t="b">
        <f t="shared" si="27"/>
        <v>0</v>
      </c>
    </row>
    <row r="1770" spans="1:9" x14ac:dyDescent="0.2">
      <c r="A1770" t="s">
        <v>4886</v>
      </c>
      <c r="B1770" t="s">
        <v>4887</v>
      </c>
      <c r="C1770" t="s">
        <v>1750</v>
      </c>
      <c r="D1770" t="s">
        <v>3</v>
      </c>
      <c r="E1770" t="s">
        <v>4</v>
      </c>
      <c r="F1770">
        <v>1950</v>
      </c>
      <c r="G1770">
        <v>1914</v>
      </c>
      <c r="H1770" t="s">
        <v>13</v>
      </c>
      <c r="I1770" t="b">
        <f t="shared" si="27"/>
        <v>0</v>
      </c>
    </row>
    <row r="1771" spans="1:9" x14ac:dyDescent="0.2">
      <c r="A1771" t="s">
        <v>5424</v>
      </c>
      <c r="B1771" t="s">
        <v>5425</v>
      </c>
      <c r="C1771" t="s">
        <v>93</v>
      </c>
      <c r="D1771" t="s">
        <v>94</v>
      </c>
      <c r="E1771" t="s">
        <v>4</v>
      </c>
      <c r="F1771">
        <v>136</v>
      </c>
      <c r="G1771">
        <v>11</v>
      </c>
      <c r="H1771" t="s">
        <v>13</v>
      </c>
      <c r="I1771" t="b">
        <f t="shared" si="27"/>
        <v>0</v>
      </c>
    </row>
    <row r="1772" spans="1:9" x14ac:dyDescent="0.2">
      <c r="A1772" t="s">
        <v>91</v>
      </c>
      <c r="B1772" t="s">
        <v>92</v>
      </c>
      <c r="C1772" t="s">
        <v>93</v>
      </c>
      <c r="D1772" t="s">
        <v>94</v>
      </c>
      <c r="E1772" t="s">
        <v>4</v>
      </c>
      <c r="F1772">
        <v>136</v>
      </c>
      <c r="G1772">
        <v>11</v>
      </c>
      <c r="H1772" t="s">
        <v>13</v>
      </c>
      <c r="I1772" t="b">
        <f t="shared" si="27"/>
        <v>0</v>
      </c>
    </row>
    <row r="1773" spans="1:9" x14ac:dyDescent="0.2">
      <c r="A1773" t="s">
        <v>3619</v>
      </c>
      <c r="B1773" t="s">
        <v>3620</v>
      </c>
      <c r="C1773" t="s">
        <v>884</v>
      </c>
      <c r="D1773" t="s">
        <v>109</v>
      </c>
      <c r="E1773" t="s">
        <v>4</v>
      </c>
      <c r="F1773">
        <v>774</v>
      </c>
      <c r="G1773">
        <v>626</v>
      </c>
      <c r="H1773" t="s">
        <v>13</v>
      </c>
      <c r="I1773" t="b">
        <f t="shared" si="27"/>
        <v>0</v>
      </c>
    </row>
    <row r="1774" spans="1:9" x14ac:dyDescent="0.2">
      <c r="A1774" t="s">
        <v>495</v>
      </c>
      <c r="B1774" t="s">
        <v>496</v>
      </c>
      <c r="C1774" t="s">
        <v>193</v>
      </c>
      <c r="D1774" t="s">
        <v>194</v>
      </c>
      <c r="E1774" t="s">
        <v>4</v>
      </c>
      <c r="F1774">
        <v>1181</v>
      </c>
      <c r="G1774">
        <v>766</v>
      </c>
      <c r="H1774" t="s">
        <v>13</v>
      </c>
      <c r="I1774" t="b">
        <f t="shared" si="27"/>
        <v>0</v>
      </c>
    </row>
    <row r="1775" spans="1:9" x14ac:dyDescent="0.2">
      <c r="A1775" t="s">
        <v>1853</v>
      </c>
      <c r="B1775" t="s">
        <v>1854</v>
      </c>
      <c r="C1775" t="s">
        <v>1855</v>
      </c>
      <c r="D1775" t="s">
        <v>3</v>
      </c>
      <c r="E1775" t="s">
        <v>4</v>
      </c>
      <c r="F1775">
        <v>25</v>
      </c>
      <c r="G1775">
        <v>109</v>
      </c>
      <c r="H1775" t="s">
        <v>13</v>
      </c>
      <c r="I1775" t="b">
        <f t="shared" si="27"/>
        <v>0</v>
      </c>
    </row>
    <row r="1776" spans="1:9" x14ac:dyDescent="0.2">
      <c r="A1776" t="s">
        <v>5720</v>
      </c>
      <c r="B1776" t="s">
        <v>5721</v>
      </c>
      <c r="C1776" t="s">
        <v>301</v>
      </c>
      <c r="D1776" t="s">
        <v>837</v>
      </c>
      <c r="E1776" t="s">
        <v>4</v>
      </c>
      <c r="F1776">
        <v>7</v>
      </c>
      <c r="G1776">
        <v>21</v>
      </c>
      <c r="H1776" t="s">
        <v>13</v>
      </c>
      <c r="I1776" t="b">
        <f t="shared" si="27"/>
        <v>0</v>
      </c>
    </row>
    <row r="1777" spans="1:9" x14ac:dyDescent="0.2">
      <c r="A1777" t="s">
        <v>1332</v>
      </c>
      <c r="B1777" t="s">
        <v>1333</v>
      </c>
      <c r="C1777" t="s">
        <v>1334</v>
      </c>
      <c r="D1777" t="s">
        <v>3</v>
      </c>
      <c r="E1777" t="s">
        <v>4</v>
      </c>
      <c r="F1777">
        <v>4793</v>
      </c>
      <c r="G1777">
        <v>5034</v>
      </c>
      <c r="H1777" t="s">
        <v>5</v>
      </c>
      <c r="I1777" t="b">
        <f t="shared" si="27"/>
        <v>0</v>
      </c>
    </row>
    <row r="1778" spans="1:9" x14ac:dyDescent="0.2">
      <c r="A1778" t="s">
        <v>1175</v>
      </c>
      <c r="B1778" t="s">
        <v>1177</v>
      </c>
      <c r="C1778" t="s">
        <v>93</v>
      </c>
      <c r="D1778" t="s">
        <v>1178</v>
      </c>
      <c r="E1778" t="s">
        <v>4</v>
      </c>
      <c r="F1778">
        <v>41</v>
      </c>
      <c r="G1778">
        <v>6</v>
      </c>
      <c r="H1778" t="s">
        <v>13</v>
      </c>
      <c r="I1778" t="b">
        <f t="shared" si="27"/>
        <v>0</v>
      </c>
    </row>
    <row r="1779" spans="1:9" x14ac:dyDescent="0.2">
      <c r="A1779" t="s">
        <v>979</v>
      </c>
      <c r="B1779" t="s">
        <v>980</v>
      </c>
      <c r="C1779" t="s">
        <v>293</v>
      </c>
      <c r="D1779" t="s">
        <v>3</v>
      </c>
      <c r="E1779" t="s">
        <v>4</v>
      </c>
      <c r="F1779">
        <v>3632</v>
      </c>
      <c r="G1779">
        <v>3728</v>
      </c>
      <c r="H1779" t="s">
        <v>13</v>
      </c>
      <c r="I1779" t="b">
        <f t="shared" si="27"/>
        <v>0</v>
      </c>
    </row>
    <row r="1780" spans="1:9" x14ac:dyDescent="0.2">
      <c r="A1780" t="s">
        <v>6891</v>
      </c>
      <c r="B1780" t="s">
        <v>6892</v>
      </c>
      <c r="C1780" t="s">
        <v>4158</v>
      </c>
      <c r="D1780" t="s">
        <v>2171</v>
      </c>
      <c r="E1780" t="s">
        <v>4</v>
      </c>
      <c r="F1780">
        <v>6</v>
      </c>
      <c r="G1780">
        <v>26</v>
      </c>
      <c r="H1780" t="s">
        <v>13</v>
      </c>
      <c r="I1780" t="b">
        <f t="shared" si="27"/>
        <v>1</v>
      </c>
    </row>
    <row r="1781" spans="1:9" x14ac:dyDescent="0.2">
      <c r="A1781" t="s">
        <v>3009</v>
      </c>
      <c r="B1781" t="s">
        <v>3010</v>
      </c>
      <c r="C1781" t="s">
        <v>3011</v>
      </c>
      <c r="D1781" t="s">
        <v>3</v>
      </c>
      <c r="E1781" t="s">
        <v>4</v>
      </c>
      <c r="F1781">
        <v>10187</v>
      </c>
      <c r="G1781">
        <v>5143</v>
      </c>
      <c r="H1781" t="s">
        <v>13</v>
      </c>
      <c r="I1781" t="b">
        <f t="shared" si="27"/>
        <v>0</v>
      </c>
    </row>
    <row r="1782" spans="1:9" x14ac:dyDescent="0.2">
      <c r="A1782" t="s">
        <v>4526</v>
      </c>
      <c r="B1782" t="s">
        <v>4527</v>
      </c>
      <c r="C1782" t="s">
        <v>4528</v>
      </c>
      <c r="D1782" t="s">
        <v>4529</v>
      </c>
      <c r="E1782" t="s">
        <v>4</v>
      </c>
      <c r="F1782">
        <v>112</v>
      </c>
      <c r="G1782">
        <v>302</v>
      </c>
      <c r="H1782" t="s">
        <v>13</v>
      </c>
      <c r="I1782" t="b">
        <f t="shared" si="27"/>
        <v>0</v>
      </c>
    </row>
    <row r="1783" spans="1:9" x14ac:dyDescent="0.2">
      <c r="A1783" t="s">
        <v>5862</v>
      </c>
      <c r="B1783" t="s">
        <v>5863</v>
      </c>
      <c r="C1783" t="s">
        <v>85</v>
      </c>
      <c r="D1783" t="s">
        <v>3</v>
      </c>
      <c r="E1783" t="s">
        <v>4</v>
      </c>
      <c r="F1783">
        <v>5</v>
      </c>
      <c r="G1783">
        <v>376</v>
      </c>
      <c r="H1783" t="s">
        <v>13</v>
      </c>
      <c r="I1783" t="b">
        <f t="shared" si="27"/>
        <v>0</v>
      </c>
    </row>
    <row r="1784" spans="1:9" x14ac:dyDescent="0.2">
      <c r="A1784" t="s">
        <v>3757</v>
      </c>
      <c r="B1784" t="s">
        <v>3758</v>
      </c>
      <c r="C1784" t="s">
        <v>3759</v>
      </c>
      <c r="D1784" t="s">
        <v>3760</v>
      </c>
      <c r="E1784" t="s">
        <v>4</v>
      </c>
      <c r="F1784">
        <v>19</v>
      </c>
      <c r="G1784">
        <v>8</v>
      </c>
      <c r="H1784" t="s">
        <v>13</v>
      </c>
      <c r="I1784" t="b">
        <f t="shared" si="27"/>
        <v>0</v>
      </c>
    </row>
    <row r="1785" spans="1:9" x14ac:dyDescent="0.2">
      <c r="A1785" t="s">
        <v>5604</v>
      </c>
      <c r="B1785" t="s">
        <v>5605</v>
      </c>
      <c r="C1785" t="s">
        <v>3797</v>
      </c>
      <c r="D1785" t="s">
        <v>3</v>
      </c>
      <c r="E1785" t="s">
        <v>4</v>
      </c>
      <c r="F1785">
        <v>11</v>
      </c>
      <c r="G1785">
        <v>39</v>
      </c>
      <c r="H1785" t="s">
        <v>13</v>
      </c>
      <c r="I1785" t="b">
        <f t="shared" si="27"/>
        <v>0</v>
      </c>
    </row>
    <row r="1786" spans="1:9" x14ac:dyDescent="0.2">
      <c r="A1786" t="s">
        <v>1093</v>
      </c>
      <c r="B1786" t="s">
        <v>1094</v>
      </c>
      <c r="C1786" t="s">
        <v>1095</v>
      </c>
      <c r="D1786" t="s">
        <v>1096</v>
      </c>
      <c r="E1786" t="s">
        <v>4</v>
      </c>
      <c r="F1786">
        <v>386</v>
      </c>
      <c r="G1786">
        <v>407</v>
      </c>
      <c r="H1786" t="s">
        <v>645</v>
      </c>
      <c r="I1786" t="b">
        <f t="shared" si="27"/>
        <v>0</v>
      </c>
    </row>
    <row r="1787" spans="1:9" x14ac:dyDescent="0.2">
      <c r="A1787" t="s">
        <v>5040</v>
      </c>
      <c r="B1787" t="s">
        <v>5041</v>
      </c>
      <c r="C1787" t="s">
        <v>171</v>
      </c>
      <c r="D1787" t="s">
        <v>644</v>
      </c>
      <c r="E1787" t="s">
        <v>4</v>
      </c>
      <c r="F1787">
        <v>3259</v>
      </c>
      <c r="G1787">
        <v>2</v>
      </c>
      <c r="H1787" t="s">
        <v>645</v>
      </c>
      <c r="I1787" t="b">
        <f t="shared" si="27"/>
        <v>0</v>
      </c>
    </row>
    <row r="1788" spans="1:9" x14ac:dyDescent="0.2">
      <c r="A1788" t="s">
        <v>4397</v>
      </c>
      <c r="B1788" t="s">
        <v>4398</v>
      </c>
      <c r="C1788" t="s">
        <v>4399</v>
      </c>
      <c r="D1788" t="s">
        <v>3</v>
      </c>
      <c r="E1788" t="s">
        <v>4</v>
      </c>
      <c r="F1788">
        <v>25</v>
      </c>
      <c r="G1788">
        <v>222</v>
      </c>
      <c r="H1788" t="s">
        <v>86</v>
      </c>
      <c r="I1788" t="b">
        <f t="shared" si="27"/>
        <v>0</v>
      </c>
    </row>
    <row r="1789" spans="1:9" x14ac:dyDescent="0.2">
      <c r="A1789" t="s">
        <v>642</v>
      </c>
      <c r="B1789" t="s">
        <v>643</v>
      </c>
      <c r="C1789" t="s">
        <v>171</v>
      </c>
      <c r="D1789" t="s">
        <v>644</v>
      </c>
      <c r="E1789" t="s">
        <v>4</v>
      </c>
      <c r="F1789">
        <v>3259</v>
      </c>
      <c r="G1789">
        <v>2</v>
      </c>
      <c r="H1789" t="s">
        <v>645</v>
      </c>
      <c r="I1789" t="b">
        <f t="shared" si="27"/>
        <v>0</v>
      </c>
    </row>
    <row r="1790" spans="1:9" x14ac:dyDescent="0.2">
      <c r="A1790" t="s">
        <v>6479</v>
      </c>
      <c r="B1790" t="s">
        <v>6480</v>
      </c>
      <c r="C1790" t="s">
        <v>171</v>
      </c>
      <c r="D1790" t="s">
        <v>644</v>
      </c>
      <c r="E1790" t="s">
        <v>4</v>
      </c>
      <c r="F1790">
        <v>3258</v>
      </c>
      <c r="G1790">
        <v>2</v>
      </c>
      <c r="H1790" t="s">
        <v>645</v>
      </c>
      <c r="I1790" t="b">
        <f t="shared" si="27"/>
        <v>0</v>
      </c>
    </row>
    <row r="1791" spans="1:9" x14ac:dyDescent="0.2">
      <c r="A1791" t="s">
        <v>213</v>
      </c>
      <c r="B1791" t="s">
        <v>214</v>
      </c>
      <c r="C1791" t="s">
        <v>215</v>
      </c>
      <c r="D1791" t="s">
        <v>216</v>
      </c>
      <c r="E1791" t="s">
        <v>4</v>
      </c>
      <c r="F1791">
        <v>1315</v>
      </c>
      <c r="G1791">
        <v>541</v>
      </c>
      <c r="H1791" t="s">
        <v>13</v>
      </c>
      <c r="I1791" t="b">
        <f t="shared" si="27"/>
        <v>0</v>
      </c>
    </row>
    <row r="1792" spans="1:9" x14ac:dyDescent="0.2">
      <c r="A1792" t="s">
        <v>6663</v>
      </c>
      <c r="B1792" t="s">
        <v>6664</v>
      </c>
      <c r="C1792" t="s">
        <v>429</v>
      </c>
      <c r="D1792" t="s">
        <v>3</v>
      </c>
      <c r="E1792" t="s">
        <v>4</v>
      </c>
      <c r="F1792">
        <v>19</v>
      </c>
      <c r="G1792">
        <v>277</v>
      </c>
      <c r="H1792" t="s">
        <v>13</v>
      </c>
      <c r="I1792" t="b">
        <f t="shared" si="27"/>
        <v>0</v>
      </c>
    </row>
    <row r="1793" spans="1:9" x14ac:dyDescent="0.2">
      <c r="A1793" t="s">
        <v>4408</v>
      </c>
      <c r="B1793" t="s">
        <v>4409</v>
      </c>
      <c r="C1793" t="s">
        <v>2577</v>
      </c>
      <c r="D1793" t="s">
        <v>4410</v>
      </c>
      <c r="E1793" t="s">
        <v>4</v>
      </c>
      <c r="F1793">
        <v>3975</v>
      </c>
      <c r="G1793">
        <v>877</v>
      </c>
      <c r="H1793" t="s">
        <v>13</v>
      </c>
      <c r="I1793" t="b">
        <f t="shared" si="27"/>
        <v>0</v>
      </c>
    </row>
    <row r="1794" spans="1:9" x14ac:dyDescent="0.2">
      <c r="A1794" t="s">
        <v>5542</v>
      </c>
      <c r="B1794" t="s">
        <v>5543</v>
      </c>
      <c r="C1794" t="s">
        <v>2065</v>
      </c>
      <c r="D1794" t="s">
        <v>3</v>
      </c>
      <c r="E1794" t="s">
        <v>4</v>
      </c>
      <c r="F1794">
        <v>3518</v>
      </c>
      <c r="G1794">
        <v>990</v>
      </c>
      <c r="H1794" t="s">
        <v>13</v>
      </c>
      <c r="I1794" t="b">
        <f t="shared" si="27"/>
        <v>0</v>
      </c>
    </row>
    <row r="1795" spans="1:9" x14ac:dyDescent="0.2">
      <c r="A1795" t="s">
        <v>5925</v>
      </c>
      <c r="B1795" t="s">
        <v>5926</v>
      </c>
      <c r="C1795" t="s">
        <v>293</v>
      </c>
      <c r="D1795" t="s">
        <v>5927</v>
      </c>
      <c r="E1795" t="s">
        <v>4</v>
      </c>
      <c r="F1795">
        <v>248</v>
      </c>
      <c r="G1795">
        <v>48</v>
      </c>
      <c r="H1795" t="s">
        <v>13</v>
      </c>
      <c r="I1795" t="b">
        <f t="shared" ref="I1795:I1858" si="28">isDup(B1795, B1796, 0.7)</f>
        <v>0</v>
      </c>
    </row>
    <row r="1796" spans="1:9" x14ac:dyDescent="0.2">
      <c r="A1796" t="s">
        <v>5746</v>
      </c>
      <c r="B1796" t="s">
        <v>5747</v>
      </c>
      <c r="C1796" t="s">
        <v>1685</v>
      </c>
      <c r="D1796" t="s">
        <v>5748</v>
      </c>
      <c r="E1796" t="s">
        <v>4</v>
      </c>
      <c r="F1796">
        <v>175</v>
      </c>
      <c r="G1796">
        <v>296</v>
      </c>
      <c r="H1796" t="s">
        <v>13</v>
      </c>
      <c r="I1796" t="b">
        <f t="shared" si="28"/>
        <v>0</v>
      </c>
    </row>
    <row r="1797" spans="1:9" x14ac:dyDescent="0.2">
      <c r="A1797" t="s">
        <v>1397</v>
      </c>
      <c r="B1797" t="s">
        <v>1398</v>
      </c>
      <c r="C1797" t="s">
        <v>945</v>
      </c>
      <c r="D1797" t="s">
        <v>1399</v>
      </c>
      <c r="E1797" t="s">
        <v>4</v>
      </c>
      <c r="F1797">
        <v>373</v>
      </c>
      <c r="G1797">
        <v>73</v>
      </c>
      <c r="H1797" t="s">
        <v>13</v>
      </c>
      <c r="I1797" t="b">
        <f t="shared" si="28"/>
        <v>0</v>
      </c>
    </row>
    <row r="1798" spans="1:9" x14ac:dyDescent="0.2">
      <c r="A1798" t="s">
        <v>6152</v>
      </c>
      <c r="B1798" t="s">
        <v>6153</v>
      </c>
      <c r="C1798" t="s">
        <v>5479</v>
      </c>
      <c r="D1798" t="s">
        <v>6154</v>
      </c>
      <c r="E1798" t="s">
        <v>4</v>
      </c>
      <c r="F1798">
        <v>283</v>
      </c>
      <c r="G1798">
        <v>181</v>
      </c>
      <c r="H1798" t="s">
        <v>13</v>
      </c>
      <c r="I1798" t="b">
        <f t="shared" si="28"/>
        <v>0</v>
      </c>
    </row>
    <row r="1799" spans="1:9" x14ac:dyDescent="0.2">
      <c r="A1799" t="s">
        <v>3754</v>
      </c>
      <c r="B1799" t="s">
        <v>3755</v>
      </c>
      <c r="C1799" t="s">
        <v>3448</v>
      </c>
      <c r="D1799" t="s">
        <v>3756</v>
      </c>
      <c r="E1799" t="s">
        <v>4</v>
      </c>
      <c r="F1799">
        <v>16</v>
      </c>
      <c r="G1799">
        <v>100</v>
      </c>
      <c r="H1799" t="s">
        <v>13</v>
      </c>
      <c r="I1799" t="b">
        <f t="shared" si="28"/>
        <v>0</v>
      </c>
    </row>
    <row r="1800" spans="1:9" x14ac:dyDescent="0.2">
      <c r="A1800" t="s">
        <v>3071</v>
      </c>
      <c r="B1800" t="s">
        <v>3072</v>
      </c>
      <c r="C1800" t="s">
        <v>3073</v>
      </c>
      <c r="D1800" t="s">
        <v>3</v>
      </c>
      <c r="E1800" t="s">
        <v>4</v>
      </c>
      <c r="F1800">
        <v>121</v>
      </c>
      <c r="G1800">
        <v>119</v>
      </c>
      <c r="H1800" t="s">
        <v>13</v>
      </c>
      <c r="I1800" t="b">
        <f t="shared" si="28"/>
        <v>0</v>
      </c>
    </row>
    <row r="1801" spans="1:9" x14ac:dyDescent="0.2">
      <c r="A1801" t="s">
        <v>4012</v>
      </c>
      <c r="B1801" t="s">
        <v>4013</v>
      </c>
      <c r="C1801" t="s">
        <v>4014</v>
      </c>
      <c r="D1801" t="s">
        <v>3</v>
      </c>
      <c r="E1801" t="s">
        <v>4</v>
      </c>
      <c r="F1801">
        <v>72</v>
      </c>
      <c r="G1801">
        <v>239</v>
      </c>
      <c r="H1801" t="s">
        <v>13</v>
      </c>
      <c r="I1801" t="b">
        <f t="shared" si="28"/>
        <v>0</v>
      </c>
    </row>
    <row r="1802" spans="1:9" x14ac:dyDescent="0.2">
      <c r="A1802" t="s">
        <v>2104</v>
      </c>
      <c r="B1802" t="s">
        <v>2105</v>
      </c>
      <c r="C1802" t="s">
        <v>2106</v>
      </c>
      <c r="D1802" t="s">
        <v>932</v>
      </c>
      <c r="E1802" t="s">
        <v>4</v>
      </c>
      <c r="F1802">
        <v>26</v>
      </c>
      <c r="G1802">
        <v>167</v>
      </c>
      <c r="H1802" t="s">
        <v>13</v>
      </c>
      <c r="I1802" t="b">
        <f t="shared" si="28"/>
        <v>0</v>
      </c>
    </row>
    <row r="1803" spans="1:9" x14ac:dyDescent="0.2">
      <c r="A1803" t="s">
        <v>4154</v>
      </c>
      <c r="B1803" t="s">
        <v>4155</v>
      </c>
      <c r="C1803" t="s">
        <v>177</v>
      </c>
      <c r="D1803" t="s">
        <v>3</v>
      </c>
      <c r="E1803" t="s">
        <v>4</v>
      </c>
      <c r="F1803">
        <v>184</v>
      </c>
      <c r="G1803">
        <v>70</v>
      </c>
      <c r="H1803" t="s">
        <v>13</v>
      </c>
      <c r="I1803" t="b">
        <f t="shared" si="28"/>
        <v>0</v>
      </c>
    </row>
    <row r="1804" spans="1:9" x14ac:dyDescent="0.2">
      <c r="A1804" t="s">
        <v>6840</v>
      </c>
      <c r="B1804" t="s">
        <v>6841</v>
      </c>
      <c r="C1804" t="s">
        <v>1409</v>
      </c>
      <c r="D1804" t="s">
        <v>3</v>
      </c>
      <c r="E1804" t="s">
        <v>4</v>
      </c>
      <c r="F1804">
        <v>2</v>
      </c>
      <c r="G1804">
        <v>23</v>
      </c>
      <c r="H1804" t="s">
        <v>13</v>
      </c>
      <c r="I1804" t="b">
        <f t="shared" si="28"/>
        <v>0</v>
      </c>
    </row>
    <row r="1805" spans="1:9" x14ac:dyDescent="0.2">
      <c r="A1805" t="s">
        <v>4432</v>
      </c>
      <c r="B1805" t="s">
        <v>4433</v>
      </c>
      <c r="C1805" t="s">
        <v>4434</v>
      </c>
      <c r="D1805" t="s">
        <v>4435</v>
      </c>
      <c r="E1805" t="s">
        <v>4</v>
      </c>
      <c r="F1805">
        <v>4</v>
      </c>
      <c r="G1805">
        <v>51</v>
      </c>
      <c r="H1805" t="s">
        <v>13</v>
      </c>
      <c r="I1805" t="b">
        <f t="shared" si="28"/>
        <v>0</v>
      </c>
    </row>
    <row r="1806" spans="1:9" x14ac:dyDescent="0.2">
      <c r="A1806" t="s">
        <v>6366</v>
      </c>
      <c r="B1806" t="s">
        <v>6367</v>
      </c>
      <c r="C1806" t="s">
        <v>24</v>
      </c>
      <c r="D1806" t="s">
        <v>1740</v>
      </c>
      <c r="E1806" t="s">
        <v>4</v>
      </c>
      <c r="F1806">
        <v>312</v>
      </c>
      <c r="G1806">
        <v>498</v>
      </c>
      <c r="H1806" t="s">
        <v>13</v>
      </c>
      <c r="I1806" t="b">
        <f t="shared" si="28"/>
        <v>0</v>
      </c>
    </row>
    <row r="1807" spans="1:9" x14ac:dyDescent="0.2">
      <c r="A1807" t="s">
        <v>2787</v>
      </c>
      <c r="B1807" t="s">
        <v>2788</v>
      </c>
      <c r="C1807" t="s">
        <v>2789</v>
      </c>
      <c r="D1807" t="s">
        <v>2280</v>
      </c>
      <c r="E1807" t="s">
        <v>4</v>
      </c>
      <c r="F1807">
        <v>4817</v>
      </c>
      <c r="G1807">
        <v>936</v>
      </c>
      <c r="H1807" t="s">
        <v>13</v>
      </c>
      <c r="I1807" t="b">
        <f t="shared" si="28"/>
        <v>0</v>
      </c>
    </row>
    <row r="1808" spans="1:9" x14ac:dyDescent="0.2">
      <c r="A1808" t="s">
        <v>4054</v>
      </c>
      <c r="B1808" t="s">
        <v>4055</v>
      </c>
      <c r="C1808" t="s">
        <v>4056</v>
      </c>
      <c r="D1808" t="s">
        <v>3</v>
      </c>
      <c r="E1808" t="s">
        <v>4</v>
      </c>
      <c r="F1808">
        <v>127</v>
      </c>
      <c r="G1808">
        <v>284</v>
      </c>
      <c r="H1808" t="s">
        <v>13</v>
      </c>
      <c r="I1808" t="b">
        <f t="shared" si="28"/>
        <v>0</v>
      </c>
    </row>
    <row r="1809" spans="1:9" x14ac:dyDescent="0.2">
      <c r="A1809" t="s">
        <v>3150</v>
      </c>
      <c r="B1809" t="s">
        <v>3151</v>
      </c>
      <c r="C1809" t="s">
        <v>336</v>
      </c>
      <c r="D1809" t="s">
        <v>975</v>
      </c>
      <c r="E1809" t="s">
        <v>4</v>
      </c>
      <c r="F1809">
        <v>300</v>
      </c>
      <c r="G1809">
        <v>681</v>
      </c>
      <c r="H1809" t="s">
        <v>50</v>
      </c>
      <c r="I1809" t="b">
        <f t="shared" si="28"/>
        <v>0</v>
      </c>
    </row>
    <row r="1810" spans="1:9" x14ac:dyDescent="0.2">
      <c r="A1810" t="s">
        <v>4152</v>
      </c>
      <c r="B1810" t="s">
        <v>4153</v>
      </c>
      <c r="C1810" t="s">
        <v>293</v>
      </c>
      <c r="D1810" t="s">
        <v>3</v>
      </c>
      <c r="E1810" t="s">
        <v>4</v>
      </c>
      <c r="F1810">
        <v>3634</v>
      </c>
      <c r="G1810">
        <v>3732</v>
      </c>
      <c r="H1810" t="s">
        <v>13</v>
      </c>
      <c r="I1810" t="b">
        <f t="shared" si="28"/>
        <v>0</v>
      </c>
    </row>
    <row r="1811" spans="1:9" x14ac:dyDescent="0.2">
      <c r="A1811" t="s">
        <v>6842</v>
      </c>
      <c r="B1811" t="s">
        <v>6843</v>
      </c>
      <c r="C1811" t="s">
        <v>3669</v>
      </c>
      <c r="D1811" t="s">
        <v>6844</v>
      </c>
      <c r="E1811" t="s">
        <v>4</v>
      </c>
      <c r="F1811">
        <v>872</v>
      </c>
      <c r="G1811">
        <v>542</v>
      </c>
      <c r="H1811" t="s">
        <v>13</v>
      </c>
      <c r="I1811" t="b">
        <f t="shared" si="28"/>
        <v>0</v>
      </c>
    </row>
    <row r="1812" spans="1:9" x14ac:dyDescent="0.2">
      <c r="A1812" t="s">
        <v>1868</v>
      </c>
      <c r="B1812" t="s">
        <v>1869</v>
      </c>
      <c r="C1812" t="s">
        <v>1870</v>
      </c>
      <c r="D1812" t="s">
        <v>320</v>
      </c>
      <c r="E1812" t="s">
        <v>4</v>
      </c>
      <c r="F1812">
        <v>778</v>
      </c>
      <c r="G1812">
        <v>775</v>
      </c>
      <c r="H1812" t="s">
        <v>13</v>
      </c>
      <c r="I1812" t="b">
        <f t="shared" si="28"/>
        <v>0</v>
      </c>
    </row>
    <row r="1813" spans="1:9" x14ac:dyDescent="0.2">
      <c r="A1813" t="s">
        <v>4913</v>
      </c>
      <c r="B1813" t="s">
        <v>4914</v>
      </c>
      <c r="C1813" t="s">
        <v>1254</v>
      </c>
      <c r="D1813" t="s">
        <v>326</v>
      </c>
      <c r="E1813" t="s">
        <v>4</v>
      </c>
      <c r="F1813">
        <v>51</v>
      </c>
      <c r="G1813">
        <v>302</v>
      </c>
      <c r="H1813" t="s">
        <v>13</v>
      </c>
      <c r="I1813" t="b">
        <f t="shared" si="28"/>
        <v>0</v>
      </c>
    </row>
    <row r="1814" spans="1:9" x14ac:dyDescent="0.2">
      <c r="A1814" t="s">
        <v>1643</v>
      </c>
      <c r="B1814" t="s">
        <v>1644</v>
      </c>
      <c r="C1814" t="s">
        <v>595</v>
      </c>
      <c r="D1814" t="s">
        <v>1645</v>
      </c>
      <c r="E1814" t="s">
        <v>4</v>
      </c>
      <c r="F1814">
        <v>1541</v>
      </c>
      <c r="G1814">
        <v>241</v>
      </c>
      <c r="H1814" t="s">
        <v>13</v>
      </c>
      <c r="I1814" t="b">
        <f t="shared" si="28"/>
        <v>0</v>
      </c>
    </row>
    <row r="1815" spans="1:9" x14ac:dyDescent="0.2">
      <c r="A1815" t="s">
        <v>4161</v>
      </c>
      <c r="B1815" t="s">
        <v>4162</v>
      </c>
      <c r="C1815" t="s">
        <v>579</v>
      </c>
      <c r="D1815" t="s">
        <v>3</v>
      </c>
      <c r="E1815" t="s">
        <v>4</v>
      </c>
      <c r="F1815">
        <v>18</v>
      </c>
      <c r="G1815">
        <v>154</v>
      </c>
      <c r="H1815" t="s">
        <v>13</v>
      </c>
      <c r="I1815" t="b">
        <f t="shared" si="28"/>
        <v>0</v>
      </c>
    </row>
    <row r="1816" spans="1:9" x14ac:dyDescent="0.2">
      <c r="A1816" t="s">
        <v>4021</v>
      </c>
      <c r="B1816" t="s">
        <v>4022</v>
      </c>
      <c r="C1816" t="s">
        <v>1596</v>
      </c>
      <c r="D1816" t="s">
        <v>1597</v>
      </c>
      <c r="E1816" t="s">
        <v>4</v>
      </c>
      <c r="F1816">
        <v>4</v>
      </c>
      <c r="G1816">
        <v>0</v>
      </c>
      <c r="H1816" t="s">
        <v>13</v>
      </c>
      <c r="I1816" t="b">
        <f t="shared" si="28"/>
        <v>0</v>
      </c>
    </row>
    <row r="1817" spans="1:9" x14ac:dyDescent="0.2">
      <c r="A1817" t="s">
        <v>771</v>
      </c>
      <c r="B1817" t="s">
        <v>772</v>
      </c>
      <c r="C1817" t="s">
        <v>773</v>
      </c>
      <c r="D1817" t="s">
        <v>774</v>
      </c>
      <c r="E1817" t="s">
        <v>4</v>
      </c>
      <c r="F1817">
        <v>909</v>
      </c>
      <c r="G1817">
        <v>826</v>
      </c>
      <c r="H1817" t="s">
        <v>13</v>
      </c>
      <c r="I1817" t="b">
        <f t="shared" si="28"/>
        <v>0</v>
      </c>
    </row>
    <row r="1818" spans="1:9" x14ac:dyDescent="0.2">
      <c r="A1818" t="s">
        <v>5019</v>
      </c>
      <c r="B1818" t="s">
        <v>5020</v>
      </c>
      <c r="C1818" t="s">
        <v>1596</v>
      </c>
      <c r="D1818" t="s">
        <v>1597</v>
      </c>
      <c r="E1818" t="s">
        <v>4</v>
      </c>
      <c r="F1818">
        <v>4</v>
      </c>
      <c r="G1818">
        <v>0</v>
      </c>
      <c r="H1818" t="s">
        <v>13</v>
      </c>
      <c r="I1818" t="b">
        <f t="shared" si="28"/>
        <v>0</v>
      </c>
    </row>
    <row r="1819" spans="1:9" x14ac:dyDescent="0.2">
      <c r="A1819" t="s">
        <v>1004</v>
      </c>
      <c r="B1819" t="s">
        <v>1005</v>
      </c>
      <c r="C1819" t="s">
        <v>740</v>
      </c>
      <c r="D1819" t="s">
        <v>1006</v>
      </c>
      <c r="E1819" t="s">
        <v>4</v>
      </c>
      <c r="F1819">
        <v>298</v>
      </c>
      <c r="G1819">
        <v>126</v>
      </c>
      <c r="H1819" t="s">
        <v>13</v>
      </c>
      <c r="I1819" t="b">
        <f t="shared" si="28"/>
        <v>0</v>
      </c>
    </row>
    <row r="1820" spans="1:9" x14ac:dyDescent="0.2">
      <c r="A1820" t="s">
        <v>3231</v>
      </c>
      <c r="B1820" t="s">
        <v>3232</v>
      </c>
      <c r="C1820" t="s">
        <v>1499</v>
      </c>
      <c r="D1820" t="s">
        <v>1500</v>
      </c>
      <c r="E1820" t="s">
        <v>4</v>
      </c>
      <c r="F1820">
        <v>663</v>
      </c>
      <c r="G1820">
        <v>162</v>
      </c>
      <c r="H1820" t="s">
        <v>13</v>
      </c>
      <c r="I1820" t="b">
        <f t="shared" si="28"/>
        <v>0</v>
      </c>
    </row>
    <row r="1821" spans="1:9" x14ac:dyDescent="0.2">
      <c r="A1821" t="s">
        <v>3568</v>
      </c>
      <c r="B1821" t="s">
        <v>3569</v>
      </c>
      <c r="C1821" t="s">
        <v>3570</v>
      </c>
      <c r="D1821" t="s">
        <v>3571</v>
      </c>
      <c r="E1821" t="s">
        <v>4</v>
      </c>
      <c r="F1821">
        <v>639</v>
      </c>
      <c r="G1821">
        <v>181</v>
      </c>
      <c r="H1821" t="s">
        <v>13</v>
      </c>
      <c r="I1821" t="b">
        <f t="shared" si="28"/>
        <v>0</v>
      </c>
    </row>
    <row r="1822" spans="1:9" x14ac:dyDescent="0.2">
      <c r="A1822" t="s">
        <v>123</v>
      </c>
      <c r="B1822" t="s">
        <v>124</v>
      </c>
      <c r="C1822" t="s">
        <v>125</v>
      </c>
      <c r="D1822" t="s">
        <v>3</v>
      </c>
      <c r="E1822" t="s">
        <v>4</v>
      </c>
      <c r="F1822">
        <v>218</v>
      </c>
      <c r="G1822">
        <v>126</v>
      </c>
      <c r="H1822" t="s">
        <v>126</v>
      </c>
      <c r="I1822" t="b">
        <f t="shared" si="28"/>
        <v>0</v>
      </c>
    </row>
    <row r="1823" spans="1:9" x14ac:dyDescent="0.2">
      <c r="A1823" t="s">
        <v>5620</v>
      </c>
      <c r="B1823" t="s">
        <v>5621</v>
      </c>
      <c r="C1823" t="s">
        <v>5622</v>
      </c>
      <c r="D1823" t="s">
        <v>3</v>
      </c>
      <c r="E1823" t="s">
        <v>4</v>
      </c>
      <c r="F1823">
        <v>204</v>
      </c>
      <c r="G1823">
        <v>137</v>
      </c>
      <c r="H1823" t="s">
        <v>13</v>
      </c>
      <c r="I1823" t="b">
        <f t="shared" si="28"/>
        <v>0</v>
      </c>
    </row>
    <row r="1824" spans="1:9" x14ac:dyDescent="0.2">
      <c r="A1824" t="s">
        <v>3597</v>
      </c>
      <c r="B1824" t="s">
        <v>3598</v>
      </c>
      <c r="C1824" t="s">
        <v>293</v>
      </c>
      <c r="D1824" t="s">
        <v>3</v>
      </c>
      <c r="E1824" t="s">
        <v>4</v>
      </c>
      <c r="F1824">
        <v>3634</v>
      </c>
      <c r="G1824">
        <v>3732</v>
      </c>
      <c r="H1824" t="s">
        <v>13</v>
      </c>
      <c r="I1824" t="b">
        <f t="shared" si="28"/>
        <v>0</v>
      </c>
    </row>
    <row r="1825" spans="1:9" x14ac:dyDescent="0.2">
      <c r="A1825" t="s">
        <v>5730</v>
      </c>
      <c r="B1825" t="s">
        <v>5731</v>
      </c>
      <c r="C1825" t="s">
        <v>4456</v>
      </c>
      <c r="D1825" t="s">
        <v>403</v>
      </c>
      <c r="E1825" t="s">
        <v>4</v>
      </c>
      <c r="F1825">
        <v>2878</v>
      </c>
      <c r="G1825">
        <v>4986</v>
      </c>
      <c r="H1825" t="s">
        <v>13</v>
      </c>
      <c r="I1825" t="b">
        <f t="shared" si="28"/>
        <v>0</v>
      </c>
    </row>
    <row r="1826" spans="1:9" x14ac:dyDescent="0.2">
      <c r="A1826" t="s">
        <v>2797</v>
      </c>
      <c r="B1826" t="s">
        <v>2798</v>
      </c>
      <c r="C1826" t="s">
        <v>264</v>
      </c>
      <c r="D1826" t="s">
        <v>3</v>
      </c>
      <c r="E1826" t="s">
        <v>4</v>
      </c>
      <c r="F1826">
        <v>41</v>
      </c>
      <c r="G1826">
        <v>34</v>
      </c>
      <c r="H1826" t="s">
        <v>13</v>
      </c>
      <c r="I1826" t="b">
        <f t="shared" si="28"/>
        <v>0</v>
      </c>
    </row>
    <row r="1827" spans="1:9" x14ac:dyDescent="0.2">
      <c r="A1827" t="s">
        <v>119</v>
      </c>
      <c r="B1827" t="s">
        <v>120</v>
      </c>
      <c r="C1827" t="s">
        <v>121</v>
      </c>
      <c r="D1827" t="s">
        <v>122</v>
      </c>
      <c r="E1827" t="s">
        <v>4</v>
      </c>
      <c r="F1827">
        <v>1032</v>
      </c>
      <c r="G1827">
        <v>981</v>
      </c>
      <c r="H1827" t="s">
        <v>13</v>
      </c>
      <c r="I1827" t="b">
        <f t="shared" si="28"/>
        <v>0</v>
      </c>
    </row>
    <row r="1828" spans="1:9" x14ac:dyDescent="0.2">
      <c r="A1828" t="s">
        <v>6862</v>
      </c>
      <c r="B1828" t="s">
        <v>6863</v>
      </c>
      <c r="C1828" t="s">
        <v>5930</v>
      </c>
      <c r="D1828" t="s">
        <v>6864</v>
      </c>
      <c r="E1828" t="s">
        <v>4</v>
      </c>
      <c r="F1828">
        <v>8594</v>
      </c>
      <c r="G1828">
        <v>5249</v>
      </c>
      <c r="H1828" t="s">
        <v>13</v>
      </c>
      <c r="I1828" t="b">
        <f t="shared" si="28"/>
        <v>0</v>
      </c>
    </row>
    <row r="1829" spans="1:9" x14ac:dyDescent="0.2">
      <c r="A1829" t="s">
        <v>5110</v>
      </c>
      <c r="B1829" t="s">
        <v>5111</v>
      </c>
      <c r="C1829" t="s">
        <v>561</v>
      </c>
      <c r="D1829" t="s">
        <v>3</v>
      </c>
      <c r="E1829" t="s">
        <v>4</v>
      </c>
      <c r="F1829">
        <v>4</v>
      </c>
      <c r="G1829">
        <v>37</v>
      </c>
      <c r="H1829" t="s">
        <v>13</v>
      </c>
      <c r="I1829" t="b">
        <f t="shared" si="28"/>
        <v>0</v>
      </c>
    </row>
    <row r="1830" spans="1:9" x14ac:dyDescent="0.2">
      <c r="A1830" t="s">
        <v>6878</v>
      </c>
      <c r="B1830" t="s">
        <v>6879</v>
      </c>
      <c r="C1830" t="s">
        <v>3852</v>
      </c>
      <c r="D1830" t="s">
        <v>6880</v>
      </c>
      <c r="E1830" t="s">
        <v>4</v>
      </c>
      <c r="F1830">
        <v>26</v>
      </c>
      <c r="G1830">
        <v>36</v>
      </c>
      <c r="H1830" t="s">
        <v>13</v>
      </c>
      <c r="I1830" t="b">
        <f t="shared" si="28"/>
        <v>0</v>
      </c>
    </row>
    <row r="1831" spans="1:9" x14ac:dyDescent="0.2">
      <c r="A1831" t="s">
        <v>6118</v>
      </c>
      <c r="B1831" t="s">
        <v>6119</v>
      </c>
      <c r="C1831" t="s">
        <v>5418</v>
      </c>
      <c r="D1831" t="s">
        <v>326</v>
      </c>
      <c r="E1831" t="s">
        <v>4</v>
      </c>
      <c r="F1831">
        <v>1123</v>
      </c>
      <c r="G1831">
        <v>902</v>
      </c>
      <c r="H1831" t="s">
        <v>13</v>
      </c>
      <c r="I1831" t="b">
        <f t="shared" si="28"/>
        <v>0</v>
      </c>
    </row>
    <row r="1832" spans="1:9" x14ac:dyDescent="0.2">
      <c r="A1832" t="s">
        <v>1172</v>
      </c>
      <c r="B1832" t="s">
        <v>1173</v>
      </c>
      <c r="C1832" t="s">
        <v>1174</v>
      </c>
      <c r="D1832" t="s">
        <v>90</v>
      </c>
      <c r="E1832" t="s">
        <v>4</v>
      </c>
      <c r="F1832">
        <v>1427</v>
      </c>
      <c r="G1832">
        <v>649</v>
      </c>
      <c r="H1832" t="s">
        <v>13</v>
      </c>
      <c r="I1832" t="b">
        <f t="shared" si="28"/>
        <v>0</v>
      </c>
    </row>
    <row r="1833" spans="1:9" x14ac:dyDescent="0.2">
      <c r="A1833" t="s">
        <v>4474</v>
      </c>
      <c r="B1833" t="s">
        <v>4475</v>
      </c>
      <c r="C1833" t="s">
        <v>323</v>
      </c>
      <c r="D1833" t="s">
        <v>3</v>
      </c>
      <c r="E1833" t="s">
        <v>4</v>
      </c>
      <c r="F1833">
        <v>5</v>
      </c>
      <c r="G1833">
        <v>9</v>
      </c>
      <c r="H1833" t="s">
        <v>13</v>
      </c>
      <c r="I1833" t="b">
        <f t="shared" si="28"/>
        <v>0</v>
      </c>
    </row>
    <row r="1834" spans="1:9" x14ac:dyDescent="0.2">
      <c r="A1834" t="s">
        <v>765</v>
      </c>
      <c r="B1834" t="s">
        <v>766</v>
      </c>
      <c r="C1834" t="s">
        <v>767</v>
      </c>
      <c r="D1834" t="s">
        <v>744</v>
      </c>
      <c r="E1834" t="s">
        <v>4</v>
      </c>
      <c r="F1834">
        <v>56</v>
      </c>
      <c r="G1834">
        <v>272</v>
      </c>
      <c r="H1834" t="s">
        <v>13</v>
      </c>
      <c r="I1834" t="b">
        <f t="shared" si="28"/>
        <v>0</v>
      </c>
    </row>
    <row r="1835" spans="1:9" x14ac:dyDescent="0.2">
      <c r="A1835" t="s">
        <v>2920</v>
      </c>
      <c r="B1835" t="s">
        <v>2921</v>
      </c>
      <c r="C1835" t="s">
        <v>372</v>
      </c>
      <c r="D1835" t="s">
        <v>2922</v>
      </c>
      <c r="E1835" t="s">
        <v>4</v>
      </c>
      <c r="F1835">
        <v>41</v>
      </c>
      <c r="G1835">
        <v>165</v>
      </c>
      <c r="H1835" t="s">
        <v>2923</v>
      </c>
      <c r="I1835" t="b">
        <f t="shared" si="28"/>
        <v>0</v>
      </c>
    </row>
    <row r="1836" spans="1:9" x14ac:dyDescent="0.2">
      <c r="A1836" t="s">
        <v>5810</v>
      </c>
      <c r="B1836" t="s">
        <v>5811</v>
      </c>
      <c r="C1836" t="s">
        <v>5812</v>
      </c>
      <c r="D1836" t="s">
        <v>3</v>
      </c>
      <c r="E1836" t="s">
        <v>4</v>
      </c>
      <c r="F1836">
        <v>208</v>
      </c>
      <c r="G1836">
        <v>166</v>
      </c>
      <c r="H1836" t="s">
        <v>13</v>
      </c>
      <c r="I1836" t="b">
        <f t="shared" si="28"/>
        <v>0</v>
      </c>
    </row>
    <row r="1837" spans="1:9" x14ac:dyDescent="0.2">
      <c r="A1837" t="s">
        <v>5754</v>
      </c>
      <c r="B1837" t="s">
        <v>5755</v>
      </c>
      <c r="C1837" t="s">
        <v>3890</v>
      </c>
      <c r="D1837" t="s">
        <v>3</v>
      </c>
      <c r="E1837" t="s">
        <v>4</v>
      </c>
      <c r="F1837">
        <v>103</v>
      </c>
      <c r="G1837">
        <v>137</v>
      </c>
      <c r="H1837" t="s">
        <v>13</v>
      </c>
      <c r="I1837" t="b">
        <f t="shared" si="28"/>
        <v>0</v>
      </c>
    </row>
    <row r="1838" spans="1:9" x14ac:dyDescent="0.2">
      <c r="A1838" t="s">
        <v>4737</v>
      </c>
      <c r="B1838" t="s">
        <v>4738</v>
      </c>
      <c r="C1838" t="s">
        <v>526</v>
      </c>
      <c r="D1838" t="s">
        <v>4739</v>
      </c>
      <c r="E1838" t="s">
        <v>4</v>
      </c>
      <c r="F1838">
        <v>2177</v>
      </c>
      <c r="G1838">
        <v>679</v>
      </c>
      <c r="H1838" t="s">
        <v>13</v>
      </c>
      <c r="I1838" t="b">
        <f t="shared" si="28"/>
        <v>0</v>
      </c>
    </row>
    <row r="1839" spans="1:9" x14ac:dyDescent="0.2">
      <c r="A1839" t="s">
        <v>3982</v>
      </c>
      <c r="B1839" t="s">
        <v>3983</v>
      </c>
      <c r="C1839" t="s">
        <v>3984</v>
      </c>
      <c r="D1839" t="s">
        <v>3</v>
      </c>
      <c r="E1839" t="s">
        <v>4</v>
      </c>
      <c r="F1839">
        <v>160</v>
      </c>
      <c r="G1839">
        <v>540</v>
      </c>
      <c r="H1839" t="s">
        <v>13</v>
      </c>
      <c r="I1839" t="b">
        <f t="shared" si="28"/>
        <v>0</v>
      </c>
    </row>
    <row r="1840" spans="1:9" x14ac:dyDescent="0.2">
      <c r="A1840" t="s">
        <v>95</v>
      </c>
      <c r="B1840" t="s">
        <v>96</v>
      </c>
      <c r="C1840" t="s">
        <v>97</v>
      </c>
      <c r="D1840" t="s">
        <v>98</v>
      </c>
      <c r="E1840" t="s">
        <v>4</v>
      </c>
      <c r="F1840">
        <v>118</v>
      </c>
      <c r="G1840">
        <v>122</v>
      </c>
      <c r="H1840" t="s">
        <v>13</v>
      </c>
      <c r="I1840" t="b">
        <f t="shared" si="28"/>
        <v>0</v>
      </c>
    </row>
    <row r="1841" spans="1:9" x14ac:dyDescent="0.2">
      <c r="A1841" t="s">
        <v>4174</v>
      </c>
      <c r="B1841" t="s">
        <v>4175</v>
      </c>
      <c r="C1841" t="s">
        <v>472</v>
      </c>
      <c r="D1841" t="s">
        <v>2927</v>
      </c>
      <c r="E1841" t="s">
        <v>4</v>
      </c>
      <c r="F1841">
        <v>9</v>
      </c>
      <c r="G1841">
        <v>27</v>
      </c>
      <c r="H1841" t="s">
        <v>50</v>
      </c>
      <c r="I1841" t="b">
        <f t="shared" si="28"/>
        <v>0</v>
      </c>
    </row>
    <row r="1842" spans="1:9" x14ac:dyDescent="0.2">
      <c r="A1842" t="s">
        <v>1680</v>
      </c>
      <c r="B1842" t="s">
        <v>1681</v>
      </c>
      <c r="C1842" t="s">
        <v>1682</v>
      </c>
      <c r="D1842" t="s">
        <v>3</v>
      </c>
      <c r="E1842" t="s">
        <v>4</v>
      </c>
      <c r="F1842">
        <v>4</v>
      </c>
      <c r="G1842">
        <v>4</v>
      </c>
      <c r="H1842" t="s">
        <v>13</v>
      </c>
      <c r="I1842" t="b">
        <f t="shared" si="28"/>
        <v>0</v>
      </c>
    </row>
    <row r="1843" spans="1:9" x14ac:dyDescent="0.2">
      <c r="A1843" t="s">
        <v>307</v>
      </c>
      <c r="B1843" t="s">
        <v>308</v>
      </c>
      <c r="C1843" t="s">
        <v>309</v>
      </c>
      <c r="D1843" t="s">
        <v>3</v>
      </c>
      <c r="E1843" t="s">
        <v>4</v>
      </c>
      <c r="F1843">
        <v>29</v>
      </c>
      <c r="G1843">
        <v>152</v>
      </c>
      <c r="H1843" t="s">
        <v>13</v>
      </c>
      <c r="I1843" t="b">
        <f t="shared" si="28"/>
        <v>0</v>
      </c>
    </row>
    <row r="1844" spans="1:9" x14ac:dyDescent="0.2">
      <c r="A1844" t="s">
        <v>5091</v>
      </c>
      <c r="B1844" t="s">
        <v>5092</v>
      </c>
      <c r="C1844" t="s">
        <v>193</v>
      </c>
      <c r="D1844" t="s">
        <v>1255</v>
      </c>
      <c r="E1844" t="s">
        <v>4</v>
      </c>
      <c r="F1844">
        <v>45</v>
      </c>
      <c r="G1844">
        <v>37</v>
      </c>
      <c r="H1844" t="s">
        <v>13</v>
      </c>
      <c r="I1844" t="b">
        <f t="shared" si="28"/>
        <v>0</v>
      </c>
    </row>
    <row r="1845" spans="1:9" x14ac:dyDescent="0.2">
      <c r="A1845" t="s">
        <v>903</v>
      </c>
      <c r="B1845" t="s">
        <v>904</v>
      </c>
      <c r="C1845" t="s">
        <v>704</v>
      </c>
      <c r="D1845" t="s">
        <v>3</v>
      </c>
      <c r="E1845" t="s">
        <v>4</v>
      </c>
      <c r="F1845">
        <v>6</v>
      </c>
      <c r="G1845">
        <v>33</v>
      </c>
      <c r="H1845" t="s">
        <v>114</v>
      </c>
      <c r="I1845" t="b">
        <f t="shared" si="28"/>
        <v>0</v>
      </c>
    </row>
    <row r="1846" spans="1:9" x14ac:dyDescent="0.2">
      <c r="A1846" t="s">
        <v>273</v>
      </c>
      <c r="B1846" t="s">
        <v>274</v>
      </c>
      <c r="C1846" t="s">
        <v>275</v>
      </c>
      <c r="D1846" t="s">
        <v>276</v>
      </c>
      <c r="E1846" t="s">
        <v>4</v>
      </c>
      <c r="F1846">
        <v>49</v>
      </c>
      <c r="G1846">
        <v>68</v>
      </c>
      <c r="H1846" t="s">
        <v>13</v>
      </c>
      <c r="I1846" t="b">
        <f t="shared" si="28"/>
        <v>0</v>
      </c>
    </row>
    <row r="1847" spans="1:9" x14ac:dyDescent="0.2">
      <c r="A1847" t="s">
        <v>2617</v>
      </c>
      <c r="B1847" t="s">
        <v>2618</v>
      </c>
      <c r="C1847" t="s">
        <v>2604</v>
      </c>
      <c r="D1847" t="s">
        <v>2605</v>
      </c>
      <c r="E1847" t="s">
        <v>4</v>
      </c>
      <c r="F1847">
        <v>503</v>
      </c>
      <c r="G1847">
        <v>673</v>
      </c>
      <c r="H1847" t="s">
        <v>50</v>
      </c>
      <c r="I1847" t="b">
        <f t="shared" si="28"/>
        <v>0</v>
      </c>
    </row>
    <row r="1848" spans="1:9" x14ac:dyDescent="0.2">
      <c r="A1848" t="s">
        <v>5193</v>
      </c>
      <c r="B1848" t="s">
        <v>5195</v>
      </c>
      <c r="C1848" t="s">
        <v>1291</v>
      </c>
      <c r="D1848" t="s">
        <v>3</v>
      </c>
      <c r="E1848" t="s">
        <v>4</v>
      </c>
      <c r="F1848">
        <v>204</v>
      </c>
      <c r="G1848">
        <v>196</v>
      </c>
      <c r="H1848" t="s">
        <v>13</v>
      </c>
      <c r="I1848" t="b">
        <f t="shared" si="28"/>
        <v>0</v>
      </c>
    </row>
    <row r="1849" spans="1:9" x14ac:dyDescent="0.2">
      <c r="A1849" t="s">
        <v>4740</v>
      </c>
      <c r="B1849" t="s">
        <v>4741</v>
      </c>
      <c r="C1849" t="s">
        <v>450</v>
      </c>
      <c r="D1849" t="s">
        <v>3</v>
      </c>
      <c r="E1849" t="s">
        <v>4</v>
      </c>
      <c r="F1849">
        <v>451</v>
      </c>
      <c r="G1849">
        <v>260</v>
      </c>
      <c r="H1849" t="s">
        <v>13</v>
      </c>
      <c r="I1849" t="b">
        <f t="shared" si="28"/>
        <v>0</v>
      </c>
    </row>
    <row r="1850" spans="1:9" x14ac:dyDescent="0.2">
      <c r="A1850" t="s">
        <v>4992</v>
      </c>
      <c r="B1850" t="s">
        <v>4993</v>
      </c>
      <c r="C1850" t="s">
        <v>4994</v>
      </c>
      <c r="D1850" t="s">
        <v>3</v>
      </c>
      <c r="E1850" t="s">
        <v>4</v>
      </c>
      <c r="F1850">
        <v>158</v>
      </c>
      <c r="G1850">
        <v>274</v>
      </c>
      <c r="H1850" t="s">
        <v>13</v>
      </c>
      <c r="I1850" t="b">
        <f t="shared" si="28"/>
        <v>0</v>
      </c>
    </row>
    <row r="1851" spans="1:9" x14ac:dyDescent="0.2">
      <c r="A1851" t="s">
        <v>6415</v>
      </c>
      <c r="B1851" t="s">
        <v>6416</v>
      </c>
      <c r="C1851" t="s">
        <v>5224</v>
      </c>
      <c r="D1851" t="s">
        <v>3</v>
      </c>
      <c r="E1851" t="s">
        <v>4</v>
      </c>
      <c r="F1851">
        <v>49</v>
      </c>
      <c r="G1851">
        <v>610</v>
      </c>
      <c r="H1851" t="s">
        <v>13</v>
      </c>
      <c r="I1851" t="b">
        <f t="shared" si="28"/>
        <v>0</v>
      </c>
    </row>
    <row r="1852" spans="1:9" x14ac:dyDescent="0.2">
      <c r="A1852" t="s">
        <v>2069</v>
      </c>
      <c r="B1852" t="s">
        <v>2070</v>
      </c>
      <c r="C1852" t="s">
        <v>2071</v>
      </c>
      <c r="D1852" t="s">
        <v>3</v>
      </c>
      <c r="E1852" t="s">
        <v>4</v>
      </c>
      <c r="F1852">
        <v>617</v>
      </c>
      <c r="G1852">
        <v>1754</v>
      </c>
      <c r="H1852" t="s">
        <v>13</v>
      </c>
      <c r="I1852" t="b">
        <f t="shared" si="28"/>
        <v>0</v>
      </c>
    </row>
    <row r="1853" spans="1:9" x14ac:dyDescent="0.2">
      <c r="A1853" t="s">
        <v>5269</v>
      </c>
      <c r="B1853" t="s">
        <v>5270</v>
      </c>
      <c r="C1853" t="s">
        <v>2091</v>
      </c>
      <c r="D1853" t="s">
        <v>5271</v>
      </c>
      <c r="E1853" t="s">
        <v>4</v>
      </c>
      <c r="F1853">
        <v>63</v>
      </c>
      <c r="G1853">
        <v>242</v>
      </c>
      <c r="H1853" t="s">
        <v>13</v>
      </c>
      <c r="I1853" t="b">
        <f t="shared" si="28"/>
        <v>0</v>
      </c>
    </row>
    <row r="1854" spans="1:9" x14ac:dyDescent="0.2">
      <c r="A1854" t="s">
        <v>441</v>
      </c>
      <c r="B1854" t="s">
        <v>442</v>
      </c>
      <c r="C1854" t="s">
        <v>443</v>
      </c>
      <c r="D1854" t="s">
        <v>3</v>
      </c>
      <c r="E1854" t="s">
        <v>4</v>
      </c>
      <c r="F1854">
        <v>3</v>
      </c>
      <c r="G1854">
        <v>10</v>
      </c>
      <c r="H1854" t="s">
        <v>13</v>
      </c>
      <c r="I1854" t="b">
        <f t="shared" si="28"/>
        <v>0</v>
      </c>
    </row>
    <row r="1855" spans="1:9" x14ac:dyDescent="0.2">
      <c r="A1855" t="s">
        <v>6934</v>
      </c>
      <c r="B1855" t="s">
        <v>6935</v>
      </c>
      <c r="C1855" t="s">
        <v>1230</v>
      </c>
      <c r="D1855" t="s">
        <v>6936</v>
      </c>
      <c r="E1855" t="s">
        <v>4</v>
      </c>
      <c r="F1855">
        <v>485</v>
      </c>
      <c r="G1855">
        <v>1409</v>
      </c>
      <c r="H1855" t="s">
        <v>13</v>
      </c>
      <c r="I1855" t="b">
        <f t="shared" si="28"/>
        <v>0</v>
      </c>
    </row>
    <row r="1856" spans="1:9" x14ac:dyDescent="0.2">
      <c r="A1856" t="s">
        <v>1523</v>
      </c>
      <c r="B1856" t="s">
        <v>1524</v>
      </c>
      <c r="C1856" t="s">
        <v>1525</v>
      </c>
      <c r="D1856" t="s">
        <v>3</v>
      </c>
      <c r="E1856" t="s">
        <v>4</v>
      </c>
      <c r="F1856">
        <v>9642</v>
      </c>
      <c r="G1856">
        <v>27</v>
      </c>
      <c r="H1856" t="s">
        <v>13</v>
      </c>
      <c r="I1856" t="b">
        <f t="shared" si="28"/>
        <v>0</v>
      </c>
    </row>
    <row r="1857" spans="1:9" x14ac:dyDescent="0.2">
      <c r="A1857" t="s">
        <v>5650</v>
      </c>
      <c r="B1857" t="s">
        <v>5651</v>
      </c>
      <c r="C1857" t="s">
        <v>2325</v>
      </c>
      <c r="D1857" t="s">
        <v>3</v>
      </c>
      <c r="E1857" t="s">
        <v>4</v>
      </c>
      <c r="F1857">
        <v>75</v>
      </c>
      <c r="G1857">
        <v>335</v>
      </c>
      <c r="H1857" t="s">
        <v>13</v>
      </c>
      <c r="I1857" t="b">
        <f t="shared" si="28"/>
        <v>0</v>
      </c>
    </row>
    <row r="1858" spans="1:9" x14ac:dyDescent="0.2">
      <c r="A1858" t="s">
        <v>2312</v>
      </c>
      <c r="B1858" t="s">
        <v>2313</v>
      </c>
      <c r="C1858" t="s">
        <v>2314</v>
      </c>
      <c r="D1858" t="s">
        <v>2315</v>
      </c>
      <c r="E1858" t="s">
        <v>4</v>
      </c>
      <c r="F1858">
        <v>157</v>
      </c>
      <c r="G1858">
        <v>83</v>
      </c>
      <c r="H1858" t="s">
        <v>13</v>
      </c>
      <c r="I1858" t="b">
        <f t="shared" si="28"/>
        <v>0</v>
      </c>
    </row>
    <row r="1859" spans="1:9" x14ac:dyDescent="0.2">
      <c r="A1859" t="s">
        <v>787</v>
      </c>
      <c r="B1859" t="s">
        <v>788</v>
      </c>
      <c r="C1859" t="s">
        <v>293</v>
      </c>
      <c r="D1859" t="s">
        <v>3</v>
      </c>
      <c r="E1859" t="s">
        <v>4</v>
      </c>
      <c r="F1859">
        <v>3632</v>
      </c>
      <c r="G1859">
        <v>3728</v>
      </c>
      <c r="H1859" t="s">
        <v>13</v>
      </c>
      <c r="I1859" t="b">
        <f t="shared" ref="I1859:I1922" si="29">isDup(B1859, B1860, 0.7)</f>
        <v>0</v>
      </c>
    </row>
    <row r="1860" spans="1:9" x14ac:dyDescent="0.2">
      <c r="A1860" t="s">
        <v>3647</v>
      </c>
      <c r="B1860" t="s">
        <v>3648</v>
      </c>
      <c r="C1860" t="s">
        <v>3649</v>
      </c>
      <c r="D1860" t="s">
        <v>3650</v>
      </c>
      <c r="E1860" t="s">
        <v>4</v>
      </c>
      <c r="F1860">
        <v>472</v>
      </c>
      <c r="G1860">
        <v>366</v>
      </c>
      <c r="H1860" t="s">
        <v>13</v>
      </c>
      <c r="I1860" t="b">
        <f t="shared" si="29"/>
        <v>1</v>
      </c>
    </row>
    <row r="1861" spans="1:9" x14ac:dyDescent="0.2">
      <c r="A1861" t="s">
        <v>3659</v>
      </c>
      <c r="B1861" t="s">
        <v>3660</v>
      </c>
      <c r="C1861" t="s">
        <v>3649</v>
      </c>
      <c r="D1861" t="s">
        <v>3650</v>
      </c>
      <c r="E1861" t="s">
        <v>4</v>
      </c>
      <c r="F1861">
        <v>472</v>
      </c>
      <c r="G1861">
        <v>366</v>
      </c>
      <c r="H1861" t="s">
        <v>13</v>
      </c>
      <c r="I1861" t="b">
        <f t="shared" si="29"/>
        <v>0</v>
      </c>
    </row>
    <row r="1862" spans="1:9" x14ac:dyDescent="0.2">
      <c r="A1862" t="s">
        <v>6080</v>
      </c>
      <c r="B1862" t="s">
        <v>6081</v>
      </c>
      <c r="C1862" t="s">
        <v>6082</v>
      </c>
      <c r="D1862" t="s">
        <v>6083</v>
      </c>
      <c r="E1862" t="s">
        <v>4</v>
      </c>
      <c r="F1862">
        <v>6979</v>
      </c>
      <c r="G1862">
        <v>6186</v>
      </c>
      <c r="H1862" t="s">
        <v>13</v>
      </c>
      <c r="I1862" t="b">
        <f t="shared" si="29"/>
        <v>0</v>
      </c>
    </row>
    <row r="1863" spans="1:9" x14ac:dyDescent="0.2">
      <c r="A1863" t="s">
        <v>492</v>
      </c>
      <c r="B1863" t="s">
        <v>493</v>
      </c>
      <c r="C1863" t="s">
        <v>494</v>
      </c>
      <c r="D1863" t="s">
        <v>3</v>
      </c>
      <c r="E1863" t="s">
        <v>4</v>
      </c>
      <c r="F1863">
        <v>333</v>
      </c>
      <c r="G1863">
        <v>410</v>
      </c>
      <c r="H1863" t="s">
        <v>13</v>
      </c>
      <c r="I1863" t="b">
        <f t="shared" si="29"/>
        <v>0</v>
      </c>
    </row>
    <row r="1864" spans="1:9" x14ac:dyDescent="0.2">
      <c r="A1864" t="s">
        <v>4057</v>
      </c>
      <c r="B1864" t="s">
        <v>4058</v>
      </c>
      <c r="C1864" t="s">
        <v>177</v>
      </c>
      <c r="D1864" t="s">
        <v>3</v>
      </c>
      <c r="E1864" t="s">
        <v>4</v>
      </c>
      <c r="F1864">
        <v>61</v>
      </c>
      <c r="G1864">
        <v>225</v>
      </c>
      <c r="H1864" t="s">
        <v>13</v>
      </c>
      <c r="I1864" t="b">
        <f t="shared" si="29"/>
        <v>0</v>
      </c>
    </row>
    <row r="1865" spans="1:9" x14ac:dyDescent="0.2">
      <c r="A1865" t="s">
        <v>5311</v>
      </c>
      <c r="B1865" t="s">
        <v>5312</v>
      </c>
      <c r="C1865" t="s">
        <v>4876</v>
      </c>
      <c r="D1865" t="s">
        <v>4877</v>
      </c>
      <c r="E1865" t="s">
        <v>4</v>
      </c>
      <c r="F1865">
        <v>90</v>
      </c>
      <c r="G1865">
        <v>446</v>
      </c>
      <c r="H1865" t="s">
        <v>13</v>
      </c>
      <c r="I1865" t="b">
        <f t="shared" si="29"/>
        <v>0</v>
      </c>
    </row>
    <row r="1866" spans="1:9" x14ac:dyDescent="0.2">
      <c r="A1866" t="s">
        <v>284</v>
      </c>
      <c r="B1866" t="s">
        <v>285</v>
      </c>
      <c r="C1866" t="s">
        <v>286</v>
      </c>
      <c r="D1866" t="s">
        <v>3</v>
      </c>
      <c r="E1866" t="s">
        <v>4</v>
      </c>
      <c r="F1866">
        <v>413</v>
      </c>
      <c r="G1866">
        <v>557</v>
      </c>
      <c r="H1866" t="s">
        <v>13</v>
      </c>
      <c r="I1866" t="b">
        <f t="shared" si="29"/>
        <v>0</v>
      </c>
    </row>
    <row r="1867" spans="1:9" x14ac:dyDescent="0.2">
      <c r="A1867" t="s">
        <v>3067</v>
      </c>
      <c r="B1867" t="s">
        <v>3068</v>
      </c>
      <c r="C1867" t="s">
        <v>3069</v>
      </c>
      <c r="D1867" t="s">
        <v>3070</v>
      </c>
      <c r="E1867" t="s">
        <v>4</v>
      </c>
      <c r="F1867">
        <v>245</v>
      </c>
      <c r="G1867">
        <v>494</v>
      </c>
      <c r="H1867" t="s">
        <v>13</v>
      </c>
      <c r="I1867" t="b">
        <f t="shared" si="29"/>
        <v>0</v>
      </c>
    </row>
    <row r="1868" spans="1:9" x14ac:dyDescent="0.2">
      <c r="A1868" t="s">
        <v>6171</v>
      </c>
      <c r="B1868" t="s">
        <v>6172</v>
      </c>
      <c r="C1868" t="s">
        <v>1291</v>
      </c>
      <c r="D1868" t="s">
        <v>4663</v>
      </c>
      <c r="E1868" t="s">
        <v>4</v>
      </c>
      <c r="F1868">
        <v>24</v>
      </c>
      <c r="G1868">
        <v>164</v>
      </c>
      <c r="H1868" t="s">
        <v>13</v>
      </c>
      <c r="I1868" t="b">
        <f t="shared" si="29"/>
        <v>0</v>
      </c>
    </row>
    <row r="1869" spans="1:9" x14ac:dyDescent="0.2">
      <c r="A1869" t="s">
        <v>3284</v>
      </c>
      <c r="B1869" t="s">
        <v>3285</v>
      </c>
      <c r="C1869" t="s">
        <v>3286</v>
      </c>
      <c r="D1869" t="s">
        <v>3287</v>
      </c>
      <c r="E1869" t="s">
        <v>4</v>
      </c>
      <c r="F1869">
        <v>1977</v>
      </c>
      <c r="G1869">
        <v>964</v>
      </c>
      <c r="H1869" t="s">
        <v>13</v>
      </c>
      <c r="I1869" t="b">
        <f t="shared" si="29"/>
        <v>0</v>
      </c>
    </row>
    <row r="1870" spans="1:9" x14ac:dyDescent="0.2">
      <c r="A1870" t="s">
        <v>1650</v>
      </c>
      <c r="B1870" t="s">
        <v>1651</v>
      </c>
      <c r="C1870" t="s">
        <v>1652</v>
      </c>
      <c r="D1870" t="s">
        <v>1653</v>
      </c>
      <c r="E1870" t="s">
        <v>4</v>
      </c>
      <c r="F1870">
        <v>2697</v>
      </c>
      <c r="G1870">
        <v>1249</v>
      </c>
      <c r="H1870" t="s">
        <v>13</v>
      </c>
      <c r="I1870" t="b">
        <f t="shared" si="29"/>
        <v>0</v>
      </c>
    </row>
    <row r="1871" spans="1:9" x14ac:dyDescent="0.2">
      <c r="A1871" t="s">
        <v>2795</v>
      </c>
      <c r="B1871" t="s">
        <v>2796</v>
      </c>
      <c r="C1871" t="s">
        <v>1103</v>
      </c>
      <c r="D1871" t="s">
        <v>3</v>
      </c>
      <c r="E1871" t="s">
        <v>4</v>
      </c>
      <c r="F1871">
        <v>1</v>
      </c>
      <c r="G1871">
        <v>0</v>
      </c>
      <c r="H1871" t="s">
        <v>13</v>
      </c>
      <c r="I1871" t="b">
        <f t="shared" si="29"/>
        <v>0</v>
      </c>
    </row>
    <row r="1872" spans="1:9" x14ac:dyDescent="0.2">
      <c r="A1872" t="s">
        <v>6410</v>
      </c>
      <c r="B1872" t="s">
        <v>6411</v>
      </c>
      <c r="C1872" t="s">
        <v>1086</v>
      </c>
      <c r="D1872" t="s">
        <v>1255</v>
      </c>
      <c r="E1872" t="s">
        <v>4</v>
      </c>
      <c r="F1872">
        <v>195</v>
      </c>
      <c r="G1872">
        <v>173</v>
      </c>
      <c r="H1872" t="s">
        <v>13</v>
      </c>
      <c r="I1872" t="b">
        <f t="shared" si="29"/>
        <v>0</v>
      </c>
    </row>
    <row r="1873" spans="1:9" x14ac:dyDescent="0.2">
      <c r="A1873" t="s">
        <v>3686</v>
      </c>
      <c r="B1873" t="s">
        <v>3687</v>
      </c>
      <c r="C1873" t="s">
        <v>1842</v>
      </c>
      <c r="D1873" t="s">
        <v>2171</v>
      </c>
      <c r="E1873" t="s">
        <v>4</v>
      </c>
      <c r="F1873">
        <v>36</v>
      </c>
      <c r="G1873">
        <v>175</v>
      </c>
      <c r="H1873" t="s">
        <v>13</v>
      </c>
      <c r="I1873" t="b">
        <f t="shared" si="29"/>
        <v>0</v>
      </c>
    </row>
    <row r="1874" spans="1:9" x14ac:dyDescent="0.2">
      <c r="A1874" t="s">
        <v>937</v>
      </c>
      <c r="B1874" t="s">
        <v>938</v>
      </c>
      <c r="C1874" t="s">
        <v>939</v>
      </c>
      <c r="D1874" t="s">
        <v>491</v>
      </c>
      <c r="E1874" t="s">
        <v>4</v>
      </c>
      <c r="F1874">
        <v>150</v>
      </c>
      <c r="G1874">
        <v>367</v>
      </c>
      <c r="H1874" t="s">
        <v>13</v>
      </c>
      <c r="I1874" t="b">
        <f t="shared" si="29"/>
        <v>0</v>
      </c>
    </row>
    <row r="1875" spans="1:9" x14ac:dyDescent="0.2">
      <c r="A1875" t="s">
        <v>6676</v>
      </c>
      <c r="B1875" t="s">
        <v>6677</v>
      </c>
      <c r="C1875" t="s">
        <v>6678</v>
      </c>
      <c r="D1875" t="s">
        <v>6679</v>
      </c>
      <c r="E1875" t="s">
        <v>4</v>
      </c>
      <c r="F1875">
        <v>22</v>
      </c>
      <c r="G1875">
        <v>109</v>
      </c>
      <c r="H1875" t="s">
        <v>86</v>
      </c>
      <c r="I1875" t="b">
        <f t="shared" si="29"/>
        <v>0</v>
      </c>
    </row>
    <row r="1876" spans="1:9" x14ac:dyDescent="0.2">
      <c r="A1876" t="s">
        <v>1882</v>
      </c>
      <c r="B1876" t="s">
        <v>1883</v>
      </c>
      <c r="C1876" t="s">
        <v>1884</v>
      </c>
      <c r="D1876" t="s">
        <v>928</v>
      </c>
      <c r="E1876" t="s">
        <v>4</v>
      </c>
      <c r="F1876">
        <v>511</v>
      </c>
      <c r="G1876">
        <v>1334</v>
      </c>
      <c r="H1876" t="s">
        <v>86</v>
      </c>
      <c r="I1876" t="b">
        <f t="shared" si="29"/>
        <v>0</v>
      </c>
    </row>
    <row r="1877" spans="1:9" x14ac:dyDescent="0.2">
      <c r="A1877" t="s">
        <v>2895</v>
      </c>
      <c r="B1877" t="s">
        <v>2896</v>
      </c>
      <c r="C1877" t="s">
        <v>2897</v>
      </c>
      <c r="D1877" t="s">
        <v>3</v>
      </c>
      <c r="E1877" t="s">
        <v>4</v>
      </c>
      <c r="F1877">
        <v>180</v>
      </c>
      <c r="G1877">
        <v>844</v>
      </c>
      <c r="H1877" t="s">
        <v>13</v>
      </c>
      <c r="I1877" t="b">
        <f t="shared" si="29"/>
        <v>0</v>
      </c>
    </row>
    <row r="1878" spans="1:9" x14ac:dyDescent="0.2">
      <c r="A1878" t="s">
        <v>1043</v>
      </c>
      <c r="B1878" t="s">
        <v>1044</v>
      </c>
      <c r="C1878" t="s">
        <v>323</v>
      </c>
      <c r="D1878" t="s">
        <v>1045</v>
      </c>
      <c r="E1878" t="s">
        <v>4</v>
      </c>
      <c r="F1878">
        <v>2638</v>
      </c>
      <c r="G1878">
        <v>428</v>
      </c>
      <c r="H1878" t="s">
        <v>13</v>
      </c>
      <c r="I1878" t="b">
        <f t="shared" si="29"/>
        <v>1</v>
      </c>
    </row>
    <row r="1879" spans="1:9" x14ac:dyDescent="0.2">
      <c r="A1879" t="s">
        <v>6756</v>
      </c>
      <c r="B1879" t="s">
        <v>6757</v>
      </c>
      <c r="C1879" t="s">
        <v>1402</v>
      </c>
      <c r="D1879" t="s">
        <v>64</v>
      </c>
      <c r="E1879" t="s">
        <v>4</v>
      </c>
      <c r="F1879">
        <v>1078</v>
      </c>
      <c r="G1879">
        <v>93</v>
      </c>
      <c r="H1879" t="s">
        <v>13</v>
      </c>
      <c r="I1879" t="b">
        <f t="shared" si="29"/>
        <v>0</v>
      </c>
    </row>
    <row r="1880" spans="1:9" x14ac:dyDescent="0.2">
      <c r="A1880" t="s">
        <v>5647</v>
      </c>
      <c r="B1880" t="s">
        <v>5648</v>
      </c>
      <c r="C1880" t="s">
        <v>5649</v>
      </c>
      <c r="D1880" t="s">
        <v>3</v>
      </c>
      <c r="E1880" t="s">
        <v>4</v>
      </c>
      <c r="F1880">
        <v>281</v>
      </c>
      <c r="G1880">
        <v>414</v>
      </c>
      <c r="H1880" t="s">
        <v>13</v>
      </c>
      <c r="I1880" t="b">
        <f t="shared" si="29"/>
        <v>0</v>
      </c>
    </row>
    <row r="1881" spans="1:9" x14ac:dyDescent="0.2">
      <c r="A1881" t="s">
        <v>6547</v>
      </c>
      <c r="B1881" t="s">
        <v>6548</v>
      </c>
      <c r="C1881" t="s">
        <v>786</v>
      </c>
      <c r="D1881" t="s">
        <v>3</v>
      </c>
      <c r="E1881" t="s">
        <v>4</v>
      </c>
      <c r="F1881">
        <v>298</v>
      </c>
      <c r="G1881">
        <v>262</v>
      </c>
      <c r="H1881" t="s">
        <v>13</v>
      </c>
      <c r="I1881" t="b">
        <f t="shared" si="29"/>
        <v>0</v>
      </c>
    </row>
    <row r="1882" spans="1:9" x14ac:dyDescent="0.2">
      <c r="A1882" t="s">
        <v>5544</v>
      </c>
      <c r="B1882" t="s">
        <v>5545</v>
      </c>
      <c r="C1882" t="s">
        <v>97</v>
      </c>
      <c r="D1882" t="s">
        <v>3</v>
      </c>
      <c r="E1882" t="s">
        <v>4</v>
      </c>
      <c r="F1882">
        <v>12423</v>
      </c>
      <c r="G1882">
        <v>537</v>
      </c>
      <c r="H1882" t="s">
        <v>13</v>
      </c>
      <c r="I1882" t="b">
        <f t="shared" si="29"/>
        <v>0</v>
      </c>
    </row>
    <row r="1883" spans="1:9" x14ac:dyDescent="0.2">
      <c r="A1883" t="s">
        <v>2528</v>
      </c>
      <c r="B1883" t="s">
        <v>2529</v>
      </c>
      <c r="C1883" t="s">
        <v>2530</v>
      </c>
      <c r="D1883" t="s">
        <v>2531</v>
      </c>
      <c r="E1883" t="s">
        <v>4</v>
      </c>
      <c r="F1883">
        <v>10</v>
      </c>
      <c r="G1883">
        <v>57</v>
      </c>
      <c r="H1883" t="s">
        <v>266</v>
      </c>
      <c r="I1883" t="b">
        <f t="shared" si="29"/>
        <v>0</v>
      </c>
    </row>
    <row r="1884" spans="1:9" x14ac:dyDescent="0.2">
      <c r="A1884" t="s">
        <v>3379</v>
      </c>
      <c r="B1884" t="s">
        <v>3380</v>
      </c>
      <c r="C1884" t="s">
        <v>3381</v>
      </c>
      <c r="D1884" t="s">
        <v>3</v>
      </c>
      <c r="E1884" t="s">
        <v>4</v>
      </c>
      <c r="F1884">
        <v>138</v>
      </c>
      <c r="G1884">
        <v>150</v>
      </c>
      <c r="H1884" t="s">
        <v>13</v>
      </c>
      <c r="I1884" t="b">
        <f t="shared" si="29"/>
        <v>0</v>
      </c>
    </row>
    <row r="1885" spans="1:9" x14ac:dyDescent="0.2">
      <c r="A1885" t="s">
        <v>1843</v>
      </c>
      <c r="B1885" t="s">
        <v>1844</v>
      </c>
      <c r="C1885" t="s">
        <v>1174</v>
      </c>
      <c r="D1885" t="s">
        <v>1845</v>
      </c>
      <c r="E1885" t="s">
        <v>4</v>
      </c>
      <c r="F1885">
        <v>7630</v>
      </c>
      <c r="G1885">
        <v>933</v>
      </c>
      <c r="H1885" t="s">
        <v>13</v>
      </c>
      <c r="I1885" t="b">
        <f t="shared" si="29"/>
        <v>0</v>
      </c>
    </row>
    <row r="1886" spans="1:9" x14ac:dyDescent="0.2">
      <c r="A1886" t="s">
        <v>5907</v>
      </c>
      <c r="B1886" t="s">
        <v>5908</v>
      </c>
      <c r="C1886" t="s">
        <v>4363</v>
      </c>
      <c r="D1886" t="s">
        <v>5909</v>
      </c>
      <c r="E1886" t="s">
        <v>4</v>
      </c>
      <c r="F1886">
        <v>416</v>
      </c>
      <c r="G1886">
        <v>778</v>
      </c>
      <c r="H1886" t="s">
        <v>13</v>
      </c>
      <c r="I1886" t="b">
        <f t="shared" si="29"/>
        <v>0</v>
      </c>
    </row>
    <row r="1887" spans="1:9" x14ac:dyDescent="0.2">
      <c r="A1887" t="s">
        <v>334</v>
      </c>
      <c r="B1887" t="s">
        <v>335</v>
      </c>
      <c r="C1887" t="s">
        <v>336</v>
      </c>
      <c r="D1887" t="s">
        <v>337</v>
      </c>
      <c r="E1887" t="s">
        <v>4</v>
      </c>
      <c r="F1887">
        <v>824</v>
      </c>
      <c r="G1887">
        <v>660</v>
      </c>
      <c r="H1887" t="s">
        <v>13</v>
      </c>
      <c r="I1887" t="b">
        <f t="shared" si="29"/>
        <v>0</v>
      </c>
    </row>
    <row r="1888" spans="1:9" x14ac:dyDescent="0.2">
      <c r="A1888" t="s">
        <v>2320</v>
      </c>
      <c r="B1888" t="s">
        <v>2321</v>
      </c>
      <c r="C1888" t="s">
        <v>2322</v>
      </c>
      <c r="D1888" t="s">
        <v>3</v>
      </c>
      <c r="E1888" t="s">
        <v>4</v>
      </c>
      <c r="F1888">
        <v>392</v>
      </c>
      <c r="G1888">
        <v>494</v>
      </c>
      <c r="H1888" t="s">
        <v>13</v>
      </c>
      <c r="I1888" t="b">
        <f t="shared" si="29"/>
        <v>0</v>
      </c>
    </row>
    <row r="1889" spans="1:9" x14ac:dyDescent="0.2">
      <c r="A1889" t="s">
        <v>2338</v>
      </c>
      <c r="B1889" t="s">
        <v>2339</v>
      </c>
      <c r="C1889" t="s">
        <v>2340</v>
      </c>
      <c r="D1889" t="s">
        <v>566</v>
      </c>
      <c r="E1889" t="s">
        <v>4</v>
      </c>
      <c r="F1889">
        <v>1883</v>
      </c>
      <c r="G1889">
        <v>4861</v>
      </c>
      <c r="H1889" t="s">
        <v>13</v>
      </c>
      <c r="I1889" t="b">
        <f t="shared" si="29"/>
        <v>0</v>
      </c>
    </row>
    <row r="1890" spans="1:9" x14ac:dyDescent="0.2">
      <c r="A1890" t="s">
        <v>1160</v>
      </c>
      <c r="B1890" t="s">
        <v>1161</v>
      </c>
      <c r="C1890" t="s">
        <v>1162</v>
      </c>
      <c r="D1890" t="s">
        <v>1163</v>
      </c>
      <c r="E1890" t="s">
        <v>4</v>
      </c>
      <c r="F1890">
        <v>142</v>
      </c>
      <c r="G1890">
        <v>137</v>
      </c>
      <c r="H1890" t="s">
        <v>13</v>
      </c>
      <c r="I1890" t="b">
        <f t="shared" si="29"/>
        <v>1</v>
      </c>
    </row>
    <row r="1891" spans="1:9" x14ac:dyDescent="0.2">
      <c r="A1891" t="s">
        <v>1184</v>
      </c>
      <c r="B1891" t="s">
        <v>1185</v>
      </c>
      <c r="C1891" t="s">
        <v>1162</v>
      </c>
      <c r="D1891" t="s">
        <v>1163</v>
      </c>
      <c r="E1891" t="s">
        <v>4</v>
      </c>
      <c r="F1891">
        <v>142</v>
      </c>
      <c r="G1891">
        <v>137</v>
      </c>
      <c r="H1891" t="s">
        <v>13</v>
      </c>
      <c r="I1891" t="b">
        <f t="shared" si="29"/>
        <v>0</v>
      </c>
    </row>
    <row r="1892" spans="1:9" x14ac:dyDescent="0.2">
      <c r="A1892" t="s">
        <v>1603</v>
      </c>
      <c r="B1892" t="s">
        <v>1604</v>
      </c>
      <c r="C1892" t="s">
        <v>568</v>
      </c>
      <c r="D1892" t="s">
        <v>113</v>
      </c>
      <c r="E1892" t="s">
        <v>4</v>
      </c>
      <c r="F1892">
        <v>361</v>
      </c>
      <c r="G1892">
        <v>1799</v>
      </c>
      <c r="H1892" t="s">
        <v>13</v>
      </c>
      <c r="I1892" t="b">
        <f t="shared" si="29"/>
        <v>0</v>
      </c>
    </row>
    <row r="1893" spans="1:9" x14ac:dyDescent="0.2">
      <c r="A1893" t="s">
        <v>131</v>
      </c>
      <c r="B1893" t="s">
        <v>132</v>
      </c>
      <c r="C1893" t="s">
        <v>133</v>
      </c>
      <c r="D1893" t="s">
        <v>134</v>
      </c>
      <c r="E1893" t="s">
        <v>4</v>
      </c>
      <c r="F1893">
        <v>1230</v>
      </c>
      <c r="G1893">
        <v>140</v>
      </c>
      <c r="H1893" t="s">
        <v>13</v>
      </c>
      <c r="I1893" t="b">
        <f t="shared" si="29"/>
        <v>0</v>
      </c>
    </row>
    <row r="1894" spans="1:9" x14ac:dyDescent="0.2">
      <c r="A1894" t="s">
        <v>929</v>
      </c>
      <c r="B1894" t="s">
        <v>930</v>
      </c>
      <c r="C1894" t="s">
        <v>931</v>
      </c>
      <c r="D1894" t="s">
        <v>932</v>
      </c>
      <c r="E1894" t="s">
        <v>4</v>
      </c>
      <c r="F1894">
        <v>101</v>
      </c>
      <c r="G1894">
        <v>295</v>
      </c>
      <c r="H1894" t="s">
        <v>13</v>
      </c>
      <c r="I1894" t="b">
        <f t="shared" si="29"/>
        <v>0</v>
      </c>
    </row>
    <row r="1895" spans="1:9" x14ac:dyDescent="0.2">
      <c r="A1895" t="s">
        <v>5572</v>
      </c>
      <c r="B1895" t="s">
        <v>5573</v>
      </c>
      <c r="C1895" t="s">
        <v>4003</v>
      </c>
      <c r="D1895" t="s">
        <v>1772</v>
      </c>
      <c r="E1895" t="s">
        <v>4</v>
      </c>
      <c r="F1895">
        <v>97</v>
      </c>
      <c r="G1895">
        <v>183</v>
      </c>
      <c r="H1895" t="s">
        <v>13</v>
      </c>
      <c r="I1895" t="b">
        <f t="shared" si="29"/>
        <v>0</v>
      </c>
    </row>
    <row r="1896" spans="1:9" x14ac:dyDescent="0.2">
      <c r="A1896" t="s">
        <v>1164</v>
      </c>
      <c r="B1896" t="s">
        <v>1165</v>
      </c>
      <c r="C1896" t="s">
        <v>1166</v>
      </c>
      <c r="D1896" t="s">
        <v>1167</v>
      </c>
      <c r="E1896" t="s">
        <v>4</v>
      </c>
      <c r="F1896">
        <v>187</v>
      </c>
      <c r="G1896">
        <v>98</v>
      </c>
      <c r="H1896" t="s">
        <v>86</v>
      </c>
      <c r="I1896" t="b">
        <f t="shared" si="29"/>
        <v>0</v>
      </c>
    </row>
    <row r="1897" spans="1:9" x14ac:dyDescent="0.2">
      <c r="A1897" t="s">
        <v>6825</v>
      </c>
      <c r="B1897" t="s">
        <v>6826</v>
      </c>
      <c r="C1897" t="s">
        <v>2155</v>
      </c>
      <c r="D1897" t="s">
        <v>122</v>
      </c>
      <c r="E1897" t="s">
        <v>4</v>
      </c>
      <c r="F1897">
        <v>4696</v>
      </c>
      <c r="G1897">
        <v>2751</v>
      </c>
      <c r="H1897" t="s">
        <v>13</v>
      </c>
      <c r="I1897" t="b">
        <f t="shared" si="29"/>
        <v>0</v>
      </c>
    </row>
    <row r="1898" spans="1:9" x14ac:dyDescent="0.2">
      <c r="A1898" t="s">
        <v>2136</v>
      </c>
      <c r="B1898" t="s">
        <v>2137</v>
      </c>
      <c r="C1898" t="s">
        <v>2138</v>
      </c>
      <c r="D1898" t="s">
        <v>2139</v>
      </c>
      <c r="E1898" t="s">
        <v>4</v>
      </c>
      <c r="F1898">
        <v>19</v>
      </c>
      <c r="G1898">
        <v>70</v>
      </c>
      <c r="H1898" t="s">
        <v>13</v>
      </c>
      <c r="I1898" t="b">
        <f t="shared" si="29"/>
        <v>0</v>
      </c>
    </row>
    <row r="1899" spans="1:9" x14ac:dyDescent="0.2">
      <c r="A1899" t="s">
        <v>5357</v>
      </c>
      <c r="B1899" t="s">
        <v>5358</v>
      </c>
      <c r="C1899" t="s">
        <v>472</v>
      </c>
      <c r="D1899" t="s">
        <v>473</v>
      </c>
      <c r="E1899" t="s">
        <v>4</v>
      </c>
      <c r="F1899">
        <v>366</v>
      </c>
      <c r="G1899">
        <v>225</v>
      </c>
      <c r="H1899" t="s">
        <v>13</v>
      </c>
      <c r="I1899" t="b">
        <f t="shared" si="29"/>
        <v>1</v>
      </c>
    </row>
    <row r="1900" spans="1:9" x14ac:dyDescent="0.2">
      <c r="A1900" t="s">
        <v>4725</v>
      </c>
      <c r="B1900" t="s">
        <v>4726</v>
      </c>
      <c r="C1900" t="s">
        <v>472</v>
      </c>
      <c r="D1900" t="s">
        <v>473</v>
      </c>
      <c r="E1900" t="s">
        <v>4</v>
      </c>
      <c r="F1900">
        <v>366</v>
      </c>
      <c r="G1900">
        <v>225</v>
      </c>
      <c r="H1900" t="s">
        <v>13</v>
      </c>
      <c r="I1900" t="b">
        <f t="shared" si="29"/>
        <v>1</v>
      </c>
    </row>
    <row r="1901" spans="1:9" x14ac:dyDescent="0.2">
      <c r="A1901" t="s">
        <v>6788</v>
      </c>
      <c r="B1901" t="s">
        <v>6789</v>
      </c>
      <c r="C1901" t="s">
        <v>472</v>
      </c>
      <c r="D1901" t="s">
        <v>473</v>
      </c>
      <c r="E1901" t="s">
        <v>4</v>
      </c>
      <c r="F1901">
        <v>366</v>
      </c>
      <c r="G1901">
        <v>225</v>
      </c>
      <c r="H1901" t="s">
        <v>13</v>
      </c>
      <c r="I1901" t="b">
        <f t="shared" si="29"/>
        <v>1</v>
      </c>
    </row>
    <row r="1902" spans="1:9" x14ac:dyDescent="0.2">
      <c r="A1902" t="s">
        <v>470</v>
      </c>
      <c r="B1902" t="s">
        <v>471</v>
      </c>
      <c r="C1902" t="s">
        <v>472</v>
      </c>
      <c r="D1902" t="s">
        <v>473</v>
      </c>
      <c r="E1902" t="s">
        <v>4</v>
      </c>
      <c r="F1902">
        <v>366</v>
      </c>
      <c r="G1902">
        <v>225</v>
      </c>
      <c r="H1902" t="s">
        <v>13</v>
      </c>
      <c r="I1902" t="b">
        <f t="shared" si="29"/>
        <v>1</v>
      </c>
    </row>
    <row r="1903" spans="1:9" x14ac:dyDescent="0.2">
      <c r="A1903" t="s">
        <v>1775</v>
      </c>
      <c r="B1903" t="s">
        <v>1776</v>
      </c>
      <c r="C1903" t="s">
        <v>472</v>
      </c>
      <c r="D1903" t="s">
        <v>473</v>
      </c>
      <c r="E1903" t="s">
        <v>4</v>
      </c>
      <c r="F1903">
        <v>366</v>
      </c>
      <c r="G1903">
        <v>225</v>
      </c>
      <c r="H1903" t="s">
        <v>13</v>
      </c>
      <c r="I1903" t="b">
        <f t="shared" si="29"/>
        <v>1</v>
      </c>
    </row>
    <row r="1904" spans="1:9" x14ac:dyDescent="0.2">
      <c r="A1904" t="s">
        <v>3964</v>
      </c>
      <c r="B1904" t="s">
        <v>3965</v>
      </c>
      <c r="C1904" t="s">
        <v>472</v>
      </c>
      <c r="D1904" t="s">
        <v>473</v>
      </c>
      <c r="E1904" t="s">
        <v>4</v>
      </c>
      <c r="F1904">
        <v>365</v>
      </c>
      <c r="G1904">
        <v>225</v>
      </c>
      <c r="H1904" t="s">
        <v>13</v>
      </c>
      <c r="I1904" t="b">
        <f t="shared" si="29"/>
        <v>1</v>
      </c>
    </row>
    <row r="1905" spans="1:9" x14ac:dyDescent="0.2">
      <c r="A1905" t="s">
        <v>2523</v>
      </c>
      <c r="B1905" t="s">
        <v>2524</v>
      </c>
      <c r="C1905" t="s">
        <v>472</v>
      </c>
      <c r="D1905" t="s">
        <v>473</v>
      </c>
      <c r="E1905" t="s">
        <v>4</v>
      </c>
      <c r="F1905">
        <v>366</v>
      </c>
      <c r="G1905">
        <v>225</v>
      </c>
      <c r="H1905" t="s">
        <v>13</v>
      </c>
      <c r="I1905" t="b">
        <f t="shared" si="29"/>
        <v>1</v>
      </c>
    </row>
    <row r="1906" spans="1:9" x14ac:dyDescent="0.2">
      <c r="A1906" t="s">
        <v>6026</v>
      </c>
      <c r="B1906" t="s">
        <v>6027</v>
      </c>
      <c r="C1906" t="s">
        <v>472</v>
      </c>
      <c r="D1906" t="s">
        <v>473</v>
      </c>
      <c r="E1906" t="s">
        <v>4</v>
      </c>
      <c r="F1906">
        <v>366</v>
      </c>
      <c r="G1906">
        <v>225</v>
      </c>
      <c r="H1906" t="s">
        <v>13</v>
      </c>
      <c r="I1906" t="b">
        <f t="shared" si="29"/>
        <v>1</v>
      </c>
    </row>
    <row r="1907" spans="1:9" x14ac:dyDescent="0.2">
      <c r="A1907" t="s">
        <v>1073</v>
      </c>
      <c r="B1907" t="s">
        <v>1074</v>
      </c>
      <c r="C1907" t="s">
        <v>472</v>
      </c>
      <c r="D1907" t="s">
        <v>473</v>
      </c>
      <c r="E1907" t="s">
        <v>4</v>
      </c>
      <c r="F1907">
        <v>366</v>
      </c>
      <c r="G1907">
        <v>225</v>
      </c>
      <c r="H1907" t="s">
        <v>13</v>
      </c>
      <c r="I1907" t="b">
        <f t="shared" si="29"/>
        <v>1</v>
      </c>
    </row>
    <row r="1908" spans="1:9" x14ac:dyDescent="0.2">
      <c r="A1908" t="s">
        <v>3267</v>
      </c>
      <c r="B1908" t="s">
        <v>3268</v>
      </c>
      <c r="C1908" t="s">
        <v>472</v>
      </c>
      <c r="D1908" t="s">
        <v>473</v>
      </c>
      <c r="E1908" t="s">
        <v>4</v>
      </c>
      <c r="F1908">
        <v>366</v>
      </c>
      <c r="G1908">
        <v>225</v>
      </c>
      <c r="H1908" t="s">
        <v>13</v>
      </c>
      <c r="I1908" t="b">
        <f t="shared" si="29"/>
        <v>0</v>
      </c>
    </row>
    <row r="1909" spans="1:9" x14ac:dyDescent="0.2">
      <c r="A1909" t="s">
        <v>5243</v>
      </c>
      <c r="B1909" t="s">
        <v>5244</v>
      </c>
      <c r="C1909" t="s">
        <v>5245</v>
      </c>
      <c r="D1909" t="s">
        <v>3</v>
      </c>
      <c r="E1909" t="s">
        <v>4</v>
      </c>
      <c r="F1909">
        <v>101</v>
      </c>
      <c r="G1909">
        <v>367</v>
      </c>
      <c r="H1909" t="s">
        <v>13</v>
      </c>
      <c r="I1909" t="b">
        <f t="shared" si="29"/>
        <v>0</v>
      </c>
    </row>
    <row r="1910" spans="1:9" x14ac:dyDescent="0.2">
      <c r="A1910" t="s">
        <v>1677</v>
      </c>
      <c r="B1910" t="s">
        <v>1678</v>
      </c>
      <c r="C1910" t="s">
        <v>1679</v>
      </c>
      <c r="D1910" t="s">
        <v>3</v>
      </c>
      <c r="E1910" t="s">
        <v>4</v>
      </c>
      <c r="F1910">
        <v>231</v>
      </c>
      <c r="G1910">
        <v>453</v>
      </c>
      <c r="H1910" t="s">
        <v>13</v>
      </c>
      <c r="I1910" t="b">
        <f t="shared" si="29"/>
        <v>0</v>
      </c>
    </row>
    <row r="1911" spans="1:9" x14ac:dyDescent="0.2">
      <c r="A1911" t="s">
        <v>7238</v>
      </c>
      <c r="B1911" t="s">
        <v>7239</v>
      </c>
      <c r="C1911" t="s">
        <v>7240</v>
      </c>
      <c r="D1911" t="s">
        <v>5919</v>
      </c>
      <c r="E1911" t="s">
        <v>4</v>
      </c>
      <c r="F1911">
        <v>567</v>
      </c>
      <c r="G1911">
        <v>746</v>
      </c>
      <c r="H1911" t="s">
        <v>13</v>
      </c>
      <c r="I1911" t="b">
        <f t="shared" si="29"/>
        <v>0</v>
      </c>
    </row>
    <row r="1912" spans="1:9" x14ac:dyDescent="0.2">
      <c r="A1912" t="s">
        <v>4208</v>
      </c>
      <c r="B1912" t="s">
        <v>4209</v>
      </c>
      <c r="C1912" t="s">
        <v>2611</v>
      </c>
      <c r="D1912" t="s">
        <v>3</v>
      </c>
      <c r="E1912" t="s">
        <v>4</v>
      </c>
      <c r="F1912">
        <v>9721</v>
      </c>
      <c r="G1912">
        <v>45</v>
      </c>
      <c r="H1912" t="s">
        <v>13</v>
      </c>
      <c r="I1912" t="b">
        <f t="shared" si="29"/>
        <v>0</v>
      </c>
    </row>
    <row r="1913" spans="1:9" x14ac:dyDescent="0.2">
      <c r="A1913" t="s">
        <v>437</v>
      </c>
      <c r="B1913" t="s">
        <v>438</v>
      </c>
      <c r="C1913" t="s">
        <v>439</v>
      </c>
      <c r="D1913" t="s">
        <v>440</v>
      </c>
      <c r="E1913" t="s">
        <v>4</v>
      </c>
      <c r="F1913">
        <v>1268</v>
      </c>
      <c r="G1913">
        <v>375</v>
      </c>
      <c r="H1913" t="s">
        <v>13</v>
      </c>
      <c r="I1913" t="b">
        <f t="shared" si="29"/>
        <v>0</v>
      </c>
    </row>
    <row r="1914" spans="1:9" x14ac:dyDescent="0.2">
      <c r="A1914" t="s">
        <v>2488</v>
      </c>
      <c r="B1914" t="s">
        <v>2489</v>
      </c>
      <c r="C1914" t="s">
        <v>2490</v>
      </c>
      <c r="D1914" t="s">
        <v>2491</v>
      </c>
      <c r="E1914" t="s">
        <v>4</v>
      </c>
      <c r="F1914">
        <v>162</v>
      </c>
      <c r="G1914">
        <v>418</v>
      </c>
      <c r="H1914" t="s">
        <v>13</v>
      </c>
      <c r="I1914" t="b">
        <f t="shared" si="29"/>
        <v>0</v>
      </c>
    </row>
    <row r="1915" spans="1:9" x14ac:dyDescent="0.2">
      <c r="A1915" t="s">
        <v>4878</v>
      </c>
      <c r="B1915" t="s">
        <v>4879</v>
      </c>
      <c r="C1915" t="s">
        <v>4880</v>
      </c>
      <c r="D1915" t="s">
        <v>4881</v>
      </c>
      <c r="E1915" t="s">
        <v>4</v>
      </c>
      <c r="F1915">
        <v>928</v>
      </c>
      <c r="G1915">
        <v>437</v>
      </c>
      <c r="H1915" t="s">
        <v>13</v>
      </c>
      <c r="I1915" t="b">
        <f t="shared" si="29"/>
        <v>0</v>
      </c>
    </row>
    <row r="1916" spans="1:9" x14ac:dyDescent="0.2">
      <c r="A1916" t="s">
        <v>6733</v>
      </c>
      <c r="B1916" t="s">
        <v>6734</v>
      </c>
      <c r="C1916" t="s">
        <v>585</v>
      </c>
      <c r="D1916" t="s">
        <v>3</v>
      </c>
      <c r="E1916" t="s">
        <v>4</v>
      </c>
      <c r="F1916">
        <v>2545</v>
      </c>
      <c r="G1916">
        <v>984</v>
      </c>
      <c r="H1916" t="s">
        <v>13</v>
      </c>
      <c r="I1916" t="b">
        <f t="shared" si="29"/>
        <v>0</v>
      </c>
    </row>
    <row r="1917" spans="1:9" x14ac:dyDescent="0.2">
      <c r="A1917" t="s">
        <v>4220</v>
      </c>
      <c r="B1917" t="s">
        <v>4221</v>
      </c>
      <c r="C1917" t="s">
        <v>4222</v>
      </c>
      <c r="D1917" t="s">
        <v>3</v>
      </c>
      <c r="E1917" t="s">
        <v>4</v>
      </c>
      <c r="F1917">
        <v>263</v>
      </c>
      <c r="G1917">
        <v>731</v>
      </c>
      <c r="H1917" t="s">
        <v>13</v>
      </c>
      <c r="I1917" t="b">
        <f t="shared" si="29"/>
        <v>0</v>
      </c>
    </row>
    <row r="1918" spans="1:9" x14ac:dyDescent="0.2">
      <c r="A1918" t="s">
        <v>5670</v>
      </c>
      <c r="B1918" t="s">
        <v>5671</v>
      </c>
      <c r="C1918" t="s">
        <v>648</v>
      </c>
      <c r="D1918" t="s">
        <v>5672</v>
      </c>
      <c r="E1918" t="s">
        <v>38</v>
      </c>
      <c r="F1918">
        <v>7388</v>
      </c>
      <c r="G1918">
        <v>1325</v>
      </c>
      <c r="H1918" t="s">
        <v>13</v>
      </c>
      <c r="I1918" t="b">
        <f t="shared" si="29"/>
        <v>0</v>
      </c>
    </row>
    <row r="1919" spans="1:9" x14ac:dyDescent="0.2">
      <c r="A1919" t="s">
        <v>5226</v>
      </c>
      <c r="B1919" t="s">
        <v>5227</v>
      </c>
      <c r="C1919" t="s">
        <v>978</v>
      </c>
      <c r="D1919" t="s">
        <v>3137</v>
      </c>
      <c r="E1919" t="s">
        <v>4</v>
      </c>
      <c r="F1919">
        <v>353</v>
      </c>
      <c r="G1919">
        <v>189</v>
      </c>
      <c r="H1919" t="s">
        <v>13</v>
      </c>
      <c r="I1919" t="b">
        <f t="shared" si="29"/>
        <v>0</v>
      </c>
    </row>
    <row r="1920" spans="1:9" x14ac:dyDescent="0.2">
      <c r="A1920" t="s">
        <v>6762</v>
      </c>
      <c r="B1920" t="s">
        <v>6763</v>
      </c>
      <c r="C1920" t="s">
        <v>6764</v>
      </c>
      <c r="D1920" t="s">
        <v>326</v>
      </c>
      <c r="E1920" t="s">
        <v>4</v>
      </c>
      <c r="F1920">
        <v>227</v>
      </c>
      <c r="G1920">
        <v>1740</v>
      </c>
      <c r="H1920" t="s">
        <v>13</v>
      </c>
      <c r="I1920" t="b">
        <f t="shared" si="29"/>
        <v>0</v>
      </c>
    </row>
    <row r="1921" spans="1:9" x14ac:dyDescent="0.2">
      <c r="A1921" t="s">
        <v>5567</v>
      </c>
      <c r="B1921" t="s">
        <v>5568</v>
      </c>
      <c r="C1921" t="s">
        <v>468</v>
      </c>
      <c r="D1921" t="s">
        <v>469</v>
      </c>
      <c r="E1921" t="s">
        <v>4</v>
      </c>
      <c r="F1921">
        <v>5</v>
      </c>
      <c r="G1921">
        <v>13</v>
      </c>
      <c r="H1921" t="s">
        <v>13</v>
      </c>
      <c r="I1921" t="b">
        <f t="shared" si="29"/>
        <v>0</v>
      </c>
    </row>
    <row r="1922" spans="1:9" x14ac:dyDescent="0.2">
      <c r="A1922" t="s">
        <v>4364</v>
      </c>
      <c r="B1922" t="s">
        <v>4365</v>
      </c>
      <c r="C1922" t="s">
        <v>902</v>
      </c>
      <c r="D1922" t="s">
        <v>71</v>
      </c>
      <c r="E1922" t="s">
        <v>4</v>
      </c>
      <c r="F1922">
        <v>56540</v>
      </c>
      <c r="G1922">
        <v>645</v>
      </c>
      <c r="H1922" t="s">
        <v>13</v>
      </c>
      <c r="I1922" t="b">
        <f t="shared" si="29"/>
        <v>1</v>
      </c>
    </row>
    <row r="1923" spans="1:9" x14ac:dyDescent="0.2">
      <c r="A1923" t="s">
        <v>5198</v>
      </c>
      <c r="B1923" t="s">
        <v>5199</v>
      </c>
      <c r="C1923" t="s">
        <v>4520</v>
      </c>
      <c r="D1923" t="s">
        <v>5200</v>
      </c>
      <c r="E1923" t="s">
        <v>4</v>
      </c>
      <c r="F1923">
        <v>147</v>
      </c>
      <c r="G1923">
        <v>293</v>
      </c>
      <c r="H1923" t="s">
        <v>374</v>
      </c>
      <c r="I1923" t="b">
        <f t="shared" ref="I1923:I1986" si="30">isDup(B1923, B1924, 0.7)</f>
        <v>0</v>
      </c>
    </row>
    <row r="1924" spans="1:9" x14ac:dyDescent="0.2">
      <c r="A1924" t="s">
        <v>1992</v>
      </c>
      <c r="B1924" t="s">
        <v>1993</v>
      </c>
      <c r="C1924" t="s">
        <v>1994</v>
      </c>
      <c r="D1924" t="s">
        <v>3</v>
      </c>
      <c r="E1924" t="s">
        <v>4</v>
      </c>
      <c r="F1924">
        <v>357</v>
      </c>
      <c r="G1924">
        <v>494</v>
      </c>
      <c r="H1924" t="s">
        <v>13</v>
      </c>
      <c r="I1924" t="b">
        <f t="shared" si="30"/>
        <v>0</v>
      </c>
    </row>
    <row r="1925" spans="1:9" x14ac:dyDescent="0.2">
      <c r="A1925" t="s">
        <v>6046</v>
      </c>
      <c r="B1925" t="s">
        <v>6047</v>
      </c>
      <c r="C1925" t="s">
        <v>1572</v>
      </c>
      <c r="D1925" t="s">
        <v>6048</v>
      </c>
      <c r="E1925" t="s">
        <v>4</v>
      </c>
      <c r="F1925">
        <v>1105</v>
      </c>
      <c r="G1925">
        <v>510</v>
      </c>
      <c r="H1925" t="s">
        <v>13</v>
      </c>
      <c r="I1925" t="b">
        <f t="shared" si="30"/>
        <v>0</v>
      </c>
    </row>
    <row r="1926" spans="1:9" x14ac:dyDescent="0.2">
      <c r="A1926" t="s">
        <v>4130</v>
      </c>
      <c r="B1926" t="s">
        <v>4131</v>
      </c>
      <c r="C1926" t="s">
        <v>4132</v>
      </c>
      <c r="D1926" t="s">
        <v>4133</v>
      </c>
      <c r="E1926" t="s">
        <v>4</v>
      </c>
      <c r="F1926">
        <v>9385</v>
      </c>
      <c r="G1926">
        <v>118</v>
      </c>
      <c r="H1926" t="s">
        <v>13</v>
      </c>
      <c r="I1926" t="b">
        <f t="shared" si="30"/>
        <v>0</v>
      </c>
    </row>
    <row r="1927" spans="1:9" x14ac:dyDescent="0.2">
      <c r="A1927" t="s">
        <v>4552</v>
      </c>
      <c r="B1927" t="s">
        <v>4553</v>
      </c>
      <c r="C1927" t="s">
        <v>2520</v>
      </c>
      <c r="D1927" t="s">
        <v>3</v>
      </c>
      <c r="E1927" t="s">
        <v>4</v>
      </c>
      <c r="F1927">
        <v>143</v>
      </c>
      <c r="G1927">
        <v>166</v>
      </c>
      <c r="H1927" t="s">
        <v>645</v>
      </c>
      <c r="I1927" t="b">
        <f t="shared" si="30"/>
        <v>0</v>
      </c>
    </row>
    <row r="1928" spans="1:9" x14ac:dyDescent="0.2">
      <c r="A1928" t="s">
        <v>5205</v>
      </c>
      <c r="B1928" t="s">
        <v>5206</v>
      </c>
      <c r="C1928" t="s">
        <v>1090</v>
      </c>
      <c r="D1928" t="s">
        <v>705</v>
      </c>
      <c r="E1928" t="s">
        <v>4</v>
      </c>
      <c r="F1928">
        <v>16</v>
      </c>
      <c r="G1928">
        <v>37</v>
      </c>
      <c r="H1928" t="s">
        <v>13</v>
      </c>
      <c r="I1928" t="b">
        <f t="shared" si="30"/>
        <v>0</v>
      </c>
    </row>
    <row r="1929" spans="1:9" x14ac:dyDescent="0.2">
      <c r="A1929" t="s">
        <v>3479</v>
      </c>
      <c r="B1929" t="s">
        <v>3480</v>
      </c>
      <c r="C1929" t="s">
        <v>3063</v>
      </c>
      <c r="D1929" t="s">
        <v>3481</v>
      </c>
      <c r="E1929" t="s">
        <v>4</v>
      </c>
      <c r="F1929">
        <v>5038</v>
      </c>
      <c r="G1929">
        <v>289</v>
      </c>
      <c r="H1929" t="s">
        <v>13</v>
      </c>
      <c r="I1929" t="b">
        <f t="shared" si="30"/>
        <v>0</v>
      </c>
    </row>
    <row r="1930" spans="1:9" x14ac:dyDescent="0.2">
      <c r="A1930" t="s">
        <v>4612</v>
      </c>
      <c r="B1930" t="s">
        <v>4613</v>
      </c>
      <c r="C1930" t="s">
        <v>197</v>
      </c>
      <c r="D1930" t="s">
        <v>4614</v>
      </c>
      <c r="E1930" t="s">
        <v>4</v>
      </c>
      <c r="F1930">
        <v>88</v>
      </c>
      <c r="G1930">
        <v>160</v>
      </c>
      <c r="H1930" t="s">
        <v>13</v>
      </c>
      <c r="I1930" t="b">
        <f t="shared" si="30"/>
        <v>0</v>
      </c>
    </row>
    <row r="1931" spans="1:9" x14ac:dyDescent="0.2">
      <c r="A1931" t="s">
        <v>7087</v>
      </c>
      <c r="B1931" t="s">
        <v>7088</v>
      </c>
      <c r="C1931" t="s">
        <v>2733</v>
      </c>
      <c r="D1931" t="s">
        <v>7089</v>
      </c>
      <c r="E1931" t="s">
        <v>4</v>
      </c>
      <c r="F1931">
        <v>46</v>
      </c>
      <c r="G1931">
        <v>338</v>
      </c>
      <c r="H1931" t="s">
        <v>13</v>
      </c>
      <c r="I1931" t="b">
        <f t="shared" si="30"/>
        <v>0</v>
      </c>
    </row>
    <row r="1932" spans="1:9" x14ac:dyDescent="0.2">
      <c r="A1932" t="s">
        <v>1479</v>
      </c>
      <c r="B1932" t="s">
        <v>1480</v>
      </c>
      <c r="C1932" t="s">
        <v>1481</v>
      </c>
      <c r="D1932" t="s">
        <v>1482</v>
      </c>
      <c r="E1932" t="s">
        <v>4</v>
      </c>
      <c r="F1932">
        <v>4162</v>
      </c>
      <c r="G1932">
        <v>4148</v>
      </c>
      <c r="H1932" t="s">
        <v>13</v>
      </c>
      <c r="I1932" t="b">
        <f t="shared" si="30"/>
        <v>0</v>
      </c>
    </row>
    <row r="1933" spans="1:9" x14ac:dyDescent="0.2">
      <c r="A1933" t="s">
        <v>2095</v>
      </c>
      <c r="B1933" t="s">
        <v>2096</v>
      </c>
      <c r="C1933" t="s">
        <v>1906</v>
      </c>
      <c r="D1933" t="s">
        <v>1813</v>
      </c>
      <c r="E1933" t="s">
        <v>4</v>
      </c>
      <c r="F1933">
        <v>184</v>
      </c>
      <c r="G1933">
        <v>300</v>
      </c>
      <c r="H1933" t="s">
        <v>13</v>
      </c>
      <c r="I1933" t="b">
        <f t="shared" si="30"/>
        <v>0</v>
      </c>
    </row>
    <row r="1934" spans="1:9" x14ac:dyDescent="0.2">
      <c r="A1934" t="s">
        <v>3541</v>
      </c>
      <c r="B1934" t="s">
        <v>3542</v>
      </c>
      <c r="C1934" t="s">
        <v>41</v>
      </c>
      <c r="D1934" t="s">
        <v>3543</v>
      </c>
      <c r="E1934" t="s">
        <v>4</v>
      </c>
      <c r="F1934">
        <v>58</v>
      </c>
      <c r="G1934">
        <v>142</v>
      </c>
      <c r="H1934" t="s">
        <v>13</v>
      </c>
      <c r="I1934" t="b">
        <f t="shared" si="30"/>
        <v>0</v>
      </c>
    </row>
    <row r="1935" spans="1:9" x14ac:dyDescent="0.2">
      <c r="A1935" t="s">
        <v>2283</v>
      </c>
      <c r="B1935" t="s">
        <v>2284</v>
      </c>
      <c r="C1935" t="s">
        <v>840</v>
      </c>
      <c r="D1935" t="s">
        <v>3</v>
      </c>
      <c r="E1935" t="s">
        <v>4</v>
      </c>
      <c r="F1935">
        <v>9</v>
      </c>
      <c r="G1935">
        <v>113</v>
      </c>
      <c r="H1935" t="s">
        <v>13</v>
      </c>
      <c r="I1935" t="b">
        <f t="shared" si="30"/>
        <v>0</v>
      </c>
    </row>
    <row r="1936" spans="1:9" x14ac:dyDescent="0.2">
      <c r="A1936" t="s">
        <v>3242</v>
      </c>
      <c r="B1936" t="s">
        <v>3243</v>
      </c>
      <c r="C1936" t="s">
        <v>2002</v>
      </c>
      <c r="D1936" t="s">
        <v>3</v>
      </c>
      <c r="E1936" t="s">
        <v>4</v>
      </c>
      <c r="F1936">
        <v>30</v>
      </c>
      <c r="G1936">
        <v>33</v>
      </c>
      <c r="H1936" t="s">
        <v>13</v>
      </c>
      <c r="I1936" t="b">
        <f t="shared" si="30"/>
        <v>0</v>
      </c>
    </row>
    <row r="1937" spans="1:9" x14ac:dyDescent="0.2">
      <c r="A1937" t="s">
        <v>6075</v>
      </c>
      <c r="B1937" t="s">
        <v>6076</v>
      </c>
      <c r="C1937" t="s">
        <v>1012</v>
      </c>
      <c r="D1937" t="s">
        <v>1817</v>
      </c>
      <c r="E1937" t="s">
        <v>4</v>
      </c>
      <c r="F1937">
        <v>636</v>
      </c>
      <c r="G1937">
        <v>1186</v>
      </c>
      <c r="H1937" t="s">
        <v>13</v>
      </c>
      <c r="I1937" t="b">
        <f t="shared" si="30"/>
        <v>0</v>
      </c>
    </row>
    <row r="1938" spans="1:9" x14ac:dyDescent="0.2">
      <c r="A1938" t="s">
        <v>2507</v>
      </c>
      <c r="B1938" t="s">
        <v>2508</v>
      </c>
      <c r="C1938" t="s">
        <v>627</v>
      </c>
      <c r="D1938" t="s">
        <v>628</v>
      </c>
      <c r="E1938" t="s">
        <v>4</v>
      </c>
      <c r="F1938">
        <v>3565</v>
      </c>
      <c r="G1938">
        <v>88</v>
      </c>
      <c r="H1938" t="s">
        <v>13</v>
      </c>
      <c r="I1938" t="b">
        <f t="shared" si="30"/>
        <v>0</v>
      </c>
    </row>
    <row r="1939" spans="1:9" x14ac:dyDescent="0.2">
      <c r="A1939" t="s">
        <v>7075</v>
      </c>
      <c r="B1939" t="s">
        <v>7076</v>
      </c>
      <c r="C1939" t="s">
        <v>585</v>
      </c>
      <c r="D1939" t="s">
        <v>3</v>
      </c>
      <c r="E1939" t="s">
        <v>4</v>
      </c>
      <c r="F1939">
        <v>1930</v>
      </c>
      <c r="G1939">
        <v>186</v>
      </c>
      <c r="H1939" t="s">
        <v>374</v>
      </c>
      <c r="I1939" t="b">
        <f t="shared" si="30"/>
        <v>0</v>
      </c>
    </row>
    <row r="1940" spans="1:9" x14ac:dyDescent="0.2">
      <c r="A1940" t="s">
        <v>1450</v>
      </c>
      <c r="B1940" t="s">
        <v>1451</v>
      </c>
      <c r="C1940" t="s">
        <v>1452</v>
      </c>
      <c r="D1940" t="s">
        <v>1453</v>
      </c>
      <c r="E1940" t="s">
        <v>4</v>
      </c>
      <c r="F1940">
        <v>1100</v>
      </c>
      <c r="G1940">
        <v>512</v>
      </c>
      <c r="H1940" t="s">
        <v>13</v>
      </c>
      <c r="I1940" t="b">
        <f t="shared" si="30"/>
        <v>0</v>
      </c>
    </row>
    <row r="1941" spans="1:9" x14ac:dyDescent="0.2">
      <c r="A1941" t="s">
        <v>43</v>
      </c>
      <c r="B1941" t="s">
        <v>44</v>
      </c>
      <c r="C1941" t="s">
        <v>45</v>
      </c>
      <c r="D1941" t="s">
        <v>3</v>
      </c>
      <c r="E1941" t="s">
        <v>4</v>
      </c>
      <c r="F1941">
        <v>1134</v>
      </c>
      <c r="G1941">
        <v>821</v>
      </c>
      <c r="H1941" t="s">
        <v>13</v>
      </c>
      <c r="I1941" t="b">
        <f t="shared" si="30"/>
        <v>0</v>
      </c>
    </row>
    <row r="1942" spans="1:9" x14ac:dyDescent="0.2">
      <c r="A1942" t="s">
        <v>1829</v>
      </c>
      <c r="B1942" t="s">
        <v>1830</v>
      </c>
      <c r="C1942" t="s">
        <v>377</v>
      </c>
      <c r="D1942" t="s">
        <v>1831</v>
      </c>
      <c r="E1942" t="s">
        <v>4</v>
      </c>
      <c r="F1942">
        <v>111</v>
      </c>
      <c r="G1942">
        <v>294</v>
      </c>
      <c r="H1942" t="s">
        <v>13</v>
      </c>
      <c r="I1942" t="b">
        <f t="shared" si="30"/>
        <v>0</v>
      </c>
    </row>
    <row r="1943" spans="1:9" x14ac:dyDescent="0.2">
      <c r="A1943" t="s">
        <v>1046</v>
      </c>
      <c r="B1943" t="s">
        <v>1047</v>
      </c>
      <c r="C1943" t="s">
        <v>1048</v>
      </c>
      <c r="D1943" t="s">
        <v>1049</v>
      </c>
      <c r="E1943" t="s">
        <v>4</v>
      </c>
      <c r="F1943">
        <v>389</v>
      </c>
      <c r="G1943">
        <v>3145</v>
      </c>
      <c r="H1943" t="s">
        <v>13</v>
      </c>
      <c r="I1943" t="b">
        <f t="shared" si="30"/>
        <v>0</v>
      </c>
    </row>
    <row r="1944" spans="1:9" x14ac:dyDescent="0.2">
      <c r="A1944" t="s">
        <v>2300</v>
      </c>
      <c r="B1944" t="s">
        <v>2301</v>
      </c>
      <c r="C1944" t="s">
        <v>2173</v>
      </c>
      <c r="D1944" t="s">
        <v>2174</v>
      </c>
      <c r="E1944" t="s">
        <v>4</v>
      </c>
      <c r="F1944">
        <v>62083</v>
      </c>
      <c r="G1944">
        <v>346</v>
      </c>
      <c r="H1944" t="s">
        <v>86</v>
      </c>
      <c r="I1944" t="b">
        <f t="shared" si="30"/>
        <v>1</v>
      </c>
    </row>
    <row r="1945" spans="1:9" x14ac:dyDescent="0.2">
      <c r="A1945" t="s">
        <v>2266</v>
      </c>
      <c r="B1945" t="s">
        <v>2267</v>
      </c>
      <c r="C1945" t="s">
        <v>2173</v>
      </c>
      <c r="D1945" t="s">
        <v>2174</v>
      </c>
      <c r="E1945" t="s">
        <v>4</v>
      </c>
      <c r="F1945">
        <v>62084</v>
      </c>
      <c r="G1945">
        <v>346</v>
      </c>
      <c r="H1945" t="s">
        <v>86</v>
      </c>
      <c r="I1945" t="b">
        <f t="shared" si="30"/>
        <v>0</v>
      </c>
    </row>
    <row r="1946" spans="1:9" x14ac:dyDescent="0.2">
      <c r="A1946" t="s">
        <v>2153</v>
      </c>
      <c r="B1946" t="s">
        <v>2154</v>
      </c>
      <c r="C1946" t="s">
        <v>2155</v>
      </c>
      <c r="D1946" t="s">
        <v>3</v>
      </c>
      <c r="E1946" t="s">
        <v>4</v>
      </c>
      <c r="F1946">
        <v>10</v>
      </c>
      <c r="G1946">
        <v>1</v>
      </c>
      <c r="H1946" t="s">
        <v>13</v>
      </c>
      <c r="I1946" t="b">
        <f t="shared" si="30"/>
        <v>0</v>
      </c>
    </row>
    <row r="1947" spans="1:9" x14ac:dyDescent="0.2">
      <c r="A1947" t="s">
        <v>1610</v>
      </c>
      <c r="B1947" t="s">
        <v>1611</v>
      </c>
      <c r="C1947" t="s">
        <v>309</v>
      </c>
      <c r="D1947" t="s">
        <v>1612</v>
      </c>
      <c r="E1947" t="s">
        <v>4</v>
      </c>
      <c r="F1947">
        <v>53</v>
      </c>
      <c r="G1947">
        <v>210</v>
      </c>
      <c r="H1947" t="s">
        <v>13</v>
      </c>
      <c r="I1947" t="b">
        <f t="shared" si="30"/>
        <v>0</v>
      </c>
    </row>
    <row r="1948" spans="1:9" x14ac:dyDescent="0.2">
      <c r="A1948" t="s">
        <v>448</v>
      </c>
      <c r="B1948" t="s">
        <v>449</v>
      </c>
      <c r="C1948" t="s">
        <v>450</v>
      </c>
      <c r="D1948" t="s">
        <v>3</v>
      </c>
      <c r="E1948" t="s">
        <v>4</v>
      </c>
      <c r="F1948">
        <v>98</v>
      </c>
      <c r="G1948">
        <v>564</v>
      </c>
      <c r="H1948" t="s">
        <v>86</v>
      </c>
      <c r="I1948" t="b">
        <f t="shared" si="30"/>
        <v>0</v>
      </c>
    </row>
    <row r="1949" spans="1:9" x14ac:dyDescent="0.2">
      <c r="A1949" t="s">
        <v>5414</v>
      </c>
      <c r="B1949" t="s">
        <v>5415</v>
      </c>
      <c r="C1949" t="s">
        <v>588</v>
      </c>
      <c r="D1949" t="s">
        <v>4545</v>
      </c>
      <c r="E1949" t="s">
        <v>4</v>
      </c>
      <c r="F1949">
        <v>13</v>
      </c>
      <c r="G1949">
        <v>58</v>
      </c>
      <c r="H1949" t="s">
        <v>13</v>
      </c>
      <c r="I1949" t="b">
        <f t="shared" si="30"/>
        <v>0</v>
      </c>
    </row>
    <row r="1950" spans="1:9" x14ac:dyDescent="0.2">
      <c r="A1950" t="s">
        <v>2650</v>
      </c>
      <c r="B1950" t="s">
        <v>2651</v>
      </c>
      <c r="C1950" t="s">
        <v>79</v>
      </c>
      <c r="D1950" t="s">
        <v>2652</v>
      </c>
      <c r="E1950" t="s">
        <v>4</v>
      </c>
      <c r="F1950">
        <v>8737</v>
      </c>
      <c r="G1950">
        <v>784</v>
      </c>
      <c r="H1950" t="s">
        <v>13</v>
      </c>
      <c r="I1950" t="b">
        <f t="shared" si="30"/>
        <v>0</v>
      </c>
    </row>
    <row r="1951" spans="1:9" x14ac:dyDescent="0.2">
      <c r="A1951" t="s">
        <v>681</v>
      </c>
      <c r="B1951" t="s">
        <v>682</v>
      </c>
      <c r="C1951" t="s">
        <v>683</v>
      </c>
      <c r="D1951" t="s">
        <v>491</v>
      </c>
      <c r="E1951" t="s">
        <v>4</v>
      </c>
      <c r="F1951">
        <v>1784</v>
      </c>
      <c r="G1951">
        <v>914</v>
      </c>
      <c r="H1951" t="s">
        <v>13</v>
      </c>
      <c r="I1951" t="b">
        <f t="shared" si="30"/>
        <v>0</v>
      </c>
    </row>
    <row r="1952" spans="1:9" x14ac:dyDescent="0.2">
      <c r="A1952" t="s">
        <v>5233</v>
      </c>
      <c r="B1952" t="s">
        <v>5234</v>
      </c>
      <c r="C1952" t="s">
        <v>414</v>
      </c>
      <c r="D1952" t="s">
        <v>3</v>
      </c>
      <c r="E1952" t="s">
        <v>4</v>
      </c>
      <c r="F1952">
        <v>637</v>
      </c>
      <c r="G1952">
        <v>862</v>
      </c>
      <c r="H1952" t="s">
        <v>13</v>
      </c>
      <c r="I1952" t="b">
        <f t="shared" si="30"/>
        <v>0</v>
      </c>
    </row>
    <row r="1953" spans="1:9" x14ac:dyDescent="0.2">
      <c r="A1953" t="s">
        <v>6582</v>
      </c>
      <c r="B1953" t="s">
        <v>6583</v>
      </c>
      <c r="C1953" t="s">
        <v>517</v>
      </c>
      <c r="D1953" t="s">
        <v>3</v>
      </c>
      <c r="E1953" t="s">
        <v>4</v>
      </c>
      <c r="F1953">
        <v>13</v>
      </c>
      <c r="G1953">
        <v>15</v>
      </c>
      <c r="H1953" t="s">
        <v>13</v>
      </c>
      <c r="I1953" t="b">
        <f t="shared" si="30"/>
        <v>0</v>
      </c>
    </row>
    <row r="1954" spans="1:9" x14ac:dyDescent="0.2">
      <c r="A1954" t="s">
        <v>6126</v>
      </c>
      <c r="B1954" t="s">
        <v>6127</v>
      </c>
      <c r="C1954" t="s">
        <v>6082</v>
      </c>
      <c r="D1954" t="s">
        <v>6083</v>
      </c>
      <c r="E1954" t="s">
        <v>4</v>
      </c>
      <c r="F1954">
        <v>6979</v>
      </c>
      <c r="G1954">
        <v>6188</v>
      </c>
      <c r="H1954" t="s">
        <v>13</v>
      </c>
      <c r="I1954" t="b">
        <f t="shared" si="30"/>
        <v>0</v>
      </c>
    </row>
    <row r="1955" spans="1:9" x14ac:dyDescent="0.2">
      <c r="A1955" t="s">
        <v>2431</v>
      </c>
      <c r="B1955" t="s">
        <v>2432</v>
      </c>
      <c r="C1955" t="s">
        <v>2433</v>
      </c>
      <c r="D1955" t="s">
        <v>2434</v>
      </c>
      <c r="E1955" t="s">
        <v>4</v>
      </c>
      <c r="F1955">
        <v>776</v>
      </c>
      <c r="G1955">
        <v>517</v>
      </c>
      <c r="H1955" t="s">
        <v>13</v>
      </c>
      <c r="I1955" t="b">
        <f t="shared" si="30"/>
        <v>0</v>
      </c>
    </row>
    <row r="1956" spans="1:9" x14ac:dyDescent="0.2">
      <c r="A1956" t="s">
        <v>291</v>
      </c>
      <c r="B1956" t="s">
        <v>292</v>
      </c>
      <c r="C1956" t="s">
        <v>293</v>
      </c>
      <c r="D1956" t="s">
        <v>3</v>
      </c>
      <c r="E1956" t="s">
        <v>4</v>
      </c>
      <c r="F1956">
        <v>3633</v>
      </c>
      <c r="G1956">
        <v>3728</v>
      </c>
      <c r="H1956" t="s">
        <v>13</v>
      </c>
      <c r="I1956" t="b">
        <f t="shared" si="30"/>
        <v>0</v>
      </c>
    </row>
    <row r="1957" spans="1:9" x14ac:dyDescent="0.2">
      <c r="A1957" t="s">
        <v>6913</v>
      </c>
      <c r="B1957" t="s">
        <v>6914</v>
      </c>
      <c r="C1957" t="s">
        <v>6915</v>
      </c>
      <c r="D1957" t="s">
        <v>3</v>
      </c>
      <c r="E1957" t="s">
        <v>4</v>
      </c>
      <c r="F1957">
        <v>2374</v>
      </c>
      <c r="G1957">
        <v>75</v>
      </c>
      <c r="H1957" t="s">
        <v>13</v>
      </c>
      <c r="I1957" t="b">
        <f t="shared" si="30"/>
        <v>0</v>
      </c>
    </row>
    <row r="1958" spans="1:9" x14ac:dyDescent="0.2">
      <c r="A1958" t="s">
        <v>6520</v>
      </c>
      <c r="B1958" t="s">
        <v>6521</v>
      </c>
      <c r="C1958" t="s">
        <v>1572</v>
      </c>
      <c r="D1958" t="s">
        <v>3</v>
      </c>
      <c r="E1958" t="s">
        <v>4</v>
      </c>
      <c r="F1958">
        <v>162</v>
      </c>
      <c r="G1958">
        <v>58</v>
      </c>
      <c r="H1958" t="s">
        <v>50</v>
      </c>
      <c r="I1958" t="b">
        <f t="shared" si="30"/>
        <v>0</v>
      </c>
    </row>
    <row r="1959" spans="1:9" x14ac:dyDescent="0.2">
      <c r="A1959" t="s">
        <v>1286</v>
      </c>
      <c r="B1959" t="s">
        <v>1287</v>
      </c>
      <c r="C1959" t="s">
        <v>171</v>
      </c>
      <c r="D1959" t="s">
        <v>1288</v>
      </c>
      <c r="E1959" t="s">
        <v>4</v>
      </c>
      <c r="F1959">
        <v>3794</v>
      </c>
      <c r="G1959">
        <v>186</v>
      </c>
      <c r="H1959" t="s">
        <v>13</v>
      </c>
      <c r="I1959" t="b">
        <f t="shared" si="30"/>
        <v>0</v>
      </c>
    </row>
    <row r="1960" spans="1:9" x14ac:dyDescent="0.2">
      <c r="A1960" t="s">
        <v>381</v>
      </c>
      <c r="B1960" t="s">
        <v>382</v>
      </c>
      <c r="C1960" t="s">
        <v>383</v>
      </c>
      <c r="D1960" t="s">
        <v>384</v>
      </c>
      <c r="E1960" t="s">
        <v>4</v>
      </c>
      <c r="F1960">
        <v>1060</v>
      </c>
      <c r="G1960">
        <v>362</v>
      </c>
      <c r="H1960" t="s">
        <v>13</v>
      </c>
      <c r="I1960" t="b">
        <f t="shared" si="30"/>
        <v>0</v>
      </c>
    </row>
    <row r="1961" spans="1:9" x14ac:dyDescent="0.2">
      <c r="A1961" t="s">
        <v>5188</v>
      </c>
      <c r="B1961" t="s">
        <v>5189</v>
      </c>
      <c r="C1961" t="s">
        <v>530</v>
      </c>
      <c r="D1961" t="s">
        <v>3</v>
      </c>
      <c r="E1961" t="s">
        <v>4</v>
      </c>
      <c r="F1961">
        <v>184</v>
      </c>
      <c r="G1961">
        <v>210</v>
      </c>
      <c r="H1961" t="s">
        <v>13</v>
      </c>
      <c r="I1961" t="b">
        <f t="shared" si="30"/>
        <v>0</v>
      </c>
    </row>
    <row r="1962" spans="1:9" x14ac:dyDescent="0.2">
      <c r="A1962" t="s">
        <v>6383</v>
      </c>
      <c r="B1962" t="s">
        <v>6384</v>
      </c>
      <c r="C1962" t="s">
        <v>2259</v>
      </c>
      <c r="D1962" t="s">
        <v>6385</v>
      </c>
      <c r="E1962" t="s">
        <v>4</v>
      </c>
      <c r="F1962">
        <v>4291</v>
      </c>
      <c r="G1962">
        <v>39</v>
      </c>
      <c r="H1962" t="s">
        <v>13</v>
      </c>
      <c r="I1962" t="b">
        <f t="shared" si="30"/>
        <v>0</v>
      </c>
    </row>
    <row r="1963" spans="1:9" x14ac:dyDescent="0.2">
      <c r="A1963" t="s">
        <v>1344</v>
      </c>
      <c r="B1963" t="s">
        <v>1345</v>
      </c>
      <c r="C1963" t="s">
        <v>1346</v>
      </c>
      <c r="D1963" t="s">
        <v>1347</v>
      </c>
      <c r="E1963" t="s">
        <v>4</v>
      </c>
      <c r="F1963">
        <v>4352</v>
      </c>
      <c r="G1963">
        <v>349</v>
      </c>
      <c r="H1963" t="s">
        <v>13</v>
      </c>
      <c r="I1963" t="b">
        <f t="shared" si="30"/>
        <v>0</v>
      </c>
    </row>
    <row r="1964" spans="1:9" x14ac:dyDescent="0.2">
      <c r="A1964" t="s">
        <v>3456</v>
      </c>
      <c r="B1964" t="s">
        <v>3457</v>
      </c>
      <c r="C1964" t="s">
        <v>414</v>
      </c>
      <c r="D1964" t="s">
        <v>3458</v>
      </c>
      <c r="E1964" t="s">
        <v>4</v>
      </c>
      <c r="F1964">
        <v>813</v>
      </c>
      <c r="G1964">
        <v>789</v>
      </c>
      <c r="H1964" t="s">
        <v>13</v>
      </c>
      <c r="I1964" t="b">
        <f t="shared" si="30"/>
        <v>0</v>
      </c>
    </row>
    <row r="1965" spans="1:9" x14ac:dyDescent="0.2">
      <c r="A1965" t="s">
        <v>2289</v>
      </c>
      <c r="B1965" t="s">
        <v>2290</v>
      </c>
      <c r="C1965" t="s">
        <v>2291</v>
      </c>
      <c r="D1965" t="s">
        <v>3</v>
      </c>
      <c r="E1965" t="s">
        <v>4</v>
      </c>
      <c r="F1965">
        <v>1014</v>
      </c>
      <c r="G1965">
        <v>1404</v>
      </c>
      <c r="H1965" t="s">
        <v>13</v>
      </c>
      <c r="I1965" t="b">
        <f t="shared" si="30"/>
        <v>0</v>
      </c>
    </row>
    <row r="1966" spans="1:9" x14ac:dyDescent="0.2">
      <c r="A1966" t="s">
        <v>4750</v>
      </c>
      <c r="B1966" t="s">
        <v>4751</v>
      </c>
      <c r="C1966" t="s">
        <v>293</v>
      </c>
      <c r="D1966" t="s">
        <v>3</v>
      </c>
      <c r="E1966" t="s">
        <v>4</v>
      </c>
      <c r="F1966">
        <v>3634</v>
      </c>
      <c r="G1966">
        <v>3732</v>
      </c>
      <c r="H1966" t="s">
        <v>13</v>
      </c>
      <c r="I1966" t="b">
        <f t="shared" si="30"/>
        <v>0</v>
      </c>
    </row>
    <row r="1967" spans="1:9" x14ac:dyDescent="0.2">
      <c r="A1967" t="s">
        <v>1508</v>
      </c>
      <c r="B1967" t="s">
        <v>1509</v>
      </c>
      <c r="C1967" t="s">
        <v>1510</v>
      </c>
      <c r="D1967" t="s">
        <v>1511</v>
      </c>
      <c r="E1967" t="s">
        <v>4</v>
      </c>
      <c r="F1967">
        <v>682</v>
      </c>
      <c r="G1967">
        <v>1430</v>
      </c>
      <c r="H1967" t="s">
        <v>13</v>
      </c>
      <c r="I1967" t="b">
        <f t="shared" si="30"/>
        <v>0</v>
      </c>
    </row>
    <row r="1968" spans="1:9" x14ac:dyDescent="0.2">
      <c r="A1968" t="s">
        <v>1239</v>
      </c>
      <c r="B1968" t="s">
        <v>1240</v>
      </c>
      <c r="C1968" t="s">
        <v>1241</v>
      </c>
      <c r="D1968" t="s">
        <v>1242</v>
      </c>
      <c r="E1968" t="s">
        <v>4</v>
      </c>
      <c r="F1968">
        <v>17</v>
      </c>
      <c r="G1968">
        <v>439</v>
      </c>
      <c r="H1968" t="s">
        <v>13</v>
      </c>
      <c r="I1968" t="b">
        <f t="shared" si="30"/>
        <v>0</v>
      </c>
    </row>
    <row r="1969" spans="1:9" x14ac:dyDescent="0.2">
      <c r="A1969" t="s">
        <v>1235</v>
      </c>
      <c r="B1969" t="s">
        <v>1236</v>
      </c>
      <c r="C1969" t="s">
        <v>1230</v>
      </c>
      <c r="D1969" t="s">
        <v>1231</v>
      </c>
      <c r="E1969" t="s">
        <v>4</v>
      </c>
      <c r="F1969">
        <v>425</v>
      </c>
      <c r="G1969">
        <v>768</v>
      </c>
      <c r="H1969" t="s">
        <v>13</v>
      </c>
      <c r="I1969" t="b">
        <f t="shared" si="30"/>
        <v>0</v>
      </c>
    </row>
    <row r="1970" spans="1:9" x14ac:dyDescent="0.2">
      <c r="A1970" t="s">
        <v>2635</v>
      </c>
      <c r="B1970" t="s">
        <v>2636</v>
      </c>
      <c r="C1970" t="s">
        <v>2637</v>
      </c>
      <c r="D1970" t="s">
        <v>2638</v>
      </c>
      <c r="E1970" t="s">
        <v>4</v>
      </c>
      <c r="F1970">
        <v>1118</v>
      </c>
      <c r="G1970">
        <v>1528</v>
      </c>
      <c r="H1970" t="s">
        <v>5</v>
      </c>
      <c r="I1970" t="b">
        <f t="shared" si="30"/>
        <v>0</v>
      </c>
    </row>
    <row r="1971" spans="1:9" x14ac:dyDescent="0.2">
      <c r="A1971" t="s">
        <v>613</v>
      </c>
      <c r="B1971" t="s">
        <v>614</v>
      </c>
      <c r="C1971" t="s">
        <v>615</v>
      </c>
      <c r="D1971" t="s">
        <v>616</v>
      </c>
      <c r="E1971" t="s">
        <v>4</v>
      </c>
      <c r="F1971">
        <v>14</v>
      </c>
      <c r="G1971">
        <v>27</v>
      </c>
      <c r="H1971" t="s">
        <v>50</v>
      </c>
      <c r="I1971" t="b">
        <f t="shared" si="30"/>
        <v>0</v>
      </c>
    </row>
    <row r="1972" spans="1:9" x14ac:dyDescent="0.2">
      <c r="A1972" t="s">
        <v>6926</v>
      </c>
      <c r="B1972" t="s">
        <v>6927</v>
      </c>
      <c r="C1972" t="s">
        <v>6928</v>
      </c>
      <c r="D1972" t="s">
        <v>3</v>
      </c>
      <c r="E1972" t="s">
        <v>4</v>
      </c>
      <c r="F1972">
        <v>242</v>
      </c>
      <c r="G1972">
        <v>102</v>
      </c>
      <c r="H1972" t="s">
        <v>13</v>
      </c>
      <c r="I1972" t="b">
        <f t="shared" si="30"/>
        <v>0</v>
      </c>
    </row>
    <row r="1973" spans="1:9" x14ac:dyDescent="0.2">
      <c r="A1973" t="s">
        <v>6143</v>
      </c>
      <c r="B1973" t="s">
        <v>6144</v>
      </c>
      <c r="C1973" t="s">
        <v>2429</v>
      </c>
      <c r="D1973" t="s">
        <v>6145</v>
      </c>
      <c r="E1973" t="s">
        <v>4</v>
      </c>
      <c r="F1973">
        <v>21</v>
      </c>
      <c r="G1973">
        <v>171</v>
      </c>
      <c r="H1973" t="s">
        <v>13</v>
      </c>
      <c r="I1973" t="b">
        <f t="shared" si="30"/>
        <v>0</v>
      </c>
    </row>
    <row r="1974" spans="1:9" x14ac:dyDescent="0.2">
      <c r="A1974" t="s">
        <v>1726</v>
      </c>
      <c r="B1974" t="s">
        <v>1727</v>
      </c>
      <c r="C1974" t="s">
        <v>1728</v>
      </c>
      <c r="D1974" t="s">
        <v>1729</v>
      </c>
      <c r="E1974" t="s">
        <v>4</v>
      </c>
      <c r="F1974">
        <v>169</v>
      </c>
      <c r="G1974">
        <v>280</v>
      </c>
      <c r="H1974" t="s">
        <v>13</v>
      </c>
      <c r="I1974" t="b">
        <f t="shared" si="30"/>
        <v>0</v>
      </c>
    </row>
    <row r="1975" spans="1:9" x14ac:dyDescent="0.2">
      <c r="A1975" t="s">
        <v>3228</v>
      </c>
      <c r="B1975" t="s">
        <v>3229</v>
      </c>
      <c r="C1975" t="s">
        <v>3230</v>
      </c>
      <c r="D1975" t="s">
        <v>3</v>
      </c>
      <c r="E1975" t="s">
        <v>4</v>
      </c>
      <c r="F1975">
        <v>30001</v>
      </c>
      <c r="G1975">
        <v>629</v>
      </c>
      <c r="H1975" t="s">
        <v>13</v>
      </c>
      <c r="I1975" t="b">
        <f t="shared" si="30"/>
        <v>0</v>
      </c>
    </row>
    <row r="1976" spans="1:9" x14ac:dyDescent="0.2">
      <c r="A1976" t="s">
        <v>6985</v>
      </c>
      <c r="B1976" t="s">
        <v>6986</v>
      </c>
      <c r="C1976" t="s">
        <v>6243</v>
      </c>
      <c r="D1976" t="s">
        <v>6987</v>
      </c>
      <c r="E1976" t="s">
        <v>4</v>
      </c>
      <c r="F1976">
        <v>89</v>
      </c>
      <c r="G1976">
        <v>166</v>
      </c>
      <c r="H1976" t="s">
        <v>13</v>
      </c>
      <c r="I1976" t="b">
        <f t="shared" si="30"/>
        <v>0</v>
      </c>
    </row>
    <row r="1977" spans="1:9" x14ac:dyDescent="0.2">
      <c r="A1977" t="s">
        <v>5151</v>
      </c>
      <c r="B1977" t="s">
        <v>5152</v>
      </c>
      <c r="C1977" t="s">
        <v>5141</v>
      </c>
      <c r="D1977" t="s">
        <v>3</v>
      </c>
      <c r="E1977" t="s">
        <v>4</v>
      </c>
      <c r="F1977">
        <v>27</v>
      </c>
      <c r="G1977">
        <v>28</v>
      </c>
      <c r="H1977" t="s">
        <v>13</v>
      </c>
      <c r="I1977" t="b">
        <f t="shared" si="30"/>
        <v>0</v>
      </c>
    </row>
    <row r="1978" spans="1:9" x14ac:dyDescent="0.2">
      <c r="A1978" t="s">
        <v>4385</v>
      </c>
      <c r="B1978" t="s">
        <v>4386</v>
      </c>
      <c r="C1978" t="s">
        <v>3265</v>
      </c>
      <c r="D1978" t="s">
        <v>4387</v>
      </c>
      <c r="E1978" t="s">
        <v>4</v>
      </c>
      <c r="F1978">
        <v>532</v>
      </c>
      <c r="G1978">
        <v>371</v>
      </c>
      <c r="H1978" t="s">
        <v>13</v>
      </c>
      <c r="I1978" t="b">
        <f t="shared" si="30"/>
        <v>0</v>
      </c>
    </row>
    <row r="1979" spans="1:9" x14ac:dyDescent="0.2">
      <c r="A1979" t="s">
        <v>7028</v>
      </c>
      <c r="B1979" t="s">
        <v>7029</v>
      </c>
      <c r="C1979" t="s">
        <v>2425</v>
      </c>
      <c r="D1979" t="s">
        <v>6055</v>
      </c>
      <c r="E1979" t="s">
        <v>4</v>
      </c>
      <c r="F1979">
        <v>1055</v>
      </c>
      <c r="G1979">
        <v>1475</v>
      </c>
      <c r="H1979" t="s">
        <v>13</v>
      </c>
      <c r="I1979" t="b">
        <f t="shared" si="30"/>
        <v>0</v>
      </c>
    </row>
    <row r="1980" spans="1:9" x14ac:dyDescent="0.2">
      <c r="A1980" t="s">
        <v>4291</v>
      </c>
      <c r="B1980" t="s">
        <v>4292</v>
      </c>
      <c r="C1980" t="s">
        <v>197</v>
      </c>
      <c r="D1980" t="s">
        <v>326</v>
      </c>
      <c r="E1980" t="s">
        <v>4</v>
      </c>
      <c r="F1980">
        <v>15</v>
      </c>
      <c r="G1980">
        <v>59</v>
      </c>
      <c r="H1980" t="s">
        <v>13</v>
      </c>
      <c r="I1980" t="b">
        <f t="shared" si="30"/>
        <v>0</v>
      </c>
    </row>
    <row r="1981" spans="1:9" x14ac:dyDescent="0.2">
      <c r="A1981" t="s">
        <v>7026</v>
      </c>
      <c r="B1981" t="s">
        <v>7027</v>
      </c>
      <c r="C1981" t="s">
        <v>161</v>
      </c>
      <c r="D1981" t="s">
        <v>162</v>
      </c>
      <c r="E1981" t="s">
        <v>4</v>
      </c>
      <c r="F1981">
        <v>132</v>
      </c>
      <c r="G1981">
        <v>57</v>
      </c>
      <c r="H1981" t="s">
        <v>13</v>
      </c>
      <c r="I1981" t="b">
        <f t="shared" si="30"/>
        <v>0</v>
      </c>
    </row>
    <row r="1982" spans="1:9" x14ac:dyDescent="0.2">
      <c r="A1982" t="s">
        <v>1107</v>
      </c>
      <c r="B1982" t="s">
        <v>1108</v>
      </c>
      <c r="C1982" t="s">
        <v>349</v>
      </c>
      <c r="D1982" t="s">
        <v>1109</v>
      </c>
      <c r="E1982" t="s">
        <v>4</v>
      </c>
      <c r="F1982">
        <v>414</v>
      </c>
      <c r="G1982">
        <v>206</v>
      </c>
      <c r="H1982" t="s">
        <v>13</v>
      </c>
      <c r="I1982" t="b">
        <f t="shared" si="30"/>
        <v>0</v>
      </c>
    </row>
    <row r="1983" spans="1:9" x14ac:dyDescent="0.2">
      <c r="A1983" t="s">
        <v>6214</v>
      </c>
      <c r="B1983" t="s">
        <v>6215</v>
      </c>
      <c r="C1983" t="s">
        <v>6216</v>
      </c>
      <c r="D1983" t="s">
        <v>6217</v>
      </c>
      <c r="E1983" t="s">
        <v>4</v>
      </c>
      <c r="F1983">
        <v>5123</v>
      </c>
      <c r="G1983">
        <v>5586</v>
      </c>
      <c r="H1983" t="s">
        <v>13</v>
      </c>
      <c r="I1983" t="b">
        <f t="shared" si="30"/>
        <v>0</v>
      </c>
    </row>
    <row r="1984" spans="1:9" x14ac:dyDescent="0.2">
      <c r="A1984" t="s">
        <v>5098</v>
      </c>
      <c r="B1984" t="s">
        <v>5100</v>
      </c>
      <c r="C1984" t="s">
        <v>5101</v>
      </c>
      <c r="D1984" t="s">
        <v>5102</v>
      </c>
      <c r="E1984" t="s">
        <v>4</v>
      </c>
      <c r="F1984">
        <v>488</v>
      </c>
      <c r="G1984">
        <v>540</v>
      </c>
      <c r="H1984" t="s">
        <v>13</v>
      </c>
      <c r="I1984" t="b">
        <f t="shared" si="30"/>
        <v>0</v>
      </c>
    </row>
    <row r="1985" spans="1:9" x14ac:dyDescent="0.2">
      <c r="A1985" t="s">
        <v>4071</v>
      </c>
      <c r="B1985" t="s">
        <v>4072</v>
      </c>
      <c r="C1985" t="s">
        <v>476</v>
      </c>
      <c r="D1985" t="s">
        <v>3</v>
      </c>
      <c r="E1985" t="s">
        <v>4</v>
      </c>
      <c r="F1985">
        <v>190</v>
      </c>
      <c r="G1985">
        <v>92</v>
      </c>
      <c r="H1985" t="s">
        <v>13</v>
      </c>
      <c r="I1985" t="b">
        <f t="shared" si="30"/>
        <v>0</v>
      </c>
    </row>
    <row r="1986" spans="1:9" x14ac:dyDescent="0.2">
      <c r="A1986" t="s">
        <v>6343</v>
      </c>
      <c r="B1986" t="s">
        <v>6344</v>
      </c>
      <c r="C1986" t="s">
        <v>1241</v>
      </c>
      <c r="D1986" t="s">
        <v>6345</v>
      </c>
      <c r="E1986" t="s">
        <v>4</v>
      </c>
      <c r="F1986">
        <v>8301</v>
      </c>
      <c r="G1986">
        <v>510</v>
      </c>
      <c r="H1986" t="s">
        <v>374</v>
      </c>
      <c r="I1986" t="b">
        <f t="shared" si="30"/>
        <v>0</v>
      </c>
    </row>
    <row r="1987" spans="1:9" x14ac:dyDescent="0.2">
      <c r="A1987" t="s">
        <v>1536</v>
      </c>
      <c r="B1987" t="s">
        <v>1537</v>
      </c>
      <c r="C1987" t="s">
        <v>226</v>
      </c>
      <c r="D1987" t="s">
        <v>227</v>
      </c>
      <c r="E1987" t="s">
        <v>4</v>
      </c>
      <c r="F1987">
        <v>9227</v>
      </c>
      <c r="G1987">
        <v>7170</v>
      </c>
      <c r="H1987" t="s">
        <v>13</v>
      </c>
      <c r="I1987" t="b">
        <f t="shared" ref="I1987:I2050" si="31">isDup(B1987, B1988, 0.7)</f>
        <v>0</v>
      </c>
    </row>
    <row r="1988" spans="1:9" x14ac:dyDescent="0.2">
      <c r="A1988" t="s">
        <v>656</v>
      </c>
      <c r="B1988" t="s">
        <v>657</v>
      </c>
      <c r="C1988" t="s">
        <v>658</v>
      </c>
      <c r="D1988" t="s">
        <v>659</v>
      </c>
      <c r="E1988" t="s">
        <v>4</v>
      </c>
      <c r="F1988">
        <v>6</v>
      </c>
      <c r="G1988">
        <v>62</v>
      </c>
      <c r="H1988" t="s">
        <v>645</v>
      </c>
      <c r="I1988" t="b">
        <f t="shared" si="31"/>
        <v>0</v>
      </c>
    </row>
    <row r="1989" spans="1:9" x14ac:dyDescent="0.2">
      <c r="A1989" t="s">
        <v>4313</v>
      </c>
      <c r="B1989" t="s">
        <v>4314</v>
      </c>
      <c r="C1989" t="s">
        <v>2977</v>
      </c>
      <c r="D1989" t="s">
        <v>4315</v>
      </c>
      <c r="E1989" t="s">
        <v>4</v>
      </c>
      <c r="F1989">
        <v>5593</v>
      </c>
      <c r="G1989">
        <v>203</v>
      </c>
      <c r="H1989" t="s">
        <v>13</v>
      </c>
      <c r="I1989" t="b">
        <f t="shared" si="31"/>
        <v>0</v>
      </c>
    </row>
    <row r="1990" spans="1:9" x14ac:dyDescent="0.2">
      <c r="A1990" t="s">
        <v>4067</v>
      </c>
      <c r="B1990" t="s">
        <v>4068</v>
      </c>
      <c r="C1990" t="s">
        <v>1423</v>
      </c>
      <c r="D1990" t="s">
        <v>2877</v>
      </c>
      <c r="E1990" t="s">
        <v>4</v>
      </c>
      <c r="F1990">
        <v>2264</v>
      </c>
      <c r="G1990">
        <v>2352</v>
      </c>
      <c r="H1990" t="s">
        <v>13</v>
      </c>
      <c r="I1990" t="b">
        <f t="shared" si="31"/>
        <v>0</v>
      </c>
    </row>
    <row r="1991" spans="1:9" x14ac:dyDescent="0.2">
      <c r="A1991" t="s">
        <v>5689</v>
      </c>
      <c r="B1991" t="s">
        <v>5690</v>
      </c>
      <c r="C1991" t="s">
        <v>234</v>
      </c>
      <c r="D1991" t="s">
        <v>3</v>
      </c>
      <c r="E1991" t="s">
        <v>4</v>
      </c>
      <c r="F1991">
        <v>10</v>
      </c>
      <c r="G1991">
        <v>125</v>
      </c>
      <c r="H1991" t="s">
        <v>13</v>
      </c>
      <c r="I1991" t="b">
        <f t="shared" si="31"/>
        <v>0</v>
      </c>
    </row>
    <row r="1992" spans="1:9" x14ac:dyDescent="0.2">
      <c r="A1992" t="s">
        <v>2883</v>
      </c>
      <c r="B1992" t="s">
        <v>2884</v>
      </c>
      <c r="C1992" t="s">
        <v>2885</v>
      </c>
      <c r="D1992" t="s">
        <v>2886</v>
      </c>
      <c r="E1992" t="s">
        <v>4</v>
      </c>
      <c r="F1992">
        <v>107</v>
      </c>
      <c r="G1992">
        <v>127</v>
      </c>
      <c r="H1992" t="s">
        <v>13</v>
      </c>
      <c r="I1992" t="b">
        <f t="shared" si="31"/>
        <v>0</v>
      </c>
    </row>
    <row r="1993" spans="1:9" x14ac:dyDescent="0.2">
      <c r="A1993" t="s">
        <v>6046</v>
      </c>
      <c r="B1993" t="s">
        <v>6049</v>
      </c>
      <c r="C1993" t="s">
        <v>6050</v>
      </c>
      <c r="D1993" t="s">
        <v>3</v>
      </c>
      <c r="E1993" t="s">
        <v>4</v>
      </c>
      <c r="F1993">
        <v>15</v>
      </c>
      <c r="G1993">
        <v>24</v>
      </c>
      <c r="H1993" t="s">
        <v>13</v>
      </c>
      <c r="I1993" t="b">
        <f t="shared" si="31"/>
        <v>0</v>
      </c>
    </row>
    <row r="1994" spans="1:9" x14ac:dyDescent="0.2">
      <c r="A1994" t="s">
        <v>3523</v>
      </c>
      <c r="B1994" t="s">
        <v>3524</v>
      </c>
      <c r="C1994" t="s">
        <v>3525</v>
      </c>
      <c r="D1994" t="s">
        <v>3</v>
      </c>
      <c r="E1994" t="s">
        <v>4</v>
      </c>
      <c r="F1994">
        <v>0</v>
      </c>
      <c r="G1994">
        <v>17</v>
      </c>
      <c r="H1994" t="s">
        <v>13</v>
      </c>
      <c r="I1994" t="b">
        <f t="shared" si="31"/>
        <v>0</v>
      </c>
    </row>
    <row r="1995" spans="1:9" x14ac:dyDescent="0.2">
      <c r="A1995" t="s">
        <v>4821</v>
      </c>
      <c r="B1995" t="s">
        <v>4822</v>
      </c>
      <c r="C1995" t="s">
        <v>568</v>
      </c>
      <c r="D1995" t="s">
        <v>4669</v>
      </c>
      <c r="E1995" t="s">
        <v>4</v>
      </c>
      <c r="F1995">
        <v>174</v>
      </c>
      <c r="G1995">
        <v>240</v>
      </c>
      <c r="H1995" t="s">
        <v>13</v>
      </c>
      <c r="I1995" t="b">
        <f t="shared" si="31"/>
        <v>0</v>
      </c>
    </row>
    <row r="1996" spans="1:9" x14ac:dyDescent="0.2">
      <c r="A1996" t="s">
        <v>3395</v>
      </c>
      <c r="B1996" t="s">
        <v>3396</v>
      </c>
      <c r="C1996" t="s">
        <v>1423</v>
      </c>
      <c r="D1996" t="s">
        <v>3</v>
      </c>
      <c r="E1996" t="s">
        <v>4</v>
      </c>
      <c r="F1996">
        <v>38</v>
      </c>
      <c r="G1996">
        <v>116</v>
      </c>
      <c r="H1996" t="s">
        <v>13</v>
      </c>
      <c r="I1996" t="b">
        <f t="shared" si="31"/>
        <v>0</v>
      </c>
    </row>
    <row r="1997" spans="1:9" x14ac:dyDescent="0.2">
      <c r="A1997" t="s">
        <v>5486</v>
      </c>
      <c r="B1997" t="s">
        <v>5487</v>
      </c>
      <c r="C1997" t="s">
        <v>5488</v>
      </c>
      <c r="D1997" t="s">
        <v>3</v>
      </c>
      <c r="E1997" t="s">
        <v>4</v>
      </c>
      <c r="F1997">
        <v>25</v>
      </c>
      <c r="G1997">
        <v>115</v>
      </c>
      <c r="H1997" t="s">
        <v>13</v>
      </c>
      <c r="I1997" t="b">
        <f t="shared" si="31"/>
        <v>0</v>
      </c>
    </row>
    <row r="1998" spans="1:9" x14ac:dyDescent="0.2">
      <c r="A1998" t="s">
        <v>3195</v>
      </c>
      <c r="B1998" t="s">
        <v>3196</v>
      </c>
      <c r="C1998" t="s">
        <v>3197</v>
      </c>
      <c r="D1998" t="s">
        <v>3</v>
      </c>
      <c r="E1998" t="s">
        <v>4</v>
      </c>
      <c r="F1998">
        <v>360</v>
      </c>
      <c r="G1998">
        <v>27</v>
      </c>
      <c r="H1998" t="s">
        <v>13</v>
      </c>
      <c r="I1998" t="b">
        <f t="shared" si="31"/>
        <v>0</v>
      </c>
    </row>
    <row r="1999" spans="1:9" x14ac:dyDescent="0.2">
      <c r="A1999" t="s">
        <v>2535</v>
      </c>
      <c r="B1999" t="s">
        <v>2536</v>
      </c>
      <c r="C1999" t="s">
        <v>2537</v>
      </c>
      <c r="D1999" t="s">
        <v>1347</v>
      </c>
      <c r="E1999" t="s">
        <v>4</v>
      </c>
      <c r="F1999">
        <v>9</v>
      </c>
      <c r="G1999">
        <v>30</v>
      </c>
      <c r="H1999" t="s">
        <v>13</v>
      </c>
      <c r="I1999" t="b">
        <f t="shared" si="31"/>
        <v>0</v>
      </c>
    </row>
    <row r="2000" spans="1:9" x14ac:dyDescent="0.2">
      <c r="A2000" t="s">
        <v>4243</v>
      </c>
      <c r="B2000" t="s">
        <v>4244</v>
      </c>
      <c r="C2000" t="s">
        <v>1267</v>
      </c>
      <c r="D2000" t="s">
        <v>4245</v>
      </c>
      <c r="E2000" t="s">
        <v>4</v>
      </c>
      <c r="F2000">
        <v>899</v>
      </c>
      <c r="G2000">
        <v>382</v>
      </c>
      <c r="H2000" t="s">
        <v>13</v>
      </c>
      <c r="I2000" t="b">
        <f t="shared" si="31"/>
        <v>0</v>
      </c>
    </row>
    <row r="2001" spans="1:9" x14ac:dyDescent="0.2">
      <c r="A2001" t="s">
        <v>4348</v>
      </c>
      <c r="B2001" t="s">
        <v>4349</v>
      </c>
      <c r="C2001" t="s">
        <v>3461</v>
      </c>
      <c r="D2001" t="s">
        <v>4350</v>
      </c>
      <c r="E2001" t="s">
        <v>4</v>
      </c>
      <c r="F2001">
        <v>3155</v>
      </c>
      <c r="G2001">
        <v>372</v>
      </c>
      <c r="H2001" t="s">
        <v>13</v>
      </c>
      <c r="I2001" t="b">
        <f t="shared" si="31"/>
        <v>0</v>
      </c>
    </row>
    <row r="2002" spans="1:9" x14ac:dyDescent="0.2">
      <c r="A2002" t="s">
        <v>2924</v>
      </c>
      <c r="B2002" t="s">
        <v>2925</v>
      </c>
      <c r="C2002" t="s">
        <v>2926</v>
      </c>
      <c r="D2002" t="s">
        <v>2927</v>
      </c>
      <c r="E2002" t="s">
        <v>4</v>
      </c>
      <c r="F2002">
        <v>562</v>
      </c>
      <c r="G2002">
        <v>288</v>
      </c>
      <c r="H2002" t="s">
        <v>50</v>
      </c>
      <c r="I2002" t="b">
        <f t="shared" si="31"/>
        <v>0</v>
      </c>
    </row>
    <row r="2003" spans="1:9" x14ac:dyDescent="0.2">
      <c r="A2003" t="s">
        <v>5874</v>
      </c>
      <c r="B2003" t="s">
        <v>5875</v>
      </c>
      <c r="C2003" t="s">
        <v>568</v>
      </c>
      <c r="D2003" t="s">
        <v>5876</v>
      </c>
      <c r="E2003" t="s">
        <v>4</v>
      </c>
      <c r="F2003">
        <v>1037</v>
      </c>
      <c r="G2003">
        <v>381</v>
      </c>
      <c r="H2003" t="s">
        <v>13</v>
      </c>
      <c r="I2003" t="b">
        <f t="shared" si="31"/>
        <v>0</v>
      </c>
    </row>
    <row r="2004" spans="1:9" x14ac:dyDescent="0.2">
      <c r="A2004" t="s">
        <v>6795</v>
      </c>
      <c r="B2004" t="s">
        <v>6796</v>
      </c>
      <c r="C2004" t="s">
        <v>480</v>
      </c>
      <c r="D2004" t="s">
        <v>6797</v>
      </c>
      <c r="E2004" t="s">
        <v>4</v>
      </c>
      <c r="F2004">
        <v>112</v>
      </c>
      <c r="G2004">
        <v>162</v>
      </c>
      <c r="H2004" t="s">
        <v>13</v>
      </c>
      <c r="I2004" t="b">
        <f t="shared" si="31"/>
        <v>0</v>
      </c>
    </row>
    <row r="2005" spans="1:9" x14ac:dyDescent="0.2">
      <c r="A2005" t="s">
        <v>327</v>
      </c>
      <c r="B2005" t="s">
        <v>328</v>
      </c>
      <c r="C2005" t="s">
        <v>329</v>
      </c>
      <c r="D2005" t="s">
        <v>3</v>
      </c>
      <c r="E2005" t="s">
        <v>4</v>
      </c>
      <c r="F2005">
        <v>156</v>
      </c>
      <c r="G2005">
        <v>960</v>
      </c>
      <c r="H2005" t="s">
        <v>13</v>
      </c>
      <c r="I2005" t="b">
        <f t="shared" si="31"/>
        <v>0</v>
      </c>
    </row>
    <row r="2006" spans="1:9" x14ac:dyDescent="0.2">
      <c r="A2006" t="s">
        <v>5113</v>
      </c>
      <c r="B2006" t="s">
        <v>5114</v>
      </c>
      <c r="C2006" t="s">
        <v>1346</v>
      </c>
      <c r="D2006" t="s">
        <v>1268</v>
      </c>
      <c r="E2006" t="s">
        <v>4</v>
      </c>
      <c r="F2006">
        <v>10594</v>
      </c>
      <c r="G2006">
        <v>158</v>
      </c>
      <c r="H2006" t="s">
        <v>363</v>
      </c>
      <c r="I2006" t="b">
        <f t="shared" si="31"/>
        <v>0</v>
      </c>
    </row>
    <row r="2007" spans="1:9" x14ac:dyDescent="0.2">
      <c r="A2007" t="s">
        <v>3095</v>
      </c>
      <c r="B2007" t="s">
        <v>3096</v>
      </c>
      <c r="C2007" t="s">
        <v>1103</v>
      </c>
      <c r="D2007" t="s">
        <v>3</v>
      </c>
      <c r="E2007" t="s">
        <v>4</v>
      </c>
      <c r="F2007">
        <v>1</v>
      </c>
      <c r="G2007">
        <v>0</v>
      </c>
      <c r="H2007" t="s">
        <v>13</v>
      </c>
      <c r="I2007" t="b">
        <f t="shared" si="31"/>
        <v>0</v>
      </c>
    </row>
    <row r="2008" spans="1:9" x14ac:dyDescent="0.2">
      <c r="A2008" t="s">
        <v>6792</v>
      </c>
      <c r="B2008" t="s">
        <v>6793</v>
      </c>
      <c r="C2008" t="s">
        <v>806</v>
      </c>
      <c r="D2008" t="s">
        <v>6794</v>
      </c>
      <c r="E2008" t="s">
        <v>4</v>
      </c>
      <c r="F2008">
        <v>452</v>
      </c>
      <c r="G2008">
        <v>694</v>
      </c>
      <c r="H2008" t="s">
        <v>13</v>
      </c>
      <c r="I2008" t="b">
        <f t="shared" si="31"/>
        <v>0</v>
      </c>
    </row>
    <row r="2009" spans="1:9" x14ac:dyDescent="0.2">
      <c r="A2009" t="s">
        <v>4655</v>
      </c>
      <c r="B2009" t="s">
        <v>4656</v>
      </c>
      <c r="C2009" t="s">
        <v>4593</v>
      </c>
      <c r="D2009" t="s">
        <v>4594</v>
      </c>
      <c r="E2009" t="s">
        <v>4</v>
      </c>
      <c r="F2009">
        <v>94</v>
      </c>
      <c r="G2009">
        <v>54</v>
      </c>
      <c r="H2009" t="s">
        <v>13</v>
      </c>
      <c r="I2009" t="b">
        <f t="shared" si="31"/>
        <v>0</v>
      </c>
    </row>
    <row r="2010" spans="1:9" x14ac:dyDescent="0.2">
      <c r="A2010" t="s">
        <v>5555</v>
      </c>
      <c r="B2010" t="s">
        <v>5556</v>
      </c>
      <c r="C2010" t="s">
        <v>773</v>
      </c>
      <c r="D2010" t="s">
        <v>3</v>
      </c>
      <c r="E2010" t="s">
        <v>4</v>
      </c>
      <c r="F2010">
        <v>4</v>
      </c>
      <c r="G2010">
        <v>0</v>
      </c>
      <c r="H2010" t="s">
        <v>13</v>
      </c>
      <c r="I2010" t="b">
        <f t="shared" si="31"/>
        <v>0</v>
      </c>
    </row>
    <row r="2011" spans="1:9" x14ac:dyDescent="0.2">
      <c r="A2011" t="s">
        <v>6760</v>
      </c>
      <c r="B2011" t="s">
        <v>6761</v>
      </c>
      <c r="C2011" t="s">
        <v>279</v>
      </c>
      <c r="D2011" t="s">
        <v>569</v>
      </c>
      <c r="E2011" t="s">
        <v>4</v>
      </c>
      <c r="F2011">
        <v>299</v>
      </c>
      <c r="G2011">
        <v>310</v>
      </c>
      <c r="H2011" t="s">
        <v>13</v>
      </c>
      <c r="I2011" t="b">
        <f t="shared" si="31"/>
        <v>0</v>
      </c>
    </row>
    <row r="2012" spans="1:9" x14ac:dyDescent="0.2">
      <c r="A2012" t="s">
        <v>1543</v>
      </c>
      <c r="B2012" t="s">
        <v>1544</v>
      </c>
      <c r="C2012" t="s">
        <v>1545</v>
      </c>
      <c r="D2012" t="s">
        <v>3</v>
      </c>
      <c r="E2012" t="s">
        <v>4</v>
      </c>
      <c r="F2012">
        <v>15</v>
      </c>
      <c r="G2012">
        <v>196</v>
      </c>
      <c r="H2012" t="s">
        <v>13</v>
      </c>
      <c r="I2012" t="b">
        <f t="shared" si="31"/>
        <v>0</v>
      </c>
    </row>
    <row r="2013" spans="1:9" x14ac:dyDescent="0.2">
      <c r="A2013" t="s">
        <v>3169</v>
      </c>
      <c r="B2013" t="s">
        <v>3170</v>
      </c>
      <c r="C2013" t="s">
        <v>3171</v>
      </c>
      <c r="D2013" t="s">
        <v>3</v>
      </c>
      <c r="E2013" t="s">
        <v>4</v>
      </c>
      <c r="F2013">
        <v>88</v>
      </c>
      <c r="G2013">
        <v>72</v>
      </c>
      <c r="H2013" t="s">
        <v>13</v>
      </c>
      <c r="I2013" t="b">
        <f t="shared" si="31"/>
        <v>0</v>
      </c>
    </row>
    <row r="2014" spans="1:9" x14ac:dyDescent="0.2">
      <c r="A2014" t="s">
        <v>4597</v>
      </c>
      <c r="B2014" t="s">
        <v>4598</v>
      </c>
      <c r="C2014" t="s">
        <v>4599</v>
      </c>
      <c r="D2014" t="s">
        <v>1000</v>
      </c>
      <c r="E2014" t="s">
        <v>4</v>
      </c>
      <c r="F2014">
        <v>7</v>
      </c>
      <c r="G2014">
        <v>59</v>
      </c>
      <c r="H2014" t="s">
        <v>13</v>
      </c>
      <c r="I2014" t="b">
        <f t="shared" si="31"/>
        <v>1</v>
      </c>
    </row>
    <row r="2015" spans="1:9" x14ac:dyDescent="0.2">
      <c r="A2015" t="s">
        <v>2144</v>
      </c>
      <c r="B2015" t="s">
        <v>2145</v>
      </c>
      <c r="C2015" t="s">
        <v>2146</v>
      </c>
      <c r="D2015" t="s">
        <v>3</v>
      </c>
      <c r="E2015" t="s">
        <v>4</v>
      </c>
      <c r="F2015">
        <v>217</v>
      </c>
      <c r="G2015">
        <v>369</v>
      </c>
      <c r="H2015" t="s">
        <v>13</v>
      </c>
      <c r="I2015" t="b">
        <f t="shared" si="31"/>
        <v>0</v>
      </c>
    </row>
    <row r="2016" spans="1:9" x14ac:dyDescent="0.2">
      <c r="A2016" t="s">
        <v>957</v>
      </c>
      <c r="B2016" t="s">
        <v>958</v>
      </c>
      <c r="C2016" t="s">
        <v>959</v>
      </c>
      <c r="D2016" t="s">
        <v>3</v>
      </c>
      <c r="E2016" t="s">
        <v>4</v>
      </c>
      <c r="F2016">
        <v>13</v>
      </c>
      <c r="G2016">
        <v>213</v>
      </c>
      <c r="H2016" t="s">
        <v>13</v>
      </c>
      <c r="I2016" t="b">
        <f t="shared" si="31"/>
        <v>0</v>
      </c>
    </row>
    <row r="2017" spans="1:9" x14ac:dyDescent="0.2">
      <c r="A2017" t="s">
        <v>3142</v>
      </c>
      <c r="B2017" t="s">
        <v>3143</v>
      </c>
      <c r="C2017" t="s">
        <v>3144</v>
      </c>
      <c r="D2017" t="s">
        <v>3</v>
      </c>
      <c r="E2017" t="s">
        <v>4</v>
      </c>
      <c r="F2017">
        <v>38</v>
      </c>
      <c r="G2017">
        <v>196</v>
      </c>
      <c r="H2017" t="s">
        <v>13</v>
      </c>
      <c r="I2017" t="b">
        <f t="shared" si="31"/>
        <v>0</v>
      </c>
    </row>
    <row r="2018" spans="1:9" x14ac:dyDescent="0.2">
      <c r="A2018" t="s">
        <v>1662</v>
      </c>
      <c r="B2018" t="s">
        <v>1663</v>
      </c>
      <c r="C2018" t="s">
        <v>545</v>
      </c>
      <c r="D2018" t="s">
        <v>546</v>
      </c>
      <c r="E2018" t="s">
        <v>4</v>
      </c>
      <c r="F2018">
        <v>213</v>
      </c>
      <c r="G2018">
        <v>343</v>
      </c>
      <c r="H2018" t="s">
        <v>126</v>
      </c>
      <c r="I2018" t="b">
        <f t="shared" si="31"/>
        <v>0</v>
      </c>
    </row>
    <row r="2019" spans="1:9" x14ac:dyDescent="0.2">
      <c r="A2019" t="s">
        <v>3347</v>
      </c>
      <c r="B2019" t="s">
        <v>3348</v>
      </c>
      <c r="C2019" t="s">
        <v>3349</v>
      </c>
      <c r="D2019" t="s">
        <v>829</v>
      </c>
      <c r="E2019" t="s">
        <v>4</v>
      </c>
      <c r="F2019">
        <v>15</v>
      </c>
      <c r="G2019">
        <v>40</v>
      </c>
      <c r="H2019" t="s">
        <v>13</v>
      </c>
      <c r="I2019" t="b">
        <f t="shared" si="31"/>
        <v>0</v>
      </c>
    </row>
    <row r="2020" spans="1:9" x14ac:dyDescent="0.2">
      <c r="A2020" t="s">
        <v>845</v>
      </c>
      <c r="B2020" t="s">
        <v>846</v>
      </c>
      <c r="C2020" t="s">
        <v>847</v>
      </c>
      <c r="D2020" t="s">
        <v>848</v>
      </c>
      <c r="E2020" t="s">
        <v>4</v>
      </c>
      <c r="F2020">
        <v>416</v>
      </c>
      <c r="G2020">
        <v>1259</v>
      </c>
      <c r="H2020" t="s">
        <v>13</v>
      </c>
      <c r="I2020" t="b">
        <f t="shared" si="31"/>
        <v>0</v>
      </c>
    </row>
    <row r="2021" spans="1:9" x14ac:dyDescent="0.2">
      <c r="A2021" t="s">
        <v>6042</v>
      </c>
      <c r="B2021" t="s">
        <v>6043</v>
      </c>
      <c r="C2021" t="s">
        <v>1572</v>
      </c>
      <c r="D2021" t="s">
        <v>3</v>
      </c>
      <c r="E2021" t="s">
        <v>4</v>
      </c>
      <c r="F2021">
        <v>70</v>
      </c>
      <c r="G2021">
        <v>176</v>
      </c>
      <c r="H2021" t="s">
        <v>13</v>
      </c>
      <c r="I2021" t="b">
        <f t="shared" si="31"/>
        <v>0</v>
      </c>
    </row>
    <row r="2022" spans="1:9" x14ac:dyDescent="0.2">
      <c r="A2022" t="s">
        <v>2387</v>
      </c>
      <c r="B2022" t="s">
        <v>2388</v>
      </c>
      <c r="C2022" t="s">
        <v>93</v>
      </c>
      <c r="D2022" t="s">
        <v>3</v>
      </c>
      <c r="E2022" t="s">
        <v>4</v>
      </c>
      <c r="F2022">
        <v>157</v>
      </c>
      <c r="G2022">
        <v>12</v>
      </c>
      <c r="H2022" t="s">
        <v>13</v>
      </c>
      <c r="I2022" t="b">
        <f t="shared" si="31"/>
        <v>0</v>
      </c>
    </row>
    <row r="2023" spans="1:9" x14ac:dyDescent="0.2">
      <c r="A2023" t="s">
        <v>541</v>
      </c>
      <c r="B2023" t="s">
        <v>542</v>
      </c>
      <c r="C2023" t="s">
        <v>468</v>
      </c>
      <c r="D2023" t="s">
        <v>469</v>
      </c>
      <c r="E2023" t="s">
        <v>4</v>
      </c>
      <c r="F2023">
        <v>3</v>
      </c>
      <c r="G2023">
        <v>13</v>
      </c>
      <c r="H2023" t="s">
        <v>13</v>
      </c>
      <c r="I2023" t="b">
        <f t="shared" si="31"/>
        <v>0</v>
      </c>
    </row>
    <row r="2024" spans="1:9" x14ac:dyDescent="0.2">
      <c r="A2024" t="s">
        <v>5943</v>
      </c>
      <c r="B2024" t="s">
        <v>5944</v>
      </c>
      <c r="C2024" t="s">
        <v>3106</v>
      </c>
      <c r="D2024" t="s">
        <v>2565</v>
      </c>
      <c r="E2024" t="s">
        <v>4</v>
      </c>
      <c r="F2024">
        <v>243</v>
      </c>
      <c r="G2024">
        <v>341</v>
      </c>
      <c r="H2024" t="s">
        <v>13</v>
      </c>
      <c r="I2024" t="b">
        <f t="shared" si="31"/>
        <v>0</v>
      </c>
    </row>
    <row r="2025" spans="1:9" x14ac:dyDescent="0.2">
      <c r="A2025" t="s">
        <v>6256</v>
      </c>
      <c r="B2025" t="s">
        <v>6257</v>
      </c>
      <c r="C2025" t="s">
        <v>104</v>
      </c>
      <c r="D2025" t="s">
        <v>182</v>
      </c>
      <c r="E2025" t="s">
        <v>4</v>
      </c>
      <c r="F2025">
        <v>686</v>
      </c>
      <c r="G2025">
        <v>416</v>
      </c>
      <c r="H2025" t="s">
        <v>13</v>
      </c>
      <c r="I2025" t="b">
        <f t="shared" si="31"/>
        <v>0</v>
      </c>
    </row>
    <row r="2026" spans="1:9" x14ac:dyDescent="0.2">
      <c r="A2026" t="s">
        <v>2940</v>
      </c>
      <c r="B2026" t="s">
        <v>2941</v>
      </c>
      <c r="C2026" t="s">
        <v>2942</v>
      </c>
      <c r="D2026" t="s">
        <v>1372</v>
      </c>
      <c r="E2026" t="s">
        <v>4</v>
      </c>
      <c r="F2026">
        <v>83</v>
      </c>
      <c r="G2026">
        <v>476</v>
      </c>
      <c r="H2026" t="s">
        <v>13</v>
      </c>
      <c r="I2026" t="b">
        <f t="shared" si="31"/>
        <v>0</v>
      </c>
    </row>
    <row r="2027" spans="1:9" x14ac:dyDescent="0.2">
      <c r="A2027" t="s">
        <v>3350</v>
      </c>
      <c r="B2027" t="s">
        <v>3351</v>
      </c>
      <c r="C2027" t="s">
        <v>185</v>
      </c>
      <c r="D2027" t="s">
        <v>3352</v>
      </c>
      <c r="E2027" t="s">
        <v>4</v>
      </c>
      <c r="F2027">
        <v>187</v>
      </c>
      <c r="G2027">
        <v>1130</v>
      </c>
      <c r="H2027" t="s">
        <v>374</v>
      </c>
      <c r="I2027" t="b">
        <f t="shared" si="31"/>
        <v>0</v>
      </c>
    </row>
    <row r="2028" spans="1:9" x14ac:dyDescent="0.2">
      <c r="A2028" t="s">
        <v>6838</v>
      </c>
      <c r="B2028" t="s">
        <v>6839</v>
      </c>
      <c r="C2028" t="s">
        <v>2984</v>
      </c>
      <c r="D2028" t="s">
        <v>3</v>
      </c>
      <c r="E2028" t="s">
        <v>4</v>
      </c>
      <c r="F2028">
        <v>1</v>
      </c>
      <c r="G2028">
        <v>28</v>
      </c>
      <c r="H2028" t="s">
        <v>5</v>
      </c>
      <c r="I2028" t="b">
        <f t="shared" si="31"/>
        <v>0</v>
      </c>
    </row>
    <row r="2029" spans="1:9" x14ac:dyDescent="0.2">
      <c r="A2029" t="s">
        <v>5185</v>
      </c>
      <c r="B2029" t="s">
        <v>5186</v>
      </c>
      <c r="C2029" t="s">
        <v>591</v>
      </c>
      <c r="D2029" t="s">
        <v>5187</v>
      </c>
      <c r="E2029" t="s">
        <v>4</v>
      </c>
      <c r="F2029">
        <v>184</v>
      </c>
      <c r="G2029">
        <v>536</v>
      </c>
      <c r="H2029" t="s">
        <v>13</v>
      </c>
      <c r="I2029" t="b">
        <f t="shared" si="31"/>
        <v>0</v>
      </c>
    </row>
    <row r="2030" spans="1:9" x14ac:dyDescent="0.2">
      <c r="A2030" t="s">
        <v>5250</v>
      </c>
      <c r="B2030" t="s">
        <v>5251</v>
      </c>
      <c r="C2030" t="s">
        <v>621</v>
      </c>
      <c r="D2030" t="s">
        <v>5252</v>
      </c>
      <c r="E2030" t="s">
        <v>4</v>
      </c>
      <c r="F2030">
        <v>329</v>
      </c>
      <c r="G2030">
        <v>294</v>
      </c>
      <c r="H2030" t="s">
        <v>114</v>
      </c>
      <c r="I2030" t="b">
        <f t="shared" si="31"/>
        <v>0</v>
      </c>
    </row>
    <row r="2031" spans="1:9" x14ac:dyDescent="0.2">
      <c r="A2031" t="s">
        <v>4458</v>
      </c>
      <c r="B2031" t="s">
        <v>4459</v>
      </c>
      <c r="C2031" t="s">
        <v>4460</v>
      </c>
      <c r="D2031" t="s">
        <v>3</v>
      </c>
      <c r="E2031" t="s">
        <v>4</v>
      </c>
      <c r="F2031">
        <v>31</v>
      </c>
      <c r="G2031">
        <v>271</v>
      </c>
      <c r="H2031" t="s">
        <v>13</v>
      </c>
      <c r="I2031" t="b">
        <f t="shared" si="31"/>
        <v>0</v>
      </c>
    </row>
    <row r="2032" spans="1:9" x14ac:dyDescent="0.2">
      <c r="A2032" t="s">
        <v>5155</v>
      </c>
      <c r="B2032" t="s">
        <v>5156</v>
      </c>
      <c r="C2032" t="s">
        <v>1016</v>
      </c>
      <c r="D2032" t="s">
        <v>5157</v>
      </c>
      <c r="E2032" t="s">
        <v>4</v>
      </c>
      <c r="F2032">
        <v>115</v>
      </c>
      <c r="G2032">
        <v>389</v>
      </c>
      <c r="H2032" t="s">
        <v>13</v>
      </c>
      <c r="I2032" t="b">
        <f t="shared" si="31"/>
        <v>0</v>
      </c>
    </row>
    <row r="2033" spans="1:9" x14ac:dyDescent="0.2">
      <c r="A2033" t="s">
        <v>2938</v>
      </c>
      <c r="B2033" t="s">
        <v>2939</v>
      </c>
      <c r="C2033" t="s">
        <v>258</v>
      </c>
      <c r="D2033" t="s">
        <v>3</v>
      </c>
      <c r="E2033" t="s">
        <v>4</v>
      </c>
      <c r="F2033">
        <v>17</v>
      </c>
      <c r="G2033">
        <v>123</v>
      </c>
      <c r="H2033" t="s">
        <v>645</v>
      </c>
      <c r="I2033" t="b">
        <f t="shared" si="31"/>
        <v>0</v>
      </c>
    </row>
    <row r="2034" spans="1:9" x14ac:dyDescent="0.2">
      <c r="A2034" t="s">
        <v>4812</v>
      </c>
      <c r="B2034" t="s">
        <v>4813</v>
      </c>
      <c r="C2034" t="s">
        <v>4814</v>
      </c>
      <c r="D2034" t="s">
        <v>3949</v>
      </c>
      <c r="E2034" t="s">
        <v>4</v>
      </c>
      <c r="F2034">
        <v>62</v>
      </c>
      <c r="G2034">
        <v>231</v>
      </c>
      <c r="H2034" t="s">
        <v>13</v>
      </c>
      <c r="I2034" t="b">
        <f t="shared" si="31"/>
        <v>0</v>
      </c>
    </row>
    <row r="2035" spans="1:9" x14ac:dyDescent="0.2">
      <c r="A2035" t="s">
        <v>893</v>
      </c>
      <c r="B2035" t="s">
        <v>894</v>
      </c>
      <c r="C2035" t="s">
        <v>895</v>
      </c>
      <c r="D2035" t="s">
        <v>3</v>
      </c>
      <c r="E2035" t="s">
        <v>4</v>
      </c>
      <c r="F2035">
        <v>1564</v>
      </c>
      <c r="G2035">
        <v>5000</v>
      </c>
      <c r="H2035" t="s">
        <v>13</v>
      </c>
      <c r="I2035" t="b">
        <f t="shared" si="31"/>
        <v>0</v>
      </c>
    </row>
    <row r="2036" spans="1:9" x14ac:dyDescent="0.2">
      <c r="A2036" t="s">
        <v>5707</v>
      </c>
      <c r="B2036" t="s">
        <v>5708</v>
      </c>
      <c r="C2036" t="s">
        <v>468</v>
      </c>
      <c r="D2036" t="s">
        <v>469</v>
      </c>
      <c r="E2036" t="s">
        <v>4</v>
      </c>
      <c r="F2036">
        <v>5</v>
      </c>
      <c r="G2036">
        <v>13</v>
      </c>
      <c r="H2036" t="s">
        <v>13</v>
      </c>
      <c r="I2036" t="b">
        <f t="shared" si="31"/>
        <v>0</v>
      </c>
    </row>
    <row r="2037" spans="1:9" x14ac:dyDescent="0.2">
      <c r="A2037" t="s">
        <v>6265</v>
      </c>
      <c r="B2037" t="s">
        <v>6266</v>
      </c>
      <c r="C2037" t="s">
        <v>3299</v>
      </c>
      <c r="D2037" t="s">
        <v>101</v>
      </c>
      <c r="E2037" t="s">
        <v>4</v>
      </c>
      <c r="F2037">
        <v>66</v>
      </c>
      <c r="G2037">
        <v>141</v>
      </c>
      <c r="H2037" t="s">
        <v>13</v>
      </c>
      <c r="I2037" t="b">
        <f t="shared" si="31"/>
        <v>1</v>
      </c>
    </row>
    <row r="2038" spans="1:9" x14ac:dyDescent="0.2">
      <c r="A2038" t="s">
        <v>4931</v>
      </c>
      <c r="B2038" t="s">
        <v>4932</v>
      </c>
      <c r="C2038" t="s">
        <v>1534</v>
      </c>
      <c r="D2038" t="s">
        <v>2276</v>
      </c>
      <c r="E2038" t="s">
        <v>4</v>
      </c>
      <c r="F2038">
        <v>312</v>
      </c>
      <c r="G2038">
        <v>79</v>
      </c>
      <c r="H2038" t="s">
        <v>13</v>
      </c>
      <c r="I2038" t="b">
        <f t="shared" si="31"/>
        <v>0</v>
      </c>
    </row>
    <row r="2039" spans="1:9" x14ac:dyDescent="0.2">
      <c r="A2039" t="s">
        <v>1512</v>
      </c>
      <c r="B2039" t="s">
        <v>1513</v>
      </c>
      <c r="C2039" t="s">
        <v>1514</v>
      </c>
      <c r="D2039" t="s">
        <v>3</v>
      </c>
      <c r="E2039" t="s">
        <v>4</v>
      </c>
      <c r="F2039">
        <v>284</v>
      </c>
      <c r="G2039">
        <v>152</v>
      </c>
      <c r="H2039" t="s">
        <v>13</v>
      </c>
      <c r="I2039" t="b">
        <f t="shared" si="31"/>
        <v>0</v>
      </c>
    </row>
    <row r="2040" spans="1:9" x14ac:dyDescent="0.2">
      <c r="A2040" t="s">
        <v>1208</v>
      </c>
      <c r="B2040" t="s">
        <v>1209</v>
      </c>
      <c r="C2040" t="s">
        <v>1210</v>
      </c>
      <c r="D2040" t="s">
        <v>1211</v>
      </c>
      <c r="E2040" t="s">
        <v>4</v>
      </c>
      <c r="F2040">
        <v>8612</v>
      </c>
      <c r="G2040">
        <v>6558</v>
      </c>
      <c r="H2040" t="s">
        <v>13</v>
      </c>
      <c r="I2040" t="b">
        <f t="shared" si="31"/>
        <v>0</v>
      </c>
    </row>
    <row r="2041" spans="1:9" x14ac:dyDescent="0.2">
      <c r="A2041" t="s">
        <v>6270</v>
      </c>
      <c r="B2041" t="s">
        <v>6271</v>
      </c>
      <c r="C2041" t="s">
        <v>185</v>
      </c>
      <c r="D2041" t="s">
        <v>6234</v>
      </c>
      <c r="E2041" t="s">
        <v>4</v>
      </c>
      <c r="F2041">
        <v>15</v>
      </c>
      <c r="G2041">
        <v>109</v>
      </c>
      <c r="H2041" t="s">
        <v>13</v>
      </c>
      <c r="I2041" t="b">
        <f t="shared" si="31"/>
        <v>0</v>
      </c>
    </row>
    <row r="2042" spans="1:9" x14ac:dyDescent="0.2">
      <c r="A2042" t="s">
        <v>4043</v>
      </c>
      <c r="B2042" t="s">
        <v>4044</v>
      </c>
      <c r="C2042" t="s">
        <v>4045</v>
      </c>
      <c r="D2042" t="s">
        <v>2957</v>
      </c>
      <c r="E2042" t="s">
        <v>4</v>
      </c>
      <c r="F2042">
        <v>236</v>
      </c>
      <c r="G2042">
        <v>438</v>
      </c>
      <c r="H2042" t="s">
        <v>13</v>
      </c>
      <c r="I2042" t="b">
        <f t="shared" si="31"/>
        <v>0</v>
      </c>
    </row>
    <row r="2043" spans="1:9" x14ac:dyDescent="0.2">
      <c r="A2043" t="s">
        <v>830</v>
      </c>
      <c r="B2043" t="s">
        <v>831</v>
      </c>
      <c r="C2043" t="s">
        <v>832</v>
      </c>
      <c r="D2043" t="s">
        <v>833</v>
      </c>
      <c r="E2043" t="s">
        <v>4</v>
      </c>
      <c r="F2043">
        <v>2233</v>
      </c>
      <c r="G2043">
        <v>1415</v>
      </c>
      <c r="H2043" t="s">
        <v>13</v>
      </c>
      <c r="I2043" t="b">
        <f t="shared" si="31"/>
        <v>0</v>
      </c>
    </row>
    <row r="2044" spans="1:9" x14ac:dyDescent="0.2">
      <c r="A2044" t="s">
        <v>4823</v>
      </c>
      <c r="B2044" t="s">
        <v>4824</v>
      </c>
      <c r="C2044" t="s">
        <v>1947</v>
      </c>
      <c r="D2044" t="s">
        <v>4825</v>
      </c>
      <c r="E2044" t="s">
        <v>4</v>
      </c>
      <c r="F2044">
        <v>516</v>
      </c>
      <c r="G2044">
        <v>367</v>
      </c>
      <c r="H2044" t="s">
        <v>374</v>
      </c>
      <c r="I2044" t="b">
        <f t="shared" si="31"/>
        <v>0</v>
      </c>
    </row>
    <row r="2045" spans="1:9" x14ac:dyDescent="0.2">
      <c r="A2045" t="s">
        <v>1024</v>
      </c>
      <c r="B2045" t="s">
        <v>1025</v>
      </c>
      <c r="C2045" t="s">
        <v>1026</v>
      </c>
      <c r="D2045" t="s">
        <v>1027</v>
      </c>
      <c r="E2045" t="s">
        <v>4</v>
      </c>
      <c r="F2045">
        <v>27</v>
      </c>
      <c r="G2045">
        <v>188</v>
      </c>
      <c r="H2045" t="s">
        <v>13</v>
      </c>
      <c r="I2045" t="b">
        <f t="shared" si="31"/>
        <v>0</v>
      </c>
    </row>
    <row r="2046" spans="1:9" x14ac:dyDescent="0.2">
      <c r="A2046" t="s">
        <v>1217</v>
      </c>
      <c r="B2046" t="s">
        <v>1218</v>
      </c>
      <c r="C2046" t="s">
        <v>323</v>
      </c>
      <c r="D2046" t="s">
        <v>1045</v>
      </c>
      <c r="E2046" t="s">
        <v>4</v>
      </c>
      <c r="F2046">
        <v>2639</v>
      </c>
      <c r="G2046">
        <v>428</v>
      </c>
      <c r="H2046" t="s">
        <v>13</v>
      </c>
      <c r="I2046" t="b">
        <f t="shared" si="31"/>
        <v>0</v>
      </c>
    </row>
    <row r="2047" spans="1:9" x14ac:dyDescent="0.2">
      <c r="A2047" t="s">
        <v>3664</v>
      </c>
      <c r="B2047" t="s">
        <v>3666</v>
      </c>
      <c r="C2047" t="s">
        <v>1838</v>
      </c>
      <c r="D2047" t="s">
        <v>3</v>
      </c>
      <c r="E2047" t="s">
        <v>4</v>
      </c>
      <c r="F2047">
        <v>423</v>
      </c>
      <c r="G2047">
        <v>241</v>
      </c>
      <c r="H2047" t="s">
        <v>13</v>
      </c>
      <c r="I2047" t="b">
        <f t="shared" si="31"/>
        <v>0</v>
      </c>
    </row>
    <row r="2048" spans="1:9" x14ac:dyDescent="0.2">
      <c r="A2048" t="s">
        <v>1799</v>
      </c>
      <c r="B2048" t="s">
        <v>1800</v>
      </c>
      <c r="C2048" t="s">
        <v>1801</v>
      </c>
      <c r="D2048" t="s">
        <v>3</v>
      </c>
      <c r="E2048" t="s">
        <v>4</v>
      </c>
      <c r="F2048">
        <v>56</v>
      </c>
      <c r="G2048">
        <v>36</v>
      </c>
      <c r="H2048" t="s">
        <v>13</v>
      </c>
      <c r="I2048" t="b">
        <f t="shared" si="31"/>
        <v>0</v>
      </c>
    </row>
    <row r="2049" spans="1:9" x14ac:dyDescent="0.2">
      <c r="A2049" t="s">
        <v>6748</v>
      </c>
      <c r="B2049" t="s">
        <v>6749</v>
      </c>
      <c r="C2049" t="s">
        <v>1413</v>
      </c>
      <c r="D2049" t="s">
        <v>3</v>
      </c>
      <c r="E2049" t="s">
        <v>4</v>
      </c>
      <c r="F2049">
        <v>133</v>
      </c>
      <c r="G2049">
        <v>176</v>
      </c>
      <c r="H2049" t="s">
        <v>13</v>
      </c>
      <c r="I2049" t="b">
        <f t="shared" si="31"/>
        <v>0</v>
      </c>
    </row>
    <row r="2050" spans="1:9" x14ac:dyDescent="0.2">
      <c r="A2050" t="s">
        <v>1818</v>
      </c>
      <c r="B2050" t="s">
        <v>1819</v>
      </c>
      <c r="C2050" t="s">
        <v>1820</v>
      </c>
      <c r="D2050" t="s">
        <v>3</v>
      </c>
      <c r="E2050" t="s">
        <v>4</v>
      </c>
      <c r="F2050">
        <v>9</v>
      </c>
      <c r="G2050">
        <v>169</v>
      </c>
      <c r="H2050" t="s">
        <v>13</v>
      </c>
      <c r="I2050" t="b">
        <f t="shared" si="31"/>
        <v>0</v>
      </c>
    </row>
    <row r="2051" spans="1:9" x14ac:dyDescent="0.2">
      <c r="A2051" t="s">
        <v>7092</v>
      </c>
      <c r="B2051" t="s">
        <v>7093</v>
      </c>
      <c r="C2051" t="s">
        <v>7094</v>
      </c>
      <c r="D2051" t="s">
        <v>7095</v>
      </c>
      <c r="E2051" t="s">
        <v>4</v>
      </c>
      <c r="F2051">
        <v>65</v>
      </c>
      <c r="G2051">
        <v>49</v>
      </c>
      <c r="H2051" t="s">
        <v>50</v>
      </c>
      <c r="I2051" t="b">
        <f t="shared" ref="I2051:I2114" si="32">isDup(B2051, B2052, 0.7)</f>
        <v>0</v>
      </c>
    </row>
    <row r="2052" spans="1:9" x14ac:dyDescent="0.2">
      <c r="A2052" t="s">
        <v>3773</v>
      </c>
      <c r="B2052" t="s">
        <v>3774</v>
      </c>
      <c r="C2052" t="s">
        <v>1469</v>
      </c>
      <c r="D2052" t="s">
        <v>3775</v>
      </c>
      <c r="E2052" t="s">
        <v>4</v>
      </c>
      <c r="F2052">
        <v>33</v>
      </c>
      <c r="G2052">
        <v>69</v>
      </c>
      <c r="H2052" t="s">
        <v>13</v>
      </c>
      <c r="I2052" t="b">
        <f t="shared" si="32"/>
        <v>0</v>
      </c>
    </row>
    <row r="2053" spans="1:9" x14ac:dyDescent="0.2">
      <c r="A2053" t="s">
        <v>4372</v>
      </c>
      <c r="B2053" t="s">
        <v>4373</v>
      </c>
      <c r="C2053" t="s">
        <v>1249</v>
      </c>
      <c r="D2053" t="s">
        <v>3</v>
      </c>
      <c r="E2053" t="s">
        <v>4</v>
      </c>
      <c r="F2053">
        <v>251</v>
      </c>
      <c r="G2053">
        <v>9</v>
      </c>
      <c r="H2053" t="s">
        <v>13</v>
      </c>
      <c r="I2053" t="b">
        <f t="shared" si="32"/>
        <v>0</v>
      </c>
    </row>
    <row r="2054" spans="1:9" x14ac:dyDescent="0.2">
      <c r="A2054" t="s">
        <v>6858</v>
      </c>
      <c r="B2054" t="s">
        <v>6859</v>
      </c>
      <c r="C2054" t="s">
        <v>3669</v>
      </c>
      <c r="D2054" t="s">
        <v>6844</v>
      </c>
      <c r="E2054" t="s">
        <v>4</v>
      </c>
      <c r="F2054">
        <v>872</v>
      </c>
      <c r="G2054">
        <v>542</v>
      </c>
      <c r="H2054" t="s">
        <v>13</v>
      </c>
      <c r="I2054" t="b">
        <f t="shared" si="32"/>
        <v>0</v>
      </c>
    </row>
    <row r="2055" spans="1:9" x14ac:dyDescent="0.2">
      <c r="A2055" t="s">
        <v>7260</v>
      </c>
      <c r="B2055" t="s">
        <v>7261</v>
      </c>
      <c r="C2055" t="s">
        <v>3063</v>
      </c>
      <c r="D2055" t="s">
        <v>3481</v>
      </c>
      <c r="E2055" t="s">
        <v>4</v>
      </c>
      <c r="F2055">
        <v>5047</v>
      </c>
      <c r="G2055">
        <v>289</v>
      </c>
      <c r="H2055" t="s">
        <v>13</v>
      </c>
      <c r="I2055" t="b">
        <f t="shared" si="32"/>
        <v>0</v>
      </c>
    </row>
    <row r="2056" spans="1:9" x14ac:dyDescent="0.2">
      <c r="A2056" t="s">
        <v>1337</v>
      </c>
      <c r="B2056" t="s">
        <v>1338</v>
      </c>
      <c r="C2056" t="s">
        <v>171</v>
      </c>
      <c r="D2056" t="s">
        <v>1297</v>
      </c>
      <c r="E2056" t="s">
        <v>4</v>
      </c>
      <c r="F2056">
        <v>222</v>
      </c>
      <c r="G2056">
        <v>250</v>
      </c>
      <c r="H2056" t="s">
        <v>13</v>
      </c>
      <c r="I2056" t="b">
        <f t="shared" si="32"/>
        <v>0</v>
      </c>
    </row>
    <row r="2057" spans="1:9" x14ac:dyDescent="0.2">
      <c r="A2057" t="s">
        <v>7040</v>
      </c>
      <c r="B2057" t="s">
        <v>7041</v>
      </c>
      <c r="C2057" t="s">
        <v>7042</v>
      </c>
      <c r="D2057" t="s">
        <v>3</v>
      </c>
      <c r="E2057" t="s">
        <v>4</v>
      </c>
      <c r="F2057">
        <v>1007</v>
      </c>
      <c r="G2057">
        <v>530</v>
      </c>
      <c r="H2057" t="s">
        <v>13</v>
      </c>
      <c r="I2057" t="b">
        <f t="shared" si="32"/>
        <v>0</v>
      </c>
    </row>
    <row r="2058" spans="1:9" x14ac:dyDescent="0.2">
      <c r="A2058" t="s">
        <v>1976</v>
      </c>
      <c r="B2058" t="s">
        <v>1977</v>
      </c>
      <c r="C2058" t="s">
        <v>1317</v>
      </c>
      <c r="D2058" t="s">
        <v>1978</v>
      </c>
      <c r="E2058" t="s">
        <v>4</v>
      </c>
      <c r="F2058">
        <v>492</v>
      </c>
      <c r="G2058">
        <v>584</v>
      </c>
      <c r="H2058" t="s">
        <v>114</v>
      </c>
      <c r="I2058" t="b">
        <f t="shared" si="32"/>
        <v>0</v>
      </c>
    </row>
    <row r="2059" spans="1:9" x14ac:dyDescent="0.2">
      <c r="A2059" t="s">
        <v>543</v>
      </c>
      <c r="B2059" t="s">
        <v>544</v>
      </c>
      <c r="C2059" t="s">
        <v>545</v>
      </c>
      <c r="D2059" t="s">
        <v>546</v>
      </c>
      <c r="E2059" t="s">
        <v>4</v>
      </c>
      <c r="F2059">
        <v>212</v>
      </c>
      <c r="G2059">
        <v>342</v>
      </c>
      <c r="H2059" t="s">
        <v>126</v>
      </c>
      <c r="I2059" t="b">
        <f t="shared" si="32"/>
        <v>0</v>
      </c>
    </row>
    <row r="2060" spans="1:9" x14ac:dyDescent="0.2">
      <c r="A2060" t="s">
        <v>1080</v>
      </c>
      <c r="B2060" t="s">
        <v>1081</v>
      </c>
      <c r="C2060" t="s">
        <v>1082</v>
      </c>
      <c r="D2060" t="s">
        <v>1083</v>
      </c>
      <c r="E2060" t="s">
        <v>4</v>
      </c>
      <c r="F2060">
        <v>402</v>
      </c>
      <c r="G2060">
        <v>125</v>
      </c>
      <c r="H2060" t="s">
        <v>13</v>
      </c>
      <c r="I2060" t="b">
        <f t="shared" si="32"/>
        <v>0</v>
      </c>
    </row>
    <row r="2061" spans="1:9" x14ac:dyDescent="0.2">
      <c r="A2061" t="s">
        <v>6780</v>
      </c>
      <c r="B2061" t="s">
        <v>6783</v>
      </c>
      <c r="C2061" t="s">
        <v>1402</v>
      </c>
      <c r="D2061" t="s">
        <v>64</v>
      </c>
      <c r="E2061" t="s">
        <v>4</v>
      </c>
      <c r="F2061">
        <v>1078</v>
      </c>
      <c r="G2061">
        <v>93</v>
      </c>
      <c r="H2061" t="s">
        <v>13</v>
      </c>
      <c r="I2061" t="b">
        <f t="shared" si="32"/>
        <v>0</v>
      </c>
    </row>
    <row r="2062" spans="1:9" x14ac:dyDescent="0.2">
      <c r="A2062" t="s">
        <v>2124</v>
      </c>
      <c r="B2062" t="s">
        <v>2125</v>
      </c>
      <c r="C2062" t="s">
        <v>2126</v>
      </c>
      <c r="D2062" t="s">
        <v>3</v>
      </c>
      <c r="E2062" t="s">
        <v>4</v>
      </c>
      <c r="F2062">
        <v>89</v>
      </c>
      <c r="G2062">
        <v>977</v>
      </c>
      <c r="H2062" t="s">
        <v>13</v>
      </c>
      <c r="I2062" t="b">
        <f t="shared" si="32"/>
        <v>0</v>
      </c>
    </row>
    <row r="2063" spans="1:9" x14ac:dyDescent="0.2">
      <c r="A2063" t="s">
        <v>802</v>
      </c>
      <c r="B2063" t="s">
        <v>803</v>
      </c>
      <c r="C2063" t="s">
        <v>791</v>
      </c>
      <c r="D2063" t="s">
        <v>98</v>
      </c>
      <c r="E2063" t="s">
        <v>4</v>
      </c>
      <c r="F2063">
        <v>288</v>
      </c>
      <c r="G2063">
        <v>880</v>
      </c>
      <c r="H2063" t="s">
        <v>13</v>
      </c>
      <c r="I2063" t="b">
        <f t="shared" si="32"/>
        <v>0</v>
      </c>
    </row>
    <row r="2064" spans="1:9" x14ac:dyDescent="0.2">
      <c r="A2064" t="s">
        <v>6000</v>
      </c>
      <c r="B2064" t="s">
        <v>6001</v>
      </c>
      <c r="C2064" t="s">
        <v>1510</v>
      </c>
      <c r="D2064" t="s">
        <v>3</v>
      </c>
      <c r="E2064" t="s">
        <v>4</v>
      </c>
      <c r="F2064">
        <v>13104</v>
      </c>
      <c r="G2064">
        <v>51</v>
      </c>
      <c r="H2064" t="s">
        <v>13</v>
      </c>
      <c r="I2064" t="b">
        <f t="shared" si="32"/>
        <v>0</v>
      </c>
    </row>
    <row r="2065" spans="1:9" x14ac:dyDescent="0.2">
      <c r="A2065" t="s">
        <v>1070</v>
      </c>
      <c r="B2065" t="s">
        <v>1071</v>
      </c>
      <c r="C2065" t="s">
        <v>241</v>
      </c>
      <c r="D2065" t="s">
        <v>1072</v>
      </c>
      <c r="E2065" t="s">
        <v>4</v>
      </c>
      <c r="F2065">
        <v>97</v>
      </c>
      <c r="G2065">
        <v>270</v>
      </c>
      <c r="H2065" t="s">
        <v>13</v>
      </c>
      <c r="I2065" t="b">
        <f t="shared" si="32"/>
        <v>0</v>
      </c>
    </row>
    <row r="2066" spans="1:9" x14ac:dyDescent="0.2">
      <c r="A2066" t="s">
        <v>2849</v>
      </c>
      <c r="B2066" t="s">
        <v>2850</v>
      </c>
      <c r="C2066" t="s">
        <v>2851</v>
      </c>
      <c r="D2066" t="s">
        <v>3</v>
      </c>
      <c r="E2066" t="s">
        <v>4</v>
      </c>
      <c r="F2066">
        <v>13</v>
      </c>
      <c r="G2066">
        <v>18</v>
      </c>
      <c r="H2066" t="s">
        <v>13</v>
      </c>
      <c r="I2066" t="b">
        <f t="shared" si="32"/>
        <v>0</v>
      </c>
    </row>
    <row r="2067" spans="1:9" x14ac:dyDescent="0.2">
      <c r="A2067" t="s">
        <v>5282</v>
      </c>
      <c r="B2067" t="s">
        <v>5283</v>
      </c>
      <c r="C2067" t="s">
        <v>3635</v>
      </c>
      <c r="D2067" t="s">
        <v>3574</v>
      </c>
      <c r="E2067" t="s">
        <v>4</v>
      </c>
      <c r="F2067">
        <v>17</v>
      </c>
      <c r="G2067">
        <v>56</v>
      </c>
      <c r="H2067" t="s">
        <v>13</v>
      </c>
      <c r="I2067" t="b">
        <f t="shared" si="32"/>
        <v>0</v>
      </c>
    </row>
    <row r="2068" spans="1:9" x14ac:dyDescent="0.2">
      <c r="A2068" t="s">
        <v>5576</v>
      </c>
      <c r="B2068" t="s">
        <v>5577</v>
      </c>
      <c r="C2068" t="s">
        <v>3710</v>
      </c>
      <c r="D2068" t="s">
        <v>592</v>
      </c>
      <c r="E2068" t="s">
        <v>4</v>
      </c>
      <c r="F2068">
        <v>3454</v>
      </c>
      <c r="G2068">
        <v>2616</v>
      </c>
      <c r="H2068" t="s">
        <v>13</v>
      </c>
      <c r="I2068" t="b">
        <f t="shared" si="32"/>
        <v>0</v>
      </c>
    </row>
    <row r="2069" spans="1:9" x14ac:dyDescent="0.2">
      <c r="A2069" t="s">
        <v>4236</v>
      </c>
      <c r="B2069" t="s">
        <v>4237</v>
      </c>
      <c r="C2069" t="s">
        <v>181</v>
      </c>
      <c r="D2069" t="s">
        <v>4238</v>
      </c>
      <c r="E2069" t="s">
        <v>4</v>
      </c>
      <c r="F2069">
        <v>190</v>
      </c>
      <c r="G2069">
        <v>437</v>
      </c>
      <c r="H2069" t="s">
        <v>13</v>
      </c>
      <c r="I2069" t="b">
        <f t="shared" si="32"/>
        <v>0</v>
      </c>
    </row>
    <row r="2070" spans="1:9" x14ac:dyDescent="0.2">
      <c r="A2070" t="s">
        <v>6626</v>
      </c>
      <c r="B2070" t="s">
        <v>6627</v>
      </c>
      <c r="C2070" t="s">
        <v>1481</v>
      </c>
      <c r="D2070" t="s">
        <v>6628</v>
      </c>
      <c r="E2070" t="s">
        <v>4</v>
      </c>
      <c r="F2070">
        <v>1405</v>
      </c>
      <c r="G2070">
        <v>946</v>
      </c>
      <c r="H2070" t="s">
        <v>13</v>
      </c>
      <c r="I2070" t="b">
        <f t="shared" si="32"/>
        <v>0</v>
      </c>
    </row>
    <row r="2071" spans="1:9" x14ac:dyDescent="0.2">
      <c r="A2071" t="s">
        <v>5652</v>
      </c>
      <c r="B2071" t="s">
        <v>5653</v>
      </c>
      <c r="C2071" t="s">
        <v>3305</v>
      </c>
      <c r="D2071" t="s">
        <v>5421</v>
      </c>
      <c r="E2071" t="s">
        <v>4</v>
      </c>
      <c r="F2071">
        <v>1494</v>
      </c>
      <c r="G2071">
        <v>2307</v>
      </c>
      <c r="H2071" t="s">
        <v>13</v>
      </c>
      <c r="I2071" t="b">
        <f t="shared" si="32"/>
        <v>0</v>
      </c>
    </row>
    <row r="2072" spans="1:9" x14ac:dyDescent="0.2">
      <c r="A2072" t="s">
        <v>5734</v>
      </c>
      <c r="B2072" t="s">
        <v>5735</v>
      </c>
      <c r="C2072" t="s">
        <v>1095</v>
      </c>
      <c r="D2072" t="s">
        <v>491</v>
      </c>
      <c r="E2072" t="s">
        <v>4</v>
      </c>
      <c r="F2072">
        <v>1242</v>
      </c>
      <c r="G2072">
        <v>661</v>
      </c>
      <c r="H2072" t="s">
        <v>13</v>
      </c>
      <c r="I2072" t="b">
        <f t="shared" si="32"/>
        <v>0</v>
      </c>
    </row>
    <row r="2073" spans="1:9" x14ac:dyDescent="0.2">
      <c r="A2073" t="s">
        <v>6897</v>
      </c>
      <c r="B2073" t="s">
        <v>6898</v>
      </c>
      <c r="C2073" t="s">
        <v>406</v>
      </c>
      <c r="D2073" t="s">
        <v>5356</v>
      </c>
      <c r="E2073" t="s">
        <v>4</v>
      </c>
      <c r="F2073">
        <v>374</v>
      </c>
      <c r="G2073">
        <v>410</v>
      </c>
      <c r="H2073" t="s">
        <v>13</v>
      </c>
      <c r="I2073" t="b">
        <f t="shared" si="32"/>
        <v>0</v>
      </c>
    </row>
    <row r="2074" spans="1:9" x14ac:dyDescent="0.2">
      <c r="A2074" t="s">
        <v>4214</v>
      </c>
      <c r="B2074" t="s">
        <v>4215</v>
      </c>
      <c r="C2074" t="s">
        <v>3299</v>
      </c>
      <c r="D2074" t="s">
        <v>1813</v>
      </c>
      <c r="E2074" t="s">
        <v>4</v>
      </c>
      <c r="F2074">
        <v>156</v>
      </c>
      <c r="G2074">
        <v>511</v>
      </c>
      <c r="H2074" t="s">
        <v>13</v>
      </c>
      <c r="I2074" t="b">
        <f t="shared" si="32"/>
        <v>0</v>
      </c>
    </row>
    <row r="2075" spans="1:9" x14ac:dyDescent="0.2">
      <c r="A2075" t="s">
        <v>6328</v>
      </c>
      <c r="B2075" t="s">
        <v>6329</v>
      </c>
      <c r="C2075" t="s">
        <v>4297</v>
      </c>
      <c r="D2075" t="s">
        <v>3</v>
      </c>
      <c r="E2075" t="s">
        <v>4</v>
      </c>
      <c r="F2075">
        <v>33</v>
      </c>
      <c r="G2075">
        <v>63</v>
      </c>
      <c r="H2075" t="s">
        <v>13</v>
      </c>
      <c r="I2075" t="b">
        <f t="shared" si="32"/>
        <v>0</v>
      </c>
    </row>
    <row r="2076" spans="1:9" x14ac:dyDescent="0.2">
      <c r="A2076" t="s">
        <v>1277</v>
      </c>
      <c r="B2076" t="s">
        <v>1278</v>
      </c>
      <c r="C2076" t="s">
        <v>1279</v>
      </c>
      <c r="D2076" t="s">
        <v>1280</v>
      </c>
      <c r="E2076" t="s">
        <v>4</v>
      </c>
      <c r="F2076">
        <v>9326</v>
      </c>
      <c r="G2076">
        <v>1976</v>
      </c>
      <c r="H2076" t="s">
        <v>13</v>
      </c>
      <c r="I2076" t="b">
        <f t="shared" si="32"/>
        <v>0</v>
      </c>
    </row>
    <row r="2077" spans="1:9" x14ac:dyDescent="0.2">
      <c r="A2077" t="s">
        <v>5493</v>
      </c>
      <c r="B2077" t="s">
        <v>5494</v>
      </c>
      <c r="C2077" t="s">
        <v>767</v>
      </c>
      <c r="D2077" t="s">
        <v>4238</v>
      </c>
      <c r="E2077" t="s">
        <v>4</v>
      </c>
      <c r="F2077">
        <v>207</v>
      </c>
      <c r="G2077">
        <v>699</v>
      </c>
      <c r="H2077" t="s">
        <v>13</v>
      </c>
      <c r="I2077" t="b">
        <f t="shared" si="32"/>
        <v>0</v>
      </c>
    </row>
    <row r="2078" spans="1:9" x14ac:dyDescent="0.2">
      <c r="A2078" t="s">
        <v>1148</v>
      </c>
      <c r="B2078" t="s">
        <v>1149</v>
      </c>
      <c r="C2078" t="s">
        <v>579</v>
      </c>
      <c r="D2078" t="s">
        <v>64</v>
      </c>
      <c r="E2078" t="s">
        <v>4</v>
      </c>
      <c r="F2078">
        <v>30</v>
      </c>
      <c r="G2078">
        <v>61</v>
      </c>
      <c r="H2078" t="s">
        <v>13</v>
      </c>
      <c r="I2078" t="b">
        <f t="shared" si="32"/>
        <v>0</v>
      </c>
    </row>
    <row r="2079" spans="1:9" x14ac:dyDescent="0.2">
      <c r="A2079" t="s">
        <v>6412</v>
      </c>
      <c r="B2079" t="s">
        <v>6413</v>
      </c>
      <c r="C2079" t="s">
        <v>468</v>
      </c>
      <c r="D2079" t="s">
        <v>6414</v>
      </c>
      <c r="E2079" t="s">
        <v>4</v>
      </c>
      <c r="F2079">
        <v>2</v>
      </c>
      <c r="G2079">
        <v>26</v>
      </c>
      <c r="H2079" t="s">
        <v>13</v>
      </c>
      <c r="I2079" t="b">
        <f t="shared" si="32"/>
        <v>0</v>
      </c>
    </row>
    <row r="2080" spans="1:9" x14ac:dyDescent="0.2">
      <c r="A2080" t="s">
        <v>149</v>
      </c>
      <c r="B2080" t="s">
        <v>150</v>
      </c>
      <c r="C2080" t="s">
        <v>151</v>
      </c>
      <c r="D2080" t="s">
        <v>152</v>
      </c>
      <c r="E2080" t="s">
        <v>4</v>
      </c>
      <c r="F2080">
        <v>76</v>
      </c>
      <c r="G2080">
        <v>163</v>
      </c>
      <c r="H2080" t="s">
        <v>13</v>
      </c>
      <c r="I2080" t="b">
        <f t="shared" si="32"/>
        <v>0</v>
      </c>
    </row>
    <row r="2081" spans="1:9" x14ac:dyDescent="0.2">
      <c r="A2081" t="s">
        <v>1904</v>
      </c>
      <c r="B2081" t="s">
        <v>1905</v>
      </c>
      <c r="C2081" t="s">
        <v>1906</v>
      </c>
      <c r="D2081" t="s">
        <v>3</v>
      </c>
      <c r="E2081" t="s">
        <v>4</v>
      </c>
      <c r="F2081">
        <v>802</v>
      </c>
      <c r="G2081">
        <v>551</v>
      </c>
      <c r="H2081" t="s">
        <v>76</v>
      </c>
      <c r="I2081" t="b">
        <f t="shared" si="32"/>
        <v>0</v>
      </c>
    </row>
    <row r="2082" spans="1:9" x14ac:dyDescent="0.2">
      <c r="A2082" t="s">
        <v>6588</v>
      </c>
      <c r="B2082" t="s">
        <v>6589</v>
      </c>
      <c r="C2082" t="s">
        <v>6590</v>
      </c>
      <c r="D2082" t="s">
        <v>64</v>
      </c>
      <c r="E2082" t="s">
        <v>4</v>
      </c>
      <c r="F2082">
        <v>161</v>
      </c>
      <c r="G2082">
        <v>487</v>
      </c>
      <c r="H2082" t="s">
        <v>13</v>
      </c>
      <c r="I2082" t="b">
        <f t="shared" si="32"/>
        <v>0</v>
      </c>
    </row>
    <row r="2083" spans="1:9" x14ac:dyDescent="0.2">
      <c r="A2083" t="s">
        <v>3211</v>
      </c>
      <c r="B2083" t="s">
        <v>3212</v>
      </c>
      <c r="C2083" t="s">
        <v>3213</v>
      </c>
      <c r="D2083" t="s">
        <v>3</v>
      </c>
      <c r="E2083" t="s">
        <v>4</v>
      </c>
      <c r="F2083">
        <v>1863</v>
      </c>
      <c r="G2083">
        <v>2267</v>
      </c>
      <c r="H2083" t="s">
        <v>13</v>
      </c>
      <c r="I2083" t="b">
        <f t="shared" si="32"/>
        <v>0</v>
      </c>
    </row>
    <row r="2084" spans="1:9" x14ac:dyDescent="0.2">
      <c r="A2084" t="s">
        <v>1826</v>
      </c>
      <c r="B2084" t="s">
        <v>1827</v>
      </c>
      <c r="C2084" t="s">
        <v>1828</v>
      </c>
      <c r="D2084" t="s">
        <v>64</v>
      </c>
      <c r="E2084" t="s">
        <v>4</v>
      </c>
      <c r="F2084">
        <v>141</v>
      </c>
      <c r="G2084">
        <v>312</v>
      </c>
      <c r="H2084" t="s">
        <v>13</v>
      </c>
      <c r="I2084" t="b">
        <f t="shared" si="32"/>
        <v>0</v>
      </c>
    </row>
    <row r="2085" spans="1:9" x14ac:dyDescent="0.2">
      <c r="A2085" t="s">
        <v>4797</v>
      </c>
      <c r="B2085" t="s">
        <v>4798</v>
      </c>
      <c r="C2085" t="s">
        <v>4799</v>
      </c>
      <c r="D2085" t="s">
        <v>3</v>
      </c>
      <c r="E2085" t="s">
        <v>4</v>
      </c>
      <c r="F2085">
        <v>2503</v>
      </c>
      <c r="G2085">
        <v>988</v>
      </c>
      <c r="H2085" t="s">
        <v>13</v>
      </c>
      <c r="I2085" t="b">
        <f t="shared" si="32"/>
        <v>0</v>
      </c>
    </row>
    <row r="2086" spans="1:9" x14ac:dyDescent="0.2">
      <c r="A2086" t="s">
        <v>6854</v>
      </c>
      <c r="B2086" t="s">
        <v>6855</v>
      </c>
      <c r="C2086" t="s">
        <v>4911</v>
      </c>
      <c r="D2086" t="s">
        <v>3137</v>
      </c>
      <c r="E2086" t="s">
        <v>4</v>
      </c>
      <c r="F2086">
        <v>924</v>
      </c>
      <c r="G2086">
        <v>808</v>
      </c>
      <c r="H2086" t="s">
        <v>13</v>
      </c>
      <c r="I2086" t="b">
        <f t="shared" si="32"/>
        <v>0</v>
      </c>
    </row>
    <row r="2087" spans="1:9" x14ac:dyDescent="0.2">
      <c r="A2087" t="s">
        <v>6307</v>
      </c>
      <c r="B2087" t="s">
        <v>6308</v>
      </c>
      <c r="C2087" t="s">
        <v>6309</v>
      </c>
      <c r="D2087" t="s">
        <v>6310</v>
      </c>
      <c r="E2087" t="s">
        <v>4</v>
      </c>
      <c r="F2087">
        <v>8472</v>
      </c>
      <c r="G2087">
        <v>9075</v>
      </c>
      <c r="H2087" t="s">
        <v>13</v>
      </c>
      <c r="I2087" t="b">
        <f t="shared" si="32"/>
        <v>0</v>
      </c>
    </row>
    <row r="2088" spans="1:9" x14ac:dyDescent="0.2">
      <c r="A2088" t="s">
        <v>4959</v>
      </c>
      <c r="B2088" t="s">
        <v>4960</v>
      </c>
      <c r="C2088" t="s">
        <v>459</v>
      </c>
      <c r="D2088" t="s">
        <v>216</v>
      </c>
      <c r="E2088" t="s">
        <v>4</v>
      </c>
      <c r="F2088">
        <v>178</v>
      </c>
      <c r="G2088">
        <v>135</v>
      </c>
      <c r="H2088" t="s">
        <v>13</v>
      </c>
      <c r="I2088" t="b">
        <f t="shared" si="32"/>
        <v>1</v>
      </c>
    </row>
    <row r="2089" spans="1:9" x14ac:dyDescent="0.2">
      <c r="A2089" t="s">
        <v>5002</v>
      </c>
      <c r="B2089" t="s">
        <v>5003</v>
      </c>
      <c r="C2089" t="s">
        <v>459</v>
      </c>
      <c r="D2089" t="s">
        <v>216</v>
      </c>
      <c r="E2089" t="s">
        <v>4</v>
      </c>
      <c r="F2089">
        <v>178</v>
      </c>
      <c r="G2089">
        <v>135</v>
      </c>
      <c r="H2089" t="s">
        <v>13</v>
      </c>
      <c r="I2089" t="b">
        <f t="shared" si="32"/>
        <v>1</v>
      </c>
    </row>
    <row r="2090" spans="1:9" x14ac:dyDescent="0.2">
      <c r="A2090" t="s">
        <v>5064</v>
      </c>
      <c r="B2090" t="s">
        <v>5065</v>
      </c>
      <c r="C2090" t="s">
        <v>459</v>
      </c>
      <c r="D2090" t="s">
        <v>216</v>
      </c>
      <c r="E2090" t="s">
        <v>4</v>
      </c>
      <c r="F2090">
        <v>178</v>
      </c>
      <c r="G2090">
        <v>135</v>
      </c>
      <c r="H2090" t="s">
        <v>13</v>
      </c>
      <c r="I2090" t="b">
        <f t="shared" si="32"/>
        <v>0</v>
      </c>
    </row>
    <row r="2091" spans="1:9" x14ac:dyDescent="0.2">
      <c r="A2091" t="s">
        <v>4073</v>
      </c>
      <c r="B2091" t="s">
        <v>4074</v>
      </c>
      <c r="C2091" t="s">
        <v>2871</v>
      </c>
      <c r="D2091" t="s">
        <v>4075</v>
      </c>
      <c r="E2091" t="s">
        <v>4</v>
      </c>
      <c r="F2091">
        <v>501</v>
      </c>
      <c r="G2091">
        <v>742</v>
      </c>
      <c r="H2091" t="s">
        <v>114</v>
      </c>
      <c r="I2091" t="b">
        <f t="shared" si="32"/>
        <v>0</v>
      </c>
    </row>
    <row r="2092" spans="1:9" x14ac:dyDescent="0.2">
      <c r="A2092" t="s">
        <v>7176</v>
      </c>
      <c r="B2092" t="s">
        <v>7177</v>
      </c>
      <c r="C2092" t="s">
        <v>6742</v>
      </c>
      <c r="D2092" t="s">
        <v>7178</v>
      </c>
      <c r="E2092" t="s">
        <v>4</v>
      </c>
      <c r="F2092">
        <v>60</v>
      </c>
      <c r="G2092">
        <v>97</v>
      </c>
      <c r="H2092" t="s">
        <v>13</v>
      </c>
      <c r="I2092" t="b">
        <f t="shared" si="32"/>
        <v>0</v>
      </c>
    </row>
    <row r="2093" spans="1:9" x14ac:dyDescent="0.2">
      <c r="A2093" t="s">
        <v>5569</v>
      </c>
      <c r="B2093" t="s">
        <v>5570</v>
      </c>
      <c r="C2093" t="s">
        <v>190</v>
      </c>
      <c r="D2093" t="s">
        <v>5571</v>
      </c>
      <c r="E2093" t="s">
        <v>4</v>
      </c>
      <c r="F2093">
        <v>117</v>
      </c>
      <c r="G2093">
        <v>455</v>
      </c>
      <c r="H2093" t="s">
        <v>13</v>
      </c>
      <c r="I2093" t="b">
        <f t="shared" si="32"/>
        <v>0</v>
      </c>
    </row>
    <row r="2094" spans="1:9" x14ac:dyDescent="0.2">
      <c r="A2094" t="s">
        <v>6165</v>
      </c>
      <c r="B2094" t="s">
        <v>6166</v>
      </c>
      <c r="C2094" t="s">
        <v>6167</v>
      </c>
      <c r="D2094" t="s">
        <v>6168</v>
      </c>
      <c r="E2094" t="s">
        <v>4</v>
      </c>
      <c r="F2094">
        <v>225</v>
      </c>
      <c r="G2094">
        <v>795</v>
      </c>
      <c r="H2094" t="s">
        <v>13</v>
      </c>
      <c r="I2094" t="b">
        <f t="shared" si="32"/>
        <v>0</v>
      </c>
    </row>
    <row r="2095" spans="1:9" x14ac:dyDescent="0.2">
      <c r="A2095" t="s">
        <v>6716</v>
      </c>
      <c r="B2095" t="s">
        <v>6717</v>
      </c>
      <c r="C2095" t="s">
        <v>6718</v>
      </c>
      <c r="D2095" t="s">
        <v>3</v>
      </c>
      <c r="E2095" t="s">
        <v>4</v>
      </c>
      <c r="F2095">
        <v>943</v>
      </c>
      <c r="G2095">
        <v>611</v>
      </c>
      <c r="H2095" t="s">
        <v>13</v>
      </c>
      <c r="I2095" t="b">
        <f t="shared" si="32"/>
        <v>0</v>
      </c>
    </row>
    <row r="2096" spans="1:9" x14ac:dyDescent="0.2">
      <c r="A2096" t="s">
        <v>2572</v>
      </c>
      <c r="B2096" t="s">
        <v>2573</v>
      </c>
      <c r="C2096" t="s">
        <v>2574</v>
      </c>
      <c r="D2096" t="s">
        <v>3</v>
      </c>
      <c r="E2096" t="s">
        <v>4</v>
      </c>
      <c r="F2096">
        <v>6</v>
      </c>
      <c r="G2096">
        <v>73</v>
      </c>
      <c r="H2096" t="s">
        <v>50</v>
      </c>
      <c r="I2096" t="b">
        <f t="shared" si="32"/>
        <v>0</v>
      </c>
    </row>
    <row r="2097" spans="1:9" x14ac:dyDescent="0.2">
      <c r="A2097" t="s">
        <v>6969</v>
      </c>
      <c r="B2097" t="s">
        <v>6970</v>
      </c>
      <c r="C2097" t="s">
        <v>6971</v>
      </c>
      <c r="D2097" t="s">
        <v>3</v>
      </c>
      <c r="E2097" t="s">
        <v>4</v>
      </c>
      <c r="F2097">
        <v>25</v>
      </c>
      <c r="G2097">
        <v>0</v>
      </c>
      <c r="H2097" t="s">
        <v>13</v>
      </c>
      <c r="I2097" t="b">
        <f t="shared" si="32"/>
        <v>0</v>
      </c>
    </row>
    <row r="2098" spans="1:9" x14ac:dyDescent="0.2">
      <c r="A2098" t="s">
        <v>4863</v>
      </c>
      <c r="B2098" t="s">
        <v>4864</v>
      </c>
      <c r="C2098" t="s">
        <v>4865</v>
      </c>
      <c r="D2098" t="s">
        <v>3</v>
      </c>
      <c r="E2098" t="s">
        <v>4</v>
      </c>
      <c r="F2098">
        <v>413</v>
      </c>
      <c r="G2098">
        <v>355</v>
      </c>
      <c r="H2098" t="s">
        <v>13</v>
      </c>
      <c r="I2098" t="b">
        <f t="shared" si="32"/>
        <v>0</v>
      </c>
    </row>
    <row r="2099" spans="1:9" x14ac:dyDescent="0.2">
      <c r="A2099" t="s">
        <v>7015</v>
      </c>
      <c r="B2099" t="s">
        <v>7016</v>
      </c>
      <c r="C2099" t="s">
        <v>1317</v>
      </c>
      <c r="D2099" t="s">
        <v>7017</v>
      </c>
      <c r="E2099" t="s">
        <v>4</v>
      </c>
      <c r="F2099">
        <v>244</v>
      </c>
      <c r="G2099">
        <v>318</v>
      </c>
      <c r="H2099" t="s">
        <v>13</v>
      </c>
      <c r="I2099" t="b">
        <f t="shared" si="32"/>
        <v>0</v>
      </c>
    </row>
    <row r="2100" spans="1:9" x14ac:dyDescent="0.2">
      <c r="A2100" t="s">
        <v>5406</v>
      </c>
      <c r="B2100" t="s">
        <v>5408</v>
      </c>
      <c r="C2100" t="s">
        <v>204</v>
      </c>
      <c r="D2100" t="s">
        <v>5409</v>
      </c>
      <c r="E2100" t="s">
        <v>4</v>
      </c>
      <c r="F2100">
        <v>2282</v>
      </c>
      <c r="G2100">
        <v>4648</v>
      </c>
      <c r="H2100" t="s">
        <v>13</v>
      </c>
      <c r="I2100" t="b">
        <f t="shared" si="32"/>
        <v>0</v>
      </c>
    </row>
    <row r="2101" spans="1:9" x14ac:dyDescent="0.2">
      <c r="A2101" t="s">
        <v>2803</v>
      </c>
      <c r="B2101" t="s">
        <v>2804</v>
      </c>
      <c r="C2101" t="s">
        <v>2710</v>
      </c>
      <c r="D2101" t="s">
        <v>3</v>
      </c>
      <c r="E2101" t="s">
        <v>4</v>
      </c>
      <c r="F2101">
        <v>17</v>
      </c>
      <c r="G2101">
        <v>78</v>
      </c>
      <c r="H2101" t="s">
        <v>13</v>
      </c>
      <c r="I2101" t="b">
        <f t="shared" si="32"/>
        <v>0</v>
      </c>
    </row>
    <row r="2102" spans="1:9" x14ac:dyDescent="0.2">
      <c r="A2102" t="s">
        <v>5643</v>
      </c>
      <c r="B2102" t="s">
        <v>5644</v>
      </c>
      <c r="C2102" t="s">
        <v>5645</v>
      </c>
      <c r="D2102" t="s">
        <v>5646</v>
      </c>
      <c r="E2102" t="s">
        <v>4</v>
      </c>
      <c r="F2102">
        <v>75</v>
      </c>
      <c r="G2102">
        <v>512</v>
      </c>
      <c r="H2102" t="s">
        <v>50</v>
      </c>
      <c r="I2102" t="b">
        <f t="shared" si="32"/>
        <v>0</v>
      </c>
    </row>
    <row r="2103" spans="1:9" x14ac:dyDescent="0.2">
      <c r="A2103" t="s">
        <v>2502</v>
      </c>
      <c r="B2103" t="s">
        <v>2503</v>
      </c>
      <c r="C2103" t="s">
        <v>1166</v>
      </c>
      <c r="D2103" t="s">
        <v>2504</v>
      </c>
      <c r="E2103" t="s">
        <v>4</v>
      </c>
      <c r="F2103">
        <v>1425</v>
      </c>
      <c r="G2103">
        <v>1265</v>
      </c>
      <c r="H2103" t="s">
        <v>2184</v>
      </c>
      <c r="I2103" t="b">
        <f t="shared" si="32"/>
        <v>0</v>
      </c>
    </row>
    <row r="2104" spans="1:9" x14ac:dyDescent="0.2">
      <c r="A2104" t="s">
        <v>7225</v>
      </c>
      <c r="B2104" t="s">
        <v>7226</v>
      </c>
      <c r="C2104" t="s">
        <v>7227</v>
      </c>
      <c r="D2104" t="s">
        <v>3</v>
      </c>
      <c r="E2104" t="s">
        <v>4</v>
      </c>
      <c r="F2104">
        <v>806</v>
      </c>
      <c r="G2104">
        <v>697</v>
      </c>
      <c r="H2104" t="s">
        <v>13</v>
      </c>
      <c r="I2104" t="b">
        <f t="shared" si="32"/>
        <v>0</v>
      </c>
    </row>
    <row r="2105" spans="1:9" x14ac:dyDescent="0.2">
      <c r="A2105" t="s">
        <v>3160</v>
      </c>
      <c r="B2105" t="s">
        <v>3161</v>
      </c>
      <c r="C2105" t="s">
        <v>683</v>
      </c>
      <c r="D2105" t="s">
        <v>3</v>
      </c>
      <c r="E2105" t="s">
        <v>4</v>
      </c>
      <c r="F2105">
        <v>177</v>
      </c>
      <c r="G2105">
        <v>402</v>
      </c>
      <c r="H2105" t="s">
        <v>13</v>
      </c>
      <c r="I2105" t="b">
        <f t="shared" si="32"/>
        <v>0</v>
      </c>
    </row>
    <row r="2106" spans="1:9" x14ac:dyDescent="0.2">
      <c r="A2106" t="s">
        <v>7120</v>
      </c>
      <c r="B2106" t="s">
        <v>7121</v>
      </c>
      <c r="C2106" t="s">
        <v>251</v>
      </c>
      <c r="D2106" t="s">
        <v>2403</v>
      </c>
      <c r="E2106" t="s">
        <v>4</v>
      </c>
      <c r="F2106">
        <v>395</v>
      </c>
      <c r="G2106">
        <v>831</v>
      </c>
      <c r="H2106" t="s">
        <v>13</v>
      </c>
      <c r="I2106" t="b">
        <f t="shared" si="32"/>
        <v>0</v>
      </c>
    </row>
    <row r="2107" spans="1:9" x14ac:dyDescent="0.2">
      <c r="A2107" t="s">
        <v>3638</v>
      </c>
      <c r="B2107" t="s">
        <v>3639</v>
      </c>
      <c r="C2107" t="s">
        <v>31</v>
      </c>
      <c r="D2107" t="s">
        <v>101</v>
      </c>
      <c r="E2107" t="s">
        <v>4</v>
      </c>
      <c r="F2107">
        <v>526</v>
      </c>
      <c r="G2107">
        <v>558</v>
      </c>
      <c r="H2107" t="s">
        <v>33</v>
      </c>
      <c r="I2107" t="b">
        <f t="shared" si="32"/>
        <v>0</v>
      </c>
    </row>
    <row r="2108" spans="1:9" x14ac:dyDescent="0.2">
      <c r="A2108" t="s">
        <v>6817</v>
      </c>
      <c r="B2108" t="s">
        <v>6818</v>
      </c>
      <c r="C2108" t="s">
        <v>85</v>
      </c>
      <c r="D2108" t="s">
        <v>3</v>
      </c>
      <c r="E2108" t="s">
        <v>4</v>
      </c>
      <c r="F2108">
        <v>774</v>
      </c>
      <c r="G2108">
        <v>927</v>
      </c>
      <c r="H2108" t="s">
        <v>13</v>
      </c>
      <c r="I2108" t="b">
        <f t="shared" si="32"/>
        <v>0</v>
      </c>
    </row>
    <row r="2109" spans="1:9" x14ac:dyDescent="0.2">
      <c r="A2109" t="s">
        <v>2765</v>
      </c>
      <c r="B2109" t="s">
        <v>2766</v>
      </c>
      <c r="C2109" t="s">
        <v>1572</v>
      </c>
      <c r="D2109" t="s">
        <v>2717</v>
      </c>
      <c r="E2109" t="s">
        <v>4</v>
      </c>
      <c r="F2109">
        <v>271</v>
      </c>
      <c r="G2109">
        <v>39</v>
      </c>
      <c r="H2109" t="s">
        <v>13</v>
      </c>
      <c r="I2109" t="b">
        <f t="shared" si="32"/>
        <v>1</v>
      </c>
    </row>
    <row r="2110" spans="1:9" x14ac:dyDescent="0.2">
      <c r="A2110" t="s">
        <v>2715</v>
      </c>
      <c r="B2110" t="s">
        <v>2716</v>
      </c>
      <c r="C2110" t="s">
        <v>1572</v>
      </c>
      <c r="D2110" t="s">
        <v>2717</v>
      </c>
      <c r="E2110" t="s">
        <v>4</v>
      </c>
      <c r="F2110">
        <v>271</v>
      </c>
      <c r="G2110">
        <v>39</v>
      </c>
      <c r="H2110" t="s">
        <v>13</v>
      </c>
      <c r="I2110" t="b">
        <f t="shared" si="32"/>
        <v>0</v>
      </c>
    </row>
    <row r="2111" spans="1:9" x14ac:dyDescent="0.2">
      <c r="A2111" t="s">
        <v>6293</v>
      </c>
      <c r="B2111" t="s">
        <v>6294</v>
      </c>
      <c r="C2111" t="s">
        <v>786</v>
      </c>
      <c r="D2111" t="s">
        <v>3</v>
      </c>
      <c r="E2111" t="s">
        <v>4</v>
      </c>
      <c r="F2111">
        <v>81</v>
      </c>
      <c r="G2111">
        <v>138</v>
      </c>
      <c r="H2111" t="s">
        <v>13</v>
      </c>
      <c r="I2111" t="b">
        <f t="shared" si="32"/>
        <v>0</v>
      </c>
    </row>
    <row r="2112" spans="1:9" x14ac:dyDescent="0.2">
      <c r="A2112" t="s">
        <v>7023</v>
      </c>
      <c r="B2112" t="s">
        <v>7024</v>
      </c>
      <c r="C2112" t="s">
        <v>2954</v>
      </c>
      <c r="D2112" t="s">
        <v>7025</v>
      </c>
      <c r="E2112" t="s">
        <v>4</v>
      </c>
      <c r="F2112">
        <v>4032</v>
      </c>
      <c r="G2112">
        <v>2361</v>
      </c>
      <c r="H2112" t="s">
        <v>13</v>
      </c>
      <c r="I2112" t="b">
        <f t="shared" si="32"/>
        <v>0</v>
      </c>
    </row>
    <row r="2113" spans="1:9" x14ac:dyDescent="0.2">
      <c r="A2113" t="s">
        <v>474</v>
      </c>
      <c r="B2113" t="s">
        <v>475</v>
      </c>
      <c r="C2113" t="s">
        <v>476</v>
      </c>
      <c r="D2113" t="s">
        <v>477</v>
      </c>
      <c r="E2113" t="s">
        <v>4</v>
      </c>
      <c r="F2113">
        <v>292</v>
      </c>
      <c r="G2113">
        <v>0</v>
      </c>
      <c r="H2113" t="s">
        <v>114</v>
      </c>
      <c r="I2113" t="b">
        <f t="shared" si="32"/>
        <v>0</v>
      </c>
    </row>
    <row r="2114" spans="1:9" x14ac:dyDescent="0.2">
      <c r="A2114" t="s">
        <v>2950</v>
      </c>
      <c r="B2114" t="s">
        <v>2951</v>
      </c>
      <c r="C2114" t="s">
        <v>942</v>
      </c>
      <c r="D2114" t="s">
        <v>2779</v>
      </c>
      <c r="E2114" t="s">
        <v>4</v>
      </c>
      <c r="F2114">
        <v>1210</v>
      </c>
      <c r="G2114">
        <v>2424</v>
      </c>
      <c r="H2114" t="s">
        <v>13</v>
      </c>
      <c r="I2114" t="b">
        <f t="shared" si="32"/>
        <v>0</v>
      </c>
    </row>
    <row r="2115" spans="1:9" x14ac:dyDescent="0.2">
      <c r="A2115" t="s">
        <v>3327</v>
      </c>
      <c r="B2115" t="s">
        <v>3328</v>
      </c>
      <c r="C2115" t="s">
        <v>48</v>
      </c>
      <c r="D2115" t="s">
        <v>3</v>
      </c>
      <c r="E2115" t="s">
        <v>4</v>
      </c>
      <c r="F2115">
        <v>116</v>
      </c>
      <c r="G2115">
        <v>291</v>
      </c>
      <c r="H2115" t="s">
        <v>13</v>
      </c>
      <c r="I2115" t="b">
        <f t="shared" ref="I2115:I2178" si="33">isDup(B2115, B2116, 0.7)</f>
        <v>0</v>
      </c>
    </row>
    <row r="2116" spans="1:9" x14ac:dyDescent="0.2">
      <c r="A2116" t="s">
        <v>841</v>
      </c>
      <c r="B2116" t="s">
        <v>842</v>
      </c>
      <c r="C2116" t="s">
        <v>843</v>
      </c>
      <c r="D2116" t="s">
        <v>844</v>
      </c>
      <c r="E2116" t="s">
        <v>4</v>
      </c>
      <c r="F2116">
        <v>8</v>
      </c>
      <c r="G2116">
        <v>59</v>
      </c>
      <c r="H2116" t="s">
        <v>13</v>
      </c>
      <c r="I2116" t="b">
        <f t="shared" si="33"/>
        <v>0</v>
      </c>
    </row>
    <row r="2117" spans="1:9" x14ac:dyDescent="0.2">
      <c r="A2117" t="s">
        <v>5419</v>
      </c>
      <c r="B2117" t="s">
        <v>5420</v>
      </c>
      <c r="C2117" t="s">
        <v>3358</v>
      </c>
      <c r="D2117" t="s">
        <v>5421</v>
      </c>
      <c r="E2117" t="s">
        <v>4</v>
      </c>
      <c r="F2117">
        <v>67685</v>
      </c>
      <c r="G2117">
        <v>200</v>
      </c>
      <c r="H2117" t="s">
        <v>13</v>
      </c>
      <c r="I2117" t="b">
        <f t="shared" si="33"/>
        <v>0</v>
      </c>
    </row>
    <row r="2118" spans="1:9" x14ac:dyDescent="0.2">
      <c r="A2118" t="s">
        <v>2855</v>
      </c>
      <c r="B2118" t="s">
        <v>2856</v>
      </c>
      <c r="C2118" t="s">
        <v>730</v>
      </c>
      <c r="D2118" t="s">
        <v>2857</v>
      </c>
      <c r="E2118" t="s">
        <v>4</v>
      </c>
      <c r="F2118">
        <v>1183</v>
      </c>
      <c r="G2118">
        <v>2241</v>
      </c>
      <c r="H2118" t="s">
        <v>13</v>
      </c>
      <c r="I2118" t="b">
        <f t="shared" si="33"/>
        <v>0</v>
      </c>
    </row>
    <row r="2119" spans="1:9" x14ac:dyDescent="0.2">
      <c r="A2119" t="s">
        <v>6850</v>
      </c>
      <c r="B2119" t="s">
        <v>6851</v>
      </c>
      <c r="C2119" t="s">
        <v>395</v>
      </c>
      <c r="D2119" t="s">
        <v>4676</v>
      </c>
      <c r="E2119" t="s">
        <v>4</v>
      </c>
      <c r="F2119">
        <v>80</v>
      </c>
      <c r="G2119">
        <v>108</v>
      </c>
      <c r="H2119" t="s">
        <v>13</v>
      </c>
      <c r="I2119" t="b">
        <f t="shared" si="33"/>
        <v>0</v>
      </c>
    </row>
    <row r="2120" spans="1:9" x14ac:dyDescent="0.2">
      <c r="A2120" t="s">
        <v>6691</v>
      </c>
      <c r="B2120" t="s">
        <v>6692</v>
      </c>
      <c r="C2120" t="s">
        <v>301</v>
      </c>
      <c r="D2120" t="s">
        <v>6693</v>
      </c>
      <c r="E2120" t="s">
        <v>4</v>
      </c>
      <c r="F2120">
        <v>870</v>
      </c>
      <c r="G2120">
        <v>1275</v>
      </c>
      <c r="H2120" t="s">
        <v>13</v>
      </c>
      <c r="I2120" t="b">
        <f t="shared" si="33"/>
        <v>0</v>
      </c>
    </row>
    <row r="2121" spans="1:9" x14ac:dyDescent="0.2">
      <c r="A2121" t="s">
        <v>5222</v>
      </c>
      <c r="B2121" t="s">
        <v>5223</v>
      </c>
      <c r="C2121" t="s">
        <v>5224</v>
      </c>
      <c r="D2121" t="s">
        <v>5225</v>
      </c>
      <c r="E2121" t="s">
        <v>4</v>
      </c>
      <c r="F2121">
        <v>402</v>
      </c>
      <c r="G2121">
        <v>383</v>
      </c>
      <c r="H2121" t="s">
        <v>13</v>
      </c>
      <c r="I2121" t="b">
        <f t="shared" si="33"/>
        <v>0</v>
      </c>
    </row>
    <row r="2122" spans="1:9" x14ac:dyDescent="0.2">
      <c r="A2122" t="s">
        <v>3147</v>
      </c>
      <c r="B2122" t="s">
        <v>3148</v>
      </c>
      <c r="C2122" t="s">
        <v>2702</v>
      </c>
      <c r="D2122" t="s">
        <v>3149</v>
      </c>
      <c r="E2122" t="s">
        <v>4</v>
      </c>
      <c r="F2122">
        <v>61</v>
      </c>
      <c r="G2122">
        <v>208</v>
      </c>
      <c r="H2122" t="s">
        <v>13</v>
      </c>
      <c r="I2122" t="b">
        <f t="shared" si="33"/>
        <v>0</v>
      </c>
    </row>
    <row r="2123" spans="1:9" x14ac:dyDescent="0.2">
      <c r="A2123" t="s">
        <v>4851</v>
      </c>
      <c r="B2123" t="s">
        <v>4852</v>
      </c>
      <c r="C2123" t="s">
        <v>4853</v>
      </c>
      <c r="D2123" t="s">
        <v>4854</v>
      </c>
      <c r="E2123" t="s">
        <v>4</v>
      </c>
      <c r="F2123">
        <v>351</v>
      </c>
      <c r="G2123">
        <v>734</v>
      </c>
      <c r="H2123" t="s">
        <v>13</v>
      </c>
      <c r="I2123" t="b">
        <f t="shared" si="33"/>
        <v>0</v>
      </c>
    </row>
    <row r="2124" spans="1:9" x14ac:dyDescent="0.2">
      <c r="A2124" t="s">
        <v>838</v>
      </c>
      <c r="B2124" t="s">
        <v>839</v>
      </c>
      <c r="C2124" t="s">
        <v>840</v>
      </c>
      <c r="D2124" t="s">
        <v>3</v>
      </c>
      <c r="E2124" t="s">
        <v>4</v>
      </c>
      <c r="F2124">
        <v>35</v>
      </c>
      <c r="G2124">
        <v>250</v>
      </c>
      <c r="H2124" t="s">
        <v>13</v>
      </c>
      <c r="I2124" t="b">
        <f t="shared" si="33"/>
        <v>0</v>
      </c>
    </row>
    <row r="2125" spans="1:9" x14ac:dyDescent="0.2">
      <c r="A2125" t="s">
        <v>3180</v>
      </c>
      <c r="B2125" t="s">
        <v>3181</v>
      </c>
      <c r="C2125" t="s">
        <v>818</v>
      </c>
      <c r="D2125" t="s">
        <v>220</v>
      </c>
      <c r="E2125" t="s">
        <v>4</v>
      </c>
      <c r="F2125">
        <v>8</v>
      </c>
      <c r="G2125">
        <v>166</v>
      </c>
      <c r="H2125" t="s">
        <v>13</v>
      </c>
      <c r="I2125" t="b">
        <f t="shared" si="33"/>
        <v>0</v>
      </c>
    </row>
    <row r="2126" spans="1:9" x14ac:dyDescent="0.2">
      <c r="A2126" t="s">
        <v>7146</v>
      </c>
      <c r="B2126" t="s">
        <v>7147</v>
      </c>
      <c r="C2126" t="s">
        <v>777</v>
      </c>
      <c r="D2126" t="s">
        <v>7148</v>
      </c>
      <c r="E2126" t="s">
        <v>4</v>
      </c>
      <c r="F2126">
        <v>2594</v>
      </c>
      <c r="G2126">
        <v>1236</v>
      </c>
      <c r="H2126" t="s">
        <v>13</v>
      </c>
      <c r="I2126" t="b">
        <f t="shared" si="33"/>
        <v>0</v>
      </c>
    </row>
    <row r="2127" spans="1:9" x14ac:dyDescent="0.2">
      <c r="A2127" t="s">
        <v>3731</v>
      </c>
      <c r="B2127" t="s">
        <v>3732</v>
      </c>
      <c r="C2127" t="s">
        <v>3733</v>
      </c>
      <c r="D2127" t="s">
        <v>3734</v>
      </c>
      <c r="E2127" t="s">
        <v>4</v>
      </c>
      <c r="F2127">
        <v>47</v>
      </c>
      <c r="G2127">
        <v>151</v>
      </c>
      <c r="H2127" t="s">
        <v>13</v>
      </c>
      <c r="I2127" t="b">
        <f t="shared" si="33"/>
        <v>0</v>
      </c>
    </row>
    <row r="2128" spans="1:9" x14ac:dyDescent="0.2">
      <c r="A2128" t="s">
        <v>3848</v>
      </c>
      <c r="B2128" t="s">
        <v>3849</v>
      </c>
      <c r="C2128" t="s">
        <v>873</v>
      </c>
      <c r="D2128" t="s">
        <v>2794</v>
      </c>
      <c r="E2128" t="s">
        <v>38</v>
      </c>
      <c r="F2128">
        <v>6781</v>
      </c>
      <c r="G2128">
        <v>3334</v>
      </c>
      <c r="H2128" t="s">
        <v>13</v>
      </c>
      <c r="I2128" t="b">
        <f t="shared" si="33"/>
        <v>0</v>
      </c>
    </row>
    <row r="2129" spans="1:9" x14ac:dyDescent="0.2">
      <c r="A2129" t="s">
        <v>7174</v>
      </c>
      <c r="B2129" t="s">
        <v>7175</v>
      </c>
      <c r="C2129" t="s">
        <v>406</v>
      </c>
      <c r="D2129" t="s">
        <v>5356</v>
      </c>
      <c r="E2129" t="s">
        <v>4</v>
      </c>
      <c r="F2129">
        <v>374</v>
      </c>
      <c r="G2129">
        <v>410</v>
      </c>
      <c r="H2129" t="s">
        <v>13</v>
      </c>
      <c r="I2129" t="b">
        <f t="shared" si="33"/>
        <v>0</v>
      </c>
    </row>
    <row r="2130" spans="1:9" x14ac:dyDescent="0.2">
      <c r="A2130" t="s">
        <v>4108</v>
      </c>
      <c r="B2130" t="s">
        <v>4109</v>
      </c>
      <c r="C2130" t="s">
        <v>4110</v>
      </c>
      <c r="D2130" t="s">
        <v>4111</v>
      </c>
      <c r="E2130" t="s">
        <v>4</v>
      </c>
      <c r="F2130">
        <v>30</v>
      </c>
      <c r="G2130">
        <v>335</v>
      </c>
      <c r="H2130" t="s">
        <v>13</v>
      </c>
      <c r="I2130" t="b">
        <f t="shared" si="33"/>
        <v>0</v>
      </c>
    </row>
    <row r="2131" spans="1:9" x14ac:dyDescent="0.2">
      <c r="A2131" t="s">
        <v>2180</v>
      </c>
      <c r="B2131" t="s">
        <v>2182</v>
      </c>
      <c r="C2131" t="s">
        <v>2183</v>
      </c>
      <c r="D2131" t="s">
        <v>3</v>
      </c>
      <c r="E2131" t="s">
        <v>4</v>
      </c>
      <c r="F2131">
        <v>65</v>
      </c>
      <c r="G2131">
        <v>50</v>
      </c>
      <c r="H2131" t="s">
        <v>2184</v>
      </c>
      <c r="I2131" t="b">
        <f t="shared" si="33"/>
        <v>0</v>
      </c>
    </row>
    <row r="2132" spans="1:9" x14ac:dyDescent="0.2">
      <c r="A2132" t="s">
        <v>5711</v>
      </c>
      <c r="B2132" t="s">
        <v>5712</v>
      </c>
      <c r="C2132" t="s">
        <v>4086</v>
      </c>
      <c r="D2132" t="s">
        <v>3</v>
      </c>
      <c r="E2132" t="s">
        <v>4</v>
      </c>
      <c r="F2132">
        <v>30</v>
      </c>
      <c r="G2132">
        <v>71</v>
      </c>
      <c r="H2132" t="s">
        <v>13</v>
      </c>
      <c r="I2132" t="b">
        <f t="shared" si="33"/>
        <v>0</v>
      </c>
    </row>
    <row r="2133" spans="1:9" x14ac:dyDescent="0.2">
      <c r="A2133" t="s">
        <v>2512</v>
      </c>
      <c r="B2133" t="s">
        <v>2513</v>
      </c>
      <c r="C2133" t="s">
        <v>2514</v>
      </c>
      <c r="D2133" t="s">
        <v>3</v>
      </c>
      <c r="E2133" t="s">
        <v>4</v>
      </c>
      <c r="F2133">
        <v>430</v>
      </c>
      <c r="G2133">
        <v>263</v>
      </c>
      <c r="H2133" t="s">
        <v>13</v>
      </c>
      <c r="I2133" t="b">
        <f t="shared" si="33"/>
        <v>0</v>
      </c>
    </row>
    <row r="2134" spans="1:9" x14ac:dyDescent="0.2">
      <c r="A2134" t="s">
        <v>6687</v>
      </c>
      <c r="B2134" t="s">
        <v>6688</v>
      </c>
      <c r="C2134" t="s">
        <v>4911</v>
      </c>
      <c r="D2134" t="s">
        <v>3</v>
      </c>
      <c r="E2134" t="s">
        <v>4</v>
      </c>
      <c r="F2134">
        <v>37</v>
      </c>
      <c r="G2134">
        <v>425</v>
      </c>
      <c r="H2134" t="s">
        <v>13</v>
      </c>
      <c r="I2134" t="b">
        <f t="shared" si="33"/>
        <v>0</v>
      </c>
    </row>
    <row r="2135" spans="1:9" x14ac:dyDescent="0.2">
      <c r="A2135" t="s">
        <v>5498</v>
      </c>
      <c r="B2135" t="s">
        <v>5499</v>
      </c>
      <c r="C2135" t="s">
        <v>2490</v>
      </c>
      <c r="D2135" t="s">
        <v>5500</v>
      </c>
      <c r="E2135" t="s">
        <v>4</v>
      </c>
      <c r="F2135">
        <v>18</v>
      </c>
      <c r="G2135">
        <v>187</v>
      </c>
      <c r="H2135" t="s">
        <v>13</v>
      </c>
      <c r="I2135" t="b">
        <f t="shared" si="33"/>
        <v>0</v>
      </c>
    </row>
    <row r="2136" spans="1:9" x14ac:dyDescent="0.2">
      <c r="A2136" t="s">
        <v>6829</v>
      </c>
      <c r="B2136" t="s">
        <v>6830</v>
      </c>
      <c r="C2136" t="s">
        <v>2942</v>
      </c>
      <c r="D2136" t="s">
        <v>3</v>
      </c>
      <c r="E2136" t="s">
        <v>4</v>
      </c>
      <c r="F2136">
        <v>3</v>
      </c>
      <c r="G2136">
        <v>59</v>
      </c>
      <c r="H2136" t="s">
        <v>13</v>
      </c>
      <c r="I2136" t="b">
        <f t="shared" si="33"/>
        <v>0</v>
      </c>
    </row>
    <row r="2137" spans="1:9" x14ac:dyDescent="0.2">
      <c r="A2137" t="s">
        <v>6725</v>
      </c>
      <c r="B2137" t="s">
        <v>6726</v>
      </c>
      <c r="C2137" t="s">
        <v>1201</v>
      </c>
      <c r="D2137" t="s">
        <v>3</v>
      </c>
      <c r="E2137" t="s">
        <v>4</v>
      </c>
      <c r="F2137">
        <v>297</v>
      </c>
      <c r="G2137">
        <v>110</v>
      </c>
      <c r="H2137" t="s">
        <v>13</v>
      </c>
      <c r="I2137" t="b">
        <f t="shared" si="33"/>
        <v>0</v>
      </c>
    </row>
    <row r="2138" spans="1:9" x14ac:dyDescent="0.2">
      <c r="A2138" t="s">
        <v>2718</v>
      </c>
      <c r="B2138" t="s">
        <v>2721</v>
      </c>
      <c r="C2138" t="s">
        <v>323</v>
      </c>
      <c r="D2138" t="s">
        <v>422</v>
      </c>
      <c r="E2138" t="s">
        <v>4</v>
      </c>
      <c r="F2138">
        <v>22</v>
      </c>
      <c r="G2138">
        <v>61</v>
      </c>
      <c r="H2138" t="s">
        <v>13</v>
      </c>
      <c r="I2138" t="b">
        <f t="shared" si="33"/>
        <v>0</v>
      </c>
    </row>
    <row r="2139" spans="1:9" x14ac:dyDescent="0.2">
      <c r="A2139" t="s">
        <v>6348</v>
      </c>
      <c r="B2139" t="s">
        <v>6349</v>
      </c>
      <c r="C2139" t="s">
        <v>5503</v>
      </c>
      <c r="D2139" t="s">
        <v>6350</v>
      </c>
      <c r="E2139" t="s">
        <v>4</v>
      </c>
      <c r="F2139">
        <v>367</v>
      </c>
      <c r="G2139">
        <v>1664</v>
      </c>
      <c r="H2139" t="s">
        <v>13</v>
      </c>
      <c r="I2139" t="b">
        <f t="shared" si="33"/>
        <v>0</v>
      </c>
    </row>
    <row r="2140" spans="1:9" x14ac:dyDescent="0.2">
      <c r="A2140" t="s">
        <v>2928</v>
      </c>
      <c r="B2140" t="s">
        <v>2929</v>
      </c>
      <c r="C2140" t="s">
        <v>2930</v>
      </c>
      <c r="D2140" t="s">
        <v>2931</v>
      </c>
      <c r="E2140" t="s">
        <v>4</v>
      </c>
      <c r="F2140">
        <v>13475</v>
      </c>
      <c r="G2140">
        <v>492</v>
      </c>
      <c r="H2140" t="s">
        <v>13</v>
      </c>
      <c r="I2140" t="b">
        <f t="shared" si="33"/>
        <v>0</v>
      </c>
    </row>
    <row r="2141" spans="1:9" x14ac:dyDescent="0.2">
      <c r="A2141" t="s">
        <v>7142</v>
      </c>
      <c r="B2141" t="s">
        <v>7143</v>
      </c>
      <c r="C2141" t="s">
        <v>859</v>
      </c>
      <c r="D2141" t="s">
        <v>71</v>
      </c>
      <c r="E2141" t="s">
        <v>4</v>
      </c>
      <c r="F2141">
        <v>142</v>
      </c>
      <c r="G2141">
        <v>131</v>
      </c>
      <c r="H2141" t="s">
        <v>13</v>
      </c>
      <c r="I2141" t="b">
        <f t="shared" si="33"/>
        <v>0</v>
      </c>
    </row>
    <row r="2142" spans="1:9" x14ac:dyDescent="0.2">
      <c r="A2142" t="s">
        <v>671</v>
      </c>
      <c r="B2142" t="s">
        <v>672</v>
      </c>
      <c r="C2142" t="s">
        <v>283</v>
      </c>
      <c r="D2142" t="s">
        <v>320</v>
      </c>
      <c r="E2142" t="s">
        <v>4</v>
      </c>
      <c r="F2142">
        <v>964</v>
      </c>
      <c r="G2142">
        <v>267</v>
      </c>
      <c r="H2142" t="s">
        <v>13</v>
      </c>
      <c r="I2142" t="b">
        <f t="shared" si="33"/>
        <v>0</v>
      </c>
    </row>
    <row r="2143" spans="1:9" x14ac:dyDescent="0.2">
      <c r="A2143" t="s">
        <v>2046</v>
      </c>
      <c r="B2143" t="s">
        <v>2047</v>
      </c>
      <c r="C2143" t="s">
        <v>2048</v>
      </c>
      <c r="D2143" t="s">
        <v>3</v>
      </c>
      <c r="E2143" t="s">
        <v>4</v>
      </c>
      <c r="F2143">
        <v>13</v>
      </c>
      <c r="G2143">
        <v>71</v>
      </c>
      <c r="H2143" t="s">
        <v>13</v>
      </c>
      <c r="I2143" t="b">
        <f t="shared" si="33"/>
        <v>0</v>
      </c>
    </row>
    <row r="2144" spans="1:9" x14ac:dyDescent="0.2">
      <c r="A2144" t="s">
        <v>3830</v>
      </c>
      <c r="B2144" t="s">
        <v>3831</v>
      </c>
      <c r="C2144" t="s">
        <v>226</v>
      </c>
      <c r="D2144" t="s">
        <v>227</v>
      </c>
      <c r="E2144" t="s">
        <v>4</v>
      </c>
      <c r="F2144">
        <v>9224</v>
      </c>
      <c r="G2144">
        <v>7170</v>
      </c>
      <c r="H2144" t="s">
        <v>13</v>
      </c>
      <c r="I2144" t="b">
        <f t="shared" si="33"/>
        <v>0</v>
      </c>
    </row>
    <row r="2145" spans="1:9" x14ac:dyDescent="0.2">
      <c r="A2145" t="s">
        <v>563</v>
      </c>
      <c r="B2145" t="s">
        <v>570</v>
      </c>
      <c r="C2145" t="s">
        <v>571</v>
      </c>
      <c r="D2145" t="s">
        <v>64</v>
      </c>
      <c r="E2145" t="s">
        <v>4</v>
      </c>
      <c r="F2145">
        <v>580</v>
      </c>
      <c r="G2145">
        <v>0</v>
      </c>
      <c r="H2145" t="s">
        <v>13</v>
      </c>
      <c r="I2145" t="b">
        <f t="shared" si="33"/>
        <v>1</v>
      </c>
    </row>
    <row r="2146" spans="1:9" x14ac:dyDescent="0.2">
      <c r="A2146" t="s">
        <v>1180</v>
      </c>
      <c r="B2146" t="s">
        <v>1181</v>
      </c>
      <c r="C2146" t="s">
        <v>571</v>
      </c>
      <c r="D2146" t="s">
        <v>64</v>
      </c>
      <c r="E2146" t="s">
        <v>4</v>
      </c>
      <c r="F2146">
        <v>580</v>
      </c>
      <c r="G2146">
        <v>0</v>
      </c>
      <c r="H2146" t="s">
        <v>13</v>
      </c>
      <c r="I2146" t="b">
        <f t="shared" si="33"/>
        <v>1</v>
      </c>
    </row>
    <row r="2147" spans="1:9" x14ac:dyDescent="0.2">
      <c r="A2147" t="s">
        <v>4972</v>
      </c>
      <c r="B2147" t="s">
        <v>4980</v>
      </c>
      <c r="C2147" t="s">
        <v>571</v>
      </c>
      <c r="D2147" t="s">
        <v>64</v>
      </c>
      <c r="E2147" t="s">
        <v>4</v>
      </c>
      <c r="F2147">
        <v>580</v>
      </c>
      <c r="G2147">
        <v>0</v>
      </c>
      <c r="H2147" t="s">
        <v>13</v>
      </c>
      <c r="I2147" t="b">
        <f t="shared" si="33"/>
        <v>1</v>
      </c>
    </row>
    <row r="2148" spans="1:9" x14ac:dyDescent="0.2">
      <c r="A2148" t="s">
        <v>1917</v>
      </c>
      <c r="B2148" t="s">
        <v>1921</v>
      </c>
      <c r="C2148" t="s">
        <v>571</v>
      </c>
      <c r="D2148" t="s">
        <v>64</v>
      </c>
      <c r="E2148" t="s">
        <v>4</v>
      </c>
      <c r="F2148">
        <v>580</v>
      </c>
      <c r="G2148">
        <v>0</v>
      </c>
      <c r="H2148" t="s">
        <v>13</v>
      </c>
      <c r="I2148" t="b">
        <f t="shared" si="33"/>
        <v>1</v>
      </c>
    </row>
    <row r="2149" spans="1:9" x14ac:dyDescent="0.2">
      <c r="A2149" t="s">
        <v>4259</v>
      </c>
      <c r="B2149" t="s">
        <v>4260</v>
      </c>
      <c r="C2149" t="s">
        <v>571</v>
      </c>
      <c r="D2149" t="s">
        <v>64</v>
      </c>
      <c r="E2149" t="s">
        <v>4</v>
      </c>
      <c r="F2149">
        <v>580</v>
      </c>
      <c r="G2149">
        <v>0</v>
      </c>
      <c r="H2149" t="s">
        <v>13</v>
      </c>
      <c r="I2149" t="b">
        <f t="shared" si="33"/>
        <v>1</v>
      </c>
    </row>
    <row r="2150" spans="1:9" x14ac:dyDescent="0.2">
      <c r="A2150" t="s">
        <v>5614</v>
      </c>
      <c r="B2150" t="s">
        <v>5617</v>
      </c>
      <c r="C2150" t="s">
        <v>571</v>
      </c>
      <c r="D2150" t="s">
        <v>64</v>
      </c>
      <c r="E2150" t="s">
        <v>4</v>
      </c>
      <c r="F2150">
        <v>580</v>
      </c>
      <c r="G2150">
        <v>0</v>
      </c>
      <c r="H2150" t="s">
        <v>13</v>
      </c>
      <c r="I2150" t="b">
        <f t="shared" si="33"/>
        <v>1</v>
      </c>
    </row>
    <row r="2151" spans="1:9" x14ac:dyDescent="0.2">
      <c r="A2151" t="s">
        <v>3500</v>
      </c>
      <c r="B2151" t="s">
        <v>3502</v>
      </c>
      <c r="C2151" t="s">
        <v>571</v>
      </c>
      <c r="D2151" t="s">
        <v>64</v>
      </c>
      <c r="E2151" t="s">
        <v>4</v>
      </c>
      <c r="F2151">
        <v>580</v>
      </c>
      <c r="G2151">
        <v>0</v>
      </c>
      <c r="H2151" t="s">
        <v>13</v>
      </c>
      <c r="I2151" t="b">
        <f t="shared" si="33"/>
        <v>1</v>
      </c>
    </row>
    <row r="2152" spans="1:9" x14ac:dyDescent="0.2">
      <c r="A2152" t="s">
        <v>6419</v>
      </c>
      <c r="B2152" t="s">
        <v>6423</v>
      </c>
      <c r="C2152" t="s">
        <v>571</v>
      </c>
      <c r="D2152" t="s">
        <v>64</v>
      </c>
      <c r="E2152" t="s">
        <v>4</v>
      </c>
      <c r="F2152">
        <v>580</v>
      </c>
      <c r="G2152">
        <v>0</v>
      </c>
      <c r="H2152" t="s">
        <v>13</v>
      </c>
      <c r="I2152" t="b">
        <f t="shared" si="33"/>
        <v>1</v>
      </c>
    </row>
    <row r="2153" spans="1:9" x14ac:dyDescent="0.2">
      <c r="A2153" t="s">
        <v>7051</v>
      </c>
      <c r="B2153" t="s">
        <v>7053</v>
      </c>
      <c r="C2153" t="s">
        <v>571</v>
      </c>
      <c r="D2153" t="s">
        <v>64</v>
      </c>
      <c r="E2153" t="s">
        <v>4</v>
      </c>
      <c r="F2153">
        <v>580</v>
      </c>
      <c r="G2153">
        <v>0</v>
      </c>
      <c r="H2153" t="s">
        <v>13</v>
      </c>
      <c r="I2153" t="b">
        <f t="shared" si="33"/>
        <v>1</v>
      </c>
    </row>
    <row r="2154" spans="1:9" x14ac:dyDescent="0.2">
      <c r="A2154" t="s">
        <v>2670</v>
      </c>
      <c r="B2154" t="s">
        <v>2674</v>
      </c>
      <c r="C2154" t="s">
        <v>571</v>
      </c>
      <c r="D2154" t="s">
        <v>64</v>
      </c>
      <c r="E2154" t="s">
        <v>4</v>
      </c>
      <c r="F2154">
        <v>580</v>
      </c>
      <c r="G2154">
        <v>0</v>
      </c>
      <c r="H2154" t="s">
        <v>13</v>
      </c>
      <c r="I2154" t="b">
        <f t="shared" si="33"/>
        <v>0</v>
      </c>
    </row>
    <row r="2155" spans="1:9" x14ac:dyDescent="0.2">
      <c r="A2155" t="s">
        <v>7098</v>
      </c>
      <c r="B2155" t="s">
        <v>7099</v>
      </c>
      <c r="C2155" t="s">
        <v>4158</v>
      </c>
      <c r="D2155" t="s">
        <v>3</v>
      </c>
      <c r="E2155" t="s">
        <v>4</v>
      </c>
      <c r="F2155">
        <v>6</v>
      </c>
      <c r="G2155">
        <v>6</v>
      </c>
      <c r="H2155" t="s">
        <v>13</v>
      </c>
      <c r="I2155" t="b">
        <f t="shared" si="33"/>
        <v>0</v>
      </c>
    </row>
    <row r="2156" spans="1:9" x14ac:dyDescent="0.2">
      <c r="A2156" t="s">
        <v>1758</v>
      </c>
      <c r="B2156" t="s">
        <v>1759</v>
      </c>
      <c r="C2156" t="s">
        <v>996</v>
      </c>
      <c r="D2156" t="s">
        <v>3</v>
      </c>
      <c r="E2156" t="s">
        <v>4</v>
      </c>
      <c r="F2156">
        <v>201</v>
      </c>
      <c r="G2156">
        <v>18</v>
      </c>
      <c r="H2156" t="s">
        <v>13</v>
      </c>
      <c r="I2156" t="b">
        <f t="shared" si="33"/>
        <v>0</v>
      </c>
    </row>
    <row r="2157" spans="1:9" x14ac:dyDescent="0.2">
      <c r="A2157" t="s">
        <v>4048</v>
      </c>
      <c r="B2157" t="s">
        <v>4049</v>
      </c>
      <c r="C2157" t="s">
        <v>4050</v>
      </c>
      <c r="D2157" t="s">
        <v>113</v>
      </c>
      <c r="E2157" t="s">
        <v>4</v>
      </c>
      <c r="F2157">
        <v>2053</v>
      </c>
      <c r="G2157">
        <v>407</v>
      </c>
      <c r="H2157" t="s">
        <v>13</v>
      </c>
      <c r="I2157" t="b">
        <f t="shared" si="33"/>
        <v>0</v>
      </c>
    </row>
    <row r="2158" spans="1:9" x14ac:dyDescent="0.2">
      <c r="A2158" t="s">
        <v>2518</v>
      </c>
      <c r="B2158" t="s">
        <v>2519</v>
      </c>
      <c r="C2158" t="s">
        <v>2520</v>
      </c>
      <c r="D2158" t="s">
        <v>3</v>
      </c>
      <c r="E2158" t="s">
        <v>4</v>
      </c>
      <c r="F2158">
        <v>15</v>
      </c>
      <c r="G2158">
        <v>53</v>
      </c>
      <c r="H2158" t="s">
        <v>13</v>
      </c>
      <c r="I2158" t="b">
        <f t="shared" si="33"/>
        <v>0</v>
      </c>
    </row>
    <row r="2159" spans="1:9" x14ac:dyDescent="0.2">
      <c r="A2159" t="s">
        <v>1407</v>
      </c>
      <c r="B2159" t="s">
        <v>1408</v>
      </c>
      <c r="C2159" t="s">
        <v>1409</v>
      </c>
      <c r="D2159" t="s">
        <v>1410</v>
      </c>
      <c r="E2159" t="s">
        <v>4</v>
      </c>
      <c r="F2159">
        <v>634</v>
      </c>
      <c r="G2159">
        <v>825</v>
      </c>
      <c r="H2159" t="s">
        <v>13</v>
      </c>
      <c r="I2159" t="b">
        <f t="shared" si="33"/>
        <v>0</v>
      </c>
    </row>
    <row r="2160" spans="1:9" x14ac:dyDescent="0.2">
      <c r="A2160" t="s">
        <v>2754</v>
      </c>
      <c r="B2160" t="s">
        <v>2755</v>
      </c>
      <c r="C2160" t="s">
        <v>2048</v>
      </c>
      <c r="D2160" t="s">
        <v>3</v>
      </c>
      <c r="E2160" t="s">
        <v>4</v>
      </c>
      <c r="F2160">
        <v>206</v>
      </c>
      <c r="G2160">
        <v>340</v>
      </c>
      <c r="H2160" t="s">
        <v>13</v>
      </c>
      <c r="I2160" t="b">
        <f t="shared" si="33"/>
        <v>0</v>
      </c>
    </row>
    <row r="2161" spans="1:9" x14ac:dyDescent="0.2">
      <c r="A2161" t="s">
        <v>7159</v>
      </c>
      <c r="B2161" t="s">
        <v>7160</v>
      </c>
      <c r="C2161" t="s">
        <v>6250</v>
      </c>
      <c r="D2161" t="s">
        <v>7161</v>
      </c>
      <c r="E2161" t="s">
        <v>4</v>
      </c>
      <c r="F2161">
        <v>298</v>
      </c>
      <c r="G2161">
        <v>153</v>
      </c>
      <c r="H2161" t="s">
        <v>13</v>
      </c>
      <c r="I2161" t="b">
        <f t="shared" si="33"/>
        <v>0</v>
      </c>
    </row>
    <row r="2162" spans="1:9" x14ac:dyDescent="0.2">
      <c r="A2162" t="s">
        <v>3312</v>
      </c>
      <c r="B2162" t="s">
        <v>3313</v>
      </c>
      <c r="C2162" t="s">
        <v>3314</v>
      </c>
      <c r="D2162" t="s">
        <v>3</v>
      </c>
      <c r="E2162" t="s">
        <v>4</v>
      </c>
      <c r="F2162">
        <v>5</v>
      </c>
      <c r="G2162">
        <v>7</v>
      </c>
      <c r="H2162" t="s">
        <v>13</v>
      </c>
      <c r="I2162" t="b">
        <f t="shared" si="33"/>
        <v>0</v>
      </c>
    </row>
    <row r="2163" spans="1:9" x14ac:dyDescent="0.2">
      <c r="A2163" t="s">
        <v>1301</v>
      </c>
      <c r="B2163" t="s">
        <v>1302</v>
      </c>
      <c r="C2163" t="s">
        <v>323</v>
      </c>
      <c r="D2163" t="s">
        <v>1045</v>
      </c>
      <c r="E2163" t="s">
        <v>4</v>
      </c>
      <c r="F2163">
        <v>2639</v>
      </c>
      <c r="G2163">
        <v>428</v>
      </c>
      <c r="H2163" t="s">
        <v>13</v>
      </c>
      <c r="I2163" t="b">
        <f t="shared" si="33"/>
        <v>0</v>
      </c>
    </row>
    <row r="2164" spans="1:9" x14ac:dyDescent="0.2">
      <c r="A2164" t="s">
        <v>5903</v>
      </c>
      <c r="B2164" t="s">
        <v>5904</v>
      </c>
      <c r="C2164" t="s">
        <v>5905</v>
      </c>
      <c r="D2164" t="s">
        <v>5906</v>
      </c>
      <c r="E2164" t="s">
        <v>4</v>
      </c>
      <c r="F2164">
        <v>294</v>
      </c>
      <c r="G2164">
        <v>294</v>
      </c>
      <c r="H2164" t="s">
        <v>13</v>
      </c>
      <c r="I2164" t="b">
        <f t="shared" si="33"/>
        <v>0</v>
      </c>
    </row>
    <row r="2165" spans="1:9" x14ac:dyDescent="0.2">
      <c r="A2165" t="s">
        <v>3155</v>
      </c>
      <c r="B2165" t="s">
        <v>3156</v>
      </c>
      <c r="C2165" t="s">
        <v>414</v>
      </c>
      <c r="D2165" t="s">
        <v>3157</v>
      </c>
      <c r="E2165" t="s">
        <v>4</v>
      </c>
      <c r="F2165">
        <v>153</v>
      </c>
      <c r="G2165">
        <v>529</v>
      </c>
      <c r="H2165" t="s">
        <v>13</v>
      </c>
      <c r="I2165" t="b">
        <f t="shared" si="33"/>
        <v>0</v>
      </c>
    </row>
    <row r="2166" spans="1:9" x14ac:dyDescent="0.2">
      <c r="A2166" t="s">
        <v>6159</v>
      </c>
      <c r="B2166" t="s">
        <v>6160</v>
      </c>
      <c r="C2166" t="s">
        <v>6161</v>
      </c>
      <c r="D2166" t="s">
        <v>6162</v>
      </c>
      <c r="E2166" t="s">
        <v>4</v>
      </c>
      <c r="F2166">
        <v>239</v>
      </c>
      <c r="G2166">
        <v>395</v>
      </c>
      <c r="H2166" t="s">
        <v>13</v>
      </c>
      <c r="I2166" t="b">
        <f t="shared" si="33"/>
        <v>0</v>
      </c>
    </row>
    <row r="2167" spans="1:9" x14ac:dyDescent="0.2">
      <c r="A2167" t="s">
        <v>6235</v>
      </c>
      <c r="B2167" t="s">
        <v>6236</v>
      </c>
      <c r="C2167" t="s">
        <v>6237</v>
      </c>
      <c r="D2167" t="s">
        <v>6238</v>
      </c>
      <c r="E2167" t="s">
        <v>4</v>
      </c>
      <c r="F2167">
        <v>903</v>
      </c>
      <c r="G2167">
        <v>291</v>
      </c>
      <c r="H2167" t="s">
        <v>13</v>
      </c>
      <c r="I2167" t="b">
        <f t="shared" si="33"/>
        <v>0</v>
      </c>
    </row>
    <row r="2168" spans="1:9" x14ac:dyDescent="0.2">
      <c r="A2168" t="s">
        <v>1782</v>
      </c>
      <c r="B2168" t="s">
        <v>1783</v>
      </c>
      <c r="C2168" t="s">
        <v>1784</v>
      </c>
      <c r="D2168" t="s">
        <v>1785</v>
      </c>
      <c r="E2168" t="s">
        <v>4</v>
      </c>
      <c r="F2168">
        <v>534</v>
      </c>
      <c r="G2168">
        <v>545</v>
      </c>
      <c r="H2168" t="s">
        <v>13</v>
      </c>
      <c r="I2168" t="b">
        <f t="shared" si="33"/>
        <v>0</v>
      </c>
    </row>
    <row r="2169" spans="1:9" x14ac:dyDescent="0.2">
      <c r="A2169" t="s">
        <v>3629</v>
      </c>
      <c r="B2169" t="s">
        <v>3630</v>
      </c>
      <c r="C2169" t="s">
        <v>558</v>
      </c>
      <c r="D2169" t="s">
        <v>3</v>
      </c>
      <c r="E2169" t="s">
        <v>4</v>
      </c>
      <c r="F2169">
        <v>226</v>
      </c>
      <c r="G2169">
        <v>70</v>
      </c>
      <c r="H2169" t="s">
        <v>13</v>
      </c>
      <c r="I2169" t="b">
        <f t="shared" si="33"/>
        <v>0</v>
      </c>
    </row>
    <row r="2170" spans="1:9" x14ac:dyDescent="0.2">
      <c r="A2170" t="s">
        <v>5135</v>
      </c>
      <c r="B2170" t="s">
        <v>5136</v>
      </c>
      <c r="C2170" t="s">
        <v>3890</v>
      </c>
      <c r="D2170" t="s">
        <v>3</v>
      </c>
      <c r="E2170" t="s">
        <v>4</v>
      </c>
      <c r="F2170">
        <v>102</v>
      </c>
      <c r="G2170">
        <v>136</v>
      </c>
      <c r="H2170" t="s">
        <v>13</v>
      </c>
      <c r="I2170" t="b">
        <f t="shared" si="33"/>
        <v>0</v>
      </c>
    </row>
    <row r="2171" spans="1:9" x14ac:dyDescent="0.2">
      <c r="A2171" t="s">
        <v>5656</v>
      </c>
      <c r="B2171" t="s">
        <v>5657</v>
      </c>
      <c r="C2171" t="s">
        <v>1230</v>
      </c>
      <c r="D2171" t="s">
        <v>1231</v>
      </c>
      <c r="E2171" t="s">
        <v>4</v>
      </c>
      <c r="F2171">
        <v>427</v>
      </c>
      <c r="G2171">
        <v>768</v>
      </c>
      <c r="H2171" t="s">
        <v>13</v>
      </c>
      <c r="I2171" t="b">
        <f t="shared" si="33"/>
        <v>0</v>
      </c>
    </row>
    <row r="2172" spans="1:9" x14ac:dyDescent="0.2">
      <c r="A2172" t="s">
        <v>6300</v>
      </c>
      <c r="B2172" t="s">
        <v>6301</v>
      </c>
      <c r="C2172" t="s">
        <v>459</v>
      </c>
      <c r="D2172" t="s">
        <v>6302</v>
      </c>
      <c r="E2172" t="s">
        <v>4</v>
      </c>
      <c r="F2172">
        <v>110</v>
      </c>
      <c r="G2172">
        <v>74</v>
      </c>
      <c r="H2172" t="s">
        <v>13</v>
      </c>
      <c r="I2172" t="b">
        <f t="shared" si="33"/>
        <v>0</v>
      </c>
    </row>
    <row r="2173" spans="1:9" x14ac:dyDescent="0.2">
      <c r="A2173" t="s">
        <v>2759</v>
      </c>
      <c r="B2173" t="s">
        <v>2760</v>
      </c>
      <c r="C2173" t="s">
        <v>2761</v>
      </c>
      <c r="D2173" t="s">
        <v>3</v>
      </c>
      <c r="E2173" t="s">
        <v>4</v>
      </c>
      <c r="F2173">
        <v>21</v>
      </c>
      <c r="G2173">
        <v>106</v>
      </c>
      <c r="H2173" t="s">
        <v>13</v>
      </c>
      <c r="I2173" t="b">
        <f t="shared" si="33"/>
        <v>0</v>
      </c>
    </row>
    <row r="2174" spans="1:9" x14ac:dyDescent="0.2">
      <c r="A2174" t="s">
        <v>745</v>
      </c>
      <c r="B2174" t="s">
        <v>746</v>
      </c>
      <c r="C2174" t="s">
        <v>289</v>
      </c>
      <c r="D2174" t="s">
        <v>101</v>
      </c>
      <c r="E2174" t="s">
        <v>4</v>
      </c>
      <c r="F2174">
        <v>230</v>
      </c>
      <c r="G2174">
        <v>172</v>
      </c>
      <c r="H2174" t="s">
        <v>13</v>
      </c>
      <c r="I2174" t="b">
        <f t="shared" si="33"/>
        <v>0</v>
      </c>
    </row>
    <row r="2175" spans="1:9" x14ac:dyDescent="0.2">
      <c r="A2175" t="s">
        <v>6856</v>
      </c>
      <c r="B2175" t="s">
        <v>6857</v>
      </c>
      <c r="C2175" t="s">
        <v>487</v>
      </c>
      <c r="D2175" t="s">
        <v>488</v>
      </c>
      <c r="E2175" t="s">
        <v>4</v>
      </c>
      <c r="F2175">
        <v>1896</v>
      </c>
      <c r="G2175">
        <v>540</v>
      </c>
      <c r="H2175" t="s">
        <v>13</v>
      </c>
      <c r="I2175" t="b">
        <f t="shared" si="33"/>
        <v>1</v>
      </c>
    </row>
    <row r="2176" spans="1:9" x14ac:dyDescent="0.2">
      <c r="A2176" t="s">
        <v>6044</v>
      </c>
      <c r="B2176" t="s">
        <v>6045</v>
      </c>
      <c r="C2176" t="s">
        <v>487</v>
      </c>
      <c r="D2176" t="s">
        <v>488</v>
      </c>
      <c r="E2176" t="s">
        <v>4</v>
      </c>
      <c r="F2176">
        <v>1898</v>
      </c>
      <c r="G2176">
        <v>540</v>
      </c>
      <c r="H2176" t="s">
        <v>13</v>
      </c>
      <c r="I2176" t="b">
        <f t="shared" si="33"/>
        <v>1</v>
      </c>
    </row>
    <row r="2177" spans="1:9" x14ac:dyDescent="0.2">
      <c r="A2177" t="s">
        <v>3244</v>
      </c>
      <c r="B2177" t="s">
        <v>3245</v>
      </c>
      <c r="C2177" t="s">
        <v>487</v>
      </c>
      <c r="D2177" t="s">
        <v>488</v>
      </c>
      <c r="E2177" t="s">
        <v>4</v>
      </c>
      <c r="F2177">
        <v>1899</v>
      </c>
      <c r="G2177">
        <v>540</v>
      </c>
      <c r="H2177" t="s">
        <v>13</v>
      </c>
      <c r="I2177" t="b">
        <f t="shared" si="33"/>
        <v>1</v>
      </c>
    </row>
    <row r="2178" spans="1:9" x14ac:dyDescent="0.2">
      <c r="A2178" t="s">
        <v>5600</v>
      </c>
      <c r="B2178" t="s">
        <v>5601</v>
      </c>
      <c r="C2178" t="s">
        <v>487</v>
      </c>
      <c r="D2178" t="s">
        <v>488</v>
      </c>
      <c r="E2178" t="s">
        <v>4</v>
      </c>
      <c r="F2178">
        <v>1898</v>
      </c>
      <c r="G2178">
        <v>540</v>
      </c>
      <c r="H2178" t="s">
        <v>13</v>
      </c>
      <c r="I2178" t="b">
        <f t="shared" si="33"/>
        <v>1</v>
      </c>
    </row>
    <row r="2179" spans="1:9" x14ac:dyDescent="0.2">
      <c r="A2179" t="s">
        <v>4522</v>
      </c>
      <c r="B2179" t="s">
        <v>4523</v>
      </c>
      <c r="C2179" t="s">
        <v>487</v>
      </c>
      <c r="D2179" t="s">
        <v>488</v>
      </c>
      <c r="E2179" t="s">
        <v>4</v>
      </c>
      <c r="F2179">
        <v>1898</v>
      </c>
      <c r="G2179">
        <v>540</v>
      </c>
      <c r="H2179" t="s">
        <v>13</v>
      </c>
      <c r="I2179" t="b">
        <f t="shared" ref="I2179:I2242" si="34">isDup(B2179, B2180, 0.7)</f>
        <v>1</v>
      </c>
    </row>
    <row r="2180" spans="1:9" x14ac:dyDescent="0.2">
      <c r="A2180" t="s">
        <v>4076</v>
      </c>
      <c r="B2180" t="s">
        <v>4077</v>
      </c>
      <c r="C2180" t="s">
        <v>487</v>
      </c>
      <c r="D2180" t="s">
        <v>488</v>
      </c>
      <c r="E2180" t="s">
        <v>4</v>
      </c>
      <c r="F2180">
        <v>1898</v>
      </c>
      <c r="G2180">
        <v>540</v>
      </c>
      <c r="H2180" t="s">
        <v>13</v>
      </c>
      <c r="I2180" t="b">
        <f t="shared" si="34"/>
        <v>1</v>
      </c>
    </row>
    <row r="2181" spans="1:9" x14ac:dyDescent="0.2">
      <c r="A2181" t="s">
        <v>5288</v>
      </c>
      <c r="B2181" t="s">
        <v>5289</v>
      </c>
      <c r="C2181" t="s">
        <v>487</v>
      </c>
      <c r="D2181" t="s">
        <v>488</v>
      </c>
      <c r="E2181" t="s">
        <v>4</v>
      </c>
      <c r="F2181">
        <v>1898</v>
      </c>
      <c r="G2181">
        <v>540</v>
      </c>
      <c r="H2181" t="s">
        <v>13</v>
      </c>
      <c r="I2181" t="b">
        <f t="shared" si="34"/>
        <v>1</v>
      </c>
    </row>
    <row r="2182" spans="1:9" x14ac:dyDescent="0.2">
      <c r="A2182" t="s">
        <v>3711</v>
      </c>
      <c r="B2182" t="s">
        <v>3712</v>
      </c>
      <c r="C2182" t="s">
        <v>487</v>
      </c>
      <c r="D2182" t="s">
        <v>488</v>
      </c>
      <c r="E2182" t="s">
        <v>4</v>
      </c>
      <c r="F2182">
        <v>1899</v>
      </c>
      <c r="G2182">
        <v>540</v>
      </c>
      <c r="H2182" t="s">
        <v>13</v>
      </c>
      <c r="I2182" t="b">
        <f t="shared" si="34"/>
        <v>1</v>
      </c>
    </row>
    <row r="2183" spans="1:9" x14ac:dyDescent="0.2">
      <c r="A2183" t="s">
        <v>1561</v>
      </c>
      <c r="B2183" t="s">
        <v>1562</v>
      </c>
      <c r="C2183" t="s">
        <v>487</v>
      </c>
      <c r="D2183" t="s">
        <v>488</v>
      </c>
      <c r="E2183" t="s">
        <v>4</v>
      </c>
      <c r="F2183">
        <v>1899</v>
      </c>
      <c r="G2183">
        <v>540</v>
      </c>
      <c r="H2183" t="s">
        <v>13</v>
      </c>
      <c r="I2183" t="b">
        <f t="shared" si="34"/>
        <v>1</v>
      </c>
    </row>
    <row r="2184" spans="1:9" x14ac:dyDescent="0.2">
      <c r="A2184" t="s">
        <v>1134</v>
      </c>
      <c r="B2184" t="s">
        <v>1135</v>
      </c>
      <c r="C2184" t="s">
        <v>487</v>
      </c>
      <c r="D2184" t="s">
        <v>488</v>
      </c>
      <c r="E2184" t="s">
        <v>4</v>
      </c>
      <c r="F2184">
        <v>1899</v>
      </c>
      <c r="G2184">
        <v>540</v>
      </c>
      <c r="H2184" t="s">
        <v>13</v>
      </c>
      <c r="I2184" t="b">
        <f t="shared" si="34"/>
        <v>1</v>
      </c>
    </row>
    <row r="2185" spans="1:9" x14ac:dyDescent="0.2">
      <c r="A2185" t="s">
        <v>485</v>
      </c>
      <c r="B2185" t="s">
        <v>486</v>
      </c>
      <c r="C2185" t="s">
        <v>487</v>
      </c>
      <c r="D2185" t="s">
        <v>488</v>
      </c>
      <c r="E2185" t="s">
        <v>4</v>
      </c>
      <c r="F2185">
        <v>1899</v>
      </c>
      <c r="G2185">
        <v>540</v>
      </c>
      <c r="H2185" t="s">
        <v>13</v>
      </c>
      <c r="I2185" t="b">
        <f t="shared" si="34"/>
        <v>0</v>
      </c>
    </row>
    <row r="2186" spans="1:9" x14ac:dyDescent="0.2">
      <c r="A2186" t="s">
        <v>6486</v>
      </c>
      <c r="B2186" t="s">
        <v>6487</v>
      </c>
      <c r="C2186" t="s">
        <v>197</v>
      </c>
      <c r="D2186" t="s">
        <v>1292</v>
      </c>
      <c r="E2186" t="s">
        <v>4</v>
      </c>
      <c r="F2186">
        <v>2590</v>
      </c>
      <c r="G2186">
        <v>1707</v>
      </c>
      <c r="H2186" t="s">
        <v>13</v>
      </c>
      <c r="I2186" t="b">
        <f t="shared" si="34"/>
        <v>0</v>
      </c>
    </row>
    <row r="2187" spans="1:9" x14ac:dyDescent="0.2">
      <c r="A2187" t="s">
        <v>4334</v>
      </c>
      <c r="B2187" t="s">
        <v>4335</v>
      </c>
      <c r="C2187" t="s">
        <v>197</v>
      </c>
      <c r="D2187" t="s">
        <v>1292</v>
      </c>
      <c r="E2187" t="s">
        <v>4</v>
      </c>
      <c r="F2187">
        <v>2590</v>
      </c>
      <c r="G2187">
        <v>1707</v>
      </c>
      <c r="H2187" t="s">
        <v>13</v>
      </c>
      <c r="I2187" t="b">
        <f t="shared" si="34"/>
        <v>1</v>
      </c>
    </row>
    <row r="2188" spans="1:9" x14ac:dyDescent="0.2">
      <c r="A2188" t="s">
        <v>163</v>
      </c>
      <c r="B2188" t="s">
        <v>164</v>
      </c>
      <c r="C2188" t="s">
        <v>165</v>
      </c>
      <c r="D2188" t="s">
        <v>166</v>
      </c>
      <c r="E2188" t="s">
        <v>4</v>
      </c>
      <c r="F2188">
        <v>966</v>
      </c>
      <c r="G2188">
        <v>180</v>
      </c>
      <c r="H2188" t="s">
        <v>13</v>
      </c>
      <c r="I2188" t="b">
        <f t="shared" si="34"/>
        <v>1</v>
      </c>
    </row>
    <row r="2189" spans="1:9" x14ac:dyDescent="0.2">
      <c r="A2189" t="s">
        <v>1382</v>
      </c>
      <c r="B2189" t="s">
        <v>1383</v>
      </c>
      <c r="C2189" t="s">
        <v>165</v>
      </c>
      <c r="D2189" t="s">
        <v>166</v>
      </c>
      <c r="E2189" t="s">
        <v>4</v>
      </c>
      <c r="F2189">
        <v>969</v>
      </c>
      <c r="G2189">
        <v>180</v>
      </c>
      <c r="H2189" t="s">
        <v>13</v>
      </c>
      <c r="I2189" t="b">
        <f t="shared" si="34"/>
        <v>1</v>
      </c>
    </row>
    <row r="2190" spans="1:9" x14ac:dyDescent="0.2">
      <c r="A2190" t="s">
        <v>782</v>
      </c>
      <c r="B2190" t="s">
        <v>783</v>
      </c>
      <c r="C2190" t="s">
        <v>165</v>
      </c>
      <c r="D2190" t="s">
        <v>166</v>
      </c>
      <c r="E2190" t="s">
        <v>4</v>
      </c>
      <c r="F2190">
        <v>967</v>
      </c>
      <c r="G2190">
        <v>180</v>
      </c>
      <c r="H2190" t="s">
        <v>13</v>
      </c>
      <c r="I2190" t="b">
        <f t="shared" si="34"/>
        <v>1</v>
      </c>
    </row>
    <row r="2191" spans="1:9" x14ac:dyDescent="0.2">
      <c r="A2191" t="s">
        <v>5176</v>
      </c>
      <c r="B2191" t="s">
        <v>5179</v>
      </c>
      <c r="C2191" t="s">
        <v>165</v>
      </c>
      <c r="D2191" t="s">
        <v>166</v>
      </c>
      <c r="E2191" t="s">
        <v>4</v>
      </c>
      <c r="F2191">
        <v>971</v>
      </c>
      <c r="G2191">
        <v>180</v>
      </c>
      <c r="H2191" t="s">
        <v>13</v>
      </c>
      <c r="I2191" t="b">
        <f t="shared" si="34"/>
        <v>1</v>
      </c>
    </row>
    <row r="2192" spans="1:9" x14ac:dyDescent="0.2">
      <c r="A2192" t="s">
        <v>3719</v>
      </c>
      <c r="B2192" t="s">
        <v>3720</v>
      </c>
      <c r="C2192" t="s">
        <v>165</v>
      </c>
      <c r="D2192" t="s">
        <v>166</v>
      </c>
      <c r="E2192" t="s">
        <v>4</v>
      </c>
      <c r="F2192">
        <v>972</v>
      </c>
      <c r="G2192">
        <v>180</v>
      </c>
      <c r="H2192" t="s">
        <v>13</v>
      </c>
      <c r="I2192" t="b">
        <f t="shared" si="34"/>
        <v>1</v>
      </c>
    </row>
    <row r="2193" spans="1:9" x14ac:dyDescent="0.2">
      <c r="A2193" t="s">
        <v>2142</v>
      </c>
      <c r="B2193" t="s">
        <v>2143</v>
      </c>
      <c r="C2193" t="s">
        <v>165</v>
      </c>
      <c r="D2193" t="s">
        <v>166</v>
      </c>
      <c r="E2193" t="s">
        <v>4</v>
      </c>
      <c r="F2193">
        <v>970</v>
      </c>
      <c r="G2193">
        <v>180</v>
      </c>
      <c r="H2193" t="s">
        <v>13</v>
      </c>
      <c r="I2193" t="b">
        <f t="shared" si="34"/>
        <v>1</v>
      </c>
    </row>
    <row r="2194" spans="1:9" x14ac:dyDescent="0.2">
      <c r="A2194" t="s">
        <v>7231</v>
      </c>
      <c r="B2194" t="s">
        <v>7232</v>
      </c>
      <c r="C2194" t="s">
        <v>165</v>
      </c>
      <c r="D2194" t="s">
        <v>166</v>
      </c>
      <c r="E2194" t="s">
        <v>4</v>
      </c>
      <c r="F2194">
        <v>970</v>
      </c>
      <c r="G2194">
        <v>180</v>
      </c>
      <c r="H2194" t="s">
        <v>13</v>
      </c>
      <c r="I2194" t="b">
        <f t="shared" si="34"/>
        <v>1</v>
      </c>
    </row>
    <row r="2195" spans="1:9" x14ac:dyDescent="0.2">
      <c r="A2195" t="s">
        <v>4469</v>
      </c>
      <c r="B2195" t="s">
        <v>4470</v>
      </c>
      <c r="C2195" t="s">
        <v>165</v>
      </c>
      <c r="D2195" t="s">
        <v>166</v>
      </c>
      <c r="E2195" t="s">
        <v>4</v>
      </c>
      <c r="F2195">
        <v>972</v>
      </c>
      <c r="G2195">
        <v>180</v>
      </c>
      <c r="H2195" t="s">
        <v>13</v>
      </c>
      <c r="I2195" t="b">
        <f t="shared" si="34"/>
        <v>0</v>
      </c>
    </row>
    <row r="2196" spans="1:9" x14ac:dyDescent="0.2">
      <c r="A2196" t="s">
        <v>4276</v>
      </c>
      <c r="B2196" t="s">
        <v>4277</v>
      </c>
      <c r="C2196" t="s">
        <v>1069</v>
      </c>
      <c r="D2196" t="s">
        <v>1964</v>
      </c>
      <c r="E2196" t="s">
        <v>4</v>
      </c>
      <c r="F2196">
        <v>64</v>
      </c>
      <c r="G2196">
        <v>274</v>
      </c>
      <c r="H2196" t="s">
        <v>13</v>
      </c>
      <c r="I2196" t="b">
        <f t="shared" si="34"/>
        <v>1</v>
      </c>
    </row>
    <row r="2197" spans="1:9" x14ac:dyDescent="0.2">
      <c r="A2197" t="s">
        <v>6622</v>
      </c>
      <c r="B2197" t="s">
        <v>6623</v>
      </c>
      <c r="C2197" t="s">
        <v>165</v>
      </c>
      <c r="D2197" t="s">
        <v>166</v>
      </c>
      <c r="E2197" t="s">
        <v>4</v>
      </c>
      <c r="F2197">
        <v>971</v>
      </c>
      <c r="G2197">
        <v>180</v>
      </c>
      <c r="H2197" t="s">
        <v>13</v>
      </c>
      <c r="I2197" t="b">
        <f t="shared" si="34"/>
        <v>1</v>
      </c>
    </row>
    <row r="2198" spans="1:9" x14ac:dyDescent="0.2">
      <c r="A2198" t="s">
        <v>5813</v>
      </c>
      <c r="B2198" t="s">
        <v>5814</v>
      </c>
      <c r="C2198" t="s">
        <v>165</v>
      </c>
      <c r="D2198" t="s">
        <v>166</v>
      </c>
      <c r="E2198" t="s">
        <v>4</v>
      </c>
      <c r="F2198">
        <v>971</v>
      </c>
      <c r="G2198">
        <v>180</v>
      </c>
      <c r="H2198" t="s">
        <v>13</v>
      </c>
      <c r="I2198" t="b">
        <f t="shared" si="34"/>
        <v>1</v>
      </c>
    </row>
    <row r="2199" spans="1:9" x14ac:dyDescent="0.2">
      <c r="A2199" t="s">
        <v>2878</v>
      </c>
      <c r="B2199" t="s">
        <v>2879</v>
      </c>
      <c r="C2199" t="s">
        <v>165</v>
      </c>
      <c r="D2199" t="s">
        <v>166</v>
      </c>
      <c r="E2199" t="s">
        <v>4</v>
      </c>
      <c r="F2199">
        <v>971</v>
      </c>
      <c r="G2199">
        <v>180</v>
      </c>
      <c r="H2199" t="s">
        <v>13</v>
      </c>
      <c r="I2199" t="b">
        <f t="shared" si="34"/>
        <v>1</v>
      </c>
    </row>
    <row r="2200" spans="1:9" x14ac:dyDescent="0.2">
      <c r="A2200" t="s">
        <v>3943</v>
      </c>
      <c r="B2200" t="s">
        <v>3944</v>
      </c>
      <c r="C2200" t="s">
        <v>2298</v>
      </c>
      <c r="D2200" t="s">
        <v>2280</v>
      </c>
      <c r="E2200" t="s">
        <v>4</v>
      </c>
      <c r="F2200">
        <v>130</v>
      </c>
      <c r="G2200">
        <v>300</v>
      </c>
      <c r="H2200" t="s">
        <v>13</v>
      </c>
      <c r="I2200" t="b">
        <f t="shared" si="34"/>
        <v>0</v>
      </c>
    </row>
    <row r="2201" spans="1:9" x14ac:dyDescent="0.2">
      <c r="A2201" t="s">
        <v>4580</v>
      </c>
      <c r="B2201" t="s">
        <v>4581</v>
      </c>
      <c r="C2201" t="s">
        <v>241</v>
      </c>
      <c r="D2201" t="s">
        <v>242</v>
      </c>
      <c r="E2201" t="s">
        <v>4</v>
      </c>
      <c r="F2201">
        <v>49</v>
      </c>
      <c r="G2201">
        <v>0</v>
      </c>
      <c r="H2201" t="s">
        <v>13</v>
      </c>
      <c r="I2201" t="b">
        <f t="shared" si="34"/>
        <v>1</v>
      </c>
    </row>
    <row r="2202" spans="1:9" x14ac:dyDescent="0.2">
      <c r="A2202" t="s">
        <v>239</v>
      </c>
      <c r="B2202" t="s">
        <v>240</v>
      </c>
      <c r="C2202" t="s">
        <v>241</v>
      </c>
      <c r="D2202" t="s">
        <v>242</v>
      </c>
      <c r="E2202" t="s">
        <v>4</v>
      </c>
      <c r="F2202">
        <v>49</v>
      </c>
      <c r="G2202">
        <v>0</v>
      </c>
      <c r="H2202" t="s">
        <v>13</v>
      </c>
      <c r="I2202" t="b">
        <f t="shared" si="34"/>
        <v>0</v>
      </c>
    </row>
    <row r="2203" spans="1:9" x14ac:dyDescent="0.2">
      <c r="A2203" t="s">
        <v>5318</v>
      </c>
      <c r="B2203" t="s">
        <v>5319</v>
      </c>
      <c r="C2203" t="s">
        <v>5320</v>
      </c>
      <c r="D2203" t="s">
        <v>5321</v>
      </c>
      <c r="E2203" t="s">
        <v>4</v>
      </c>
      <c r="F2203">
        <v>312</v>
      </c>
      <c r="G2203">
        <v>86</v>
      </c>
      <c r="H2203" t="s">
        <v>13</v>
      </c>
      <c r="I2203" t="b">
        <f t="shared" si="34"/>
        <v>0</v>
      </c>
    </row>
    <row r="2204" spans="1:9" x14ac:dyDescent="0.2">
      <c r="A2204" t="s">
        <v>5422</v>
      </c>
      <c r="B2204" t="s">
        <v>5423</v>
      </c>
      <c r="C2204" t="s">
        <v>3184</v>
      </c>
      <c r="D2204" t="s">
        <v>3</v>
      </c>
      <c r="E2204" t="s">
        <v>4</v>
      </c>
      <c r="F2204">
        <v>200</v>
      </c>
      <c r="G2204">
        <v>906</v>
      </c>
      <c r="H2204" t="s">
        <v>374</v>
      </c>
      <c r="I2204" t="b">
        <f t="shared" si="34"/>
        <v>0</v>
      </c>
    </row>
    <row r="2205" spans="1:9" x14ac:dyDescent="0.2">
      <c r="A2205" t="s">
        <v>669</v>
      </c>
      <c r="B2205" t="s">
        <v>670</v>
      </c>
      <c r="C2205" t="s">
        <v>439</v>
      </c>
      <c r="D2205" t="s">
        <v>3</v>
      </c>
      <c r="E2205" t="s">
        <v>4</v>
      </c>
      <c r="F2205">
        <v>11311</v>
      </c>
      <c r="G2205">
        <v>11675</v>
      </c>
      <c r="H2205" t="s">
        <v>13</v>
      </c>
      <c r="I2205" t="b">
        <f t="shared" si="34"/>
        <v>0</v>
      </c>
    </row>
    <row r="2206" spans="1:9" x14ac:dyDescent="0.2">
      <c r="A2206" t="s">
        <v>6218</v>
      </c>
      <c r="B2206" t="s">
        <v>6219</v>
      </c>
      <c r="C2206" t="s">
        <v>480</v>
      </c>
      <c r="D2206" t="s">
        <v>6220</v>
      </c>
      <c r="E2206" t="s">
        <v>4</v>
      </c>
      <c r="F2206">
        <v>100</v>
      </c>
      <c r="G2206">
        <v>71</v>
      </c>
      <c r="H2206" t="s">
        <v>13</v>
      </c>
      <c r="I2206" t="b">
        <f t="shared" si="34"/>
        <v>0</v>
      </c>
    </row>
    <row r="2207" spans="1:9" x14ac:dyDescent="0.2">
      <c r="A2207" t="s">
        <v>5679</v>
      </c>
      <c r="B2207" t="s">
        <v>5680</v>
      </c>
      <c r="C2207" t="s">
        <v>588</v>
      </c>
      <c r="D2207" t="s">
        <v>5681</v>
      </c>
      <c r="E2207" t="s">
        <v>4</v>
      </c>
      <c r="F2207">
        <v>260</v>
      </c>
      <c r="G2207">
        <v>1918</v>
      </c>
      <c r="H2207" t="s">
        <v>13</v>
      </c>
      <c r="I2207" t="b">
        <f t="shared" si="34"/>
        <v>0</v>
      </c>
    </row>
    <row r="2208" spans="1:9" x14ac:dyDescent="0.2">
      <c r="A2208" t="s">
        <v>5759</v>
      </c>
      <c r="B2208" t="s">
        <v>5760</v>
      </c>
      <c r="C2208" t="s">
        <v>530</v>
      </c>
      <c r="D2208" t="s">
        <v>3</v>
      </c>
      <c r="E2208" t="s">
        <v>4</v>
      </c>
      <c r="F2208">
        <v>1732</v>
      </c>
      <c r="G2208">
        <v>2046</v>
      </c>
      <c r="H2208" t="s">
        <v>5</v>
      </c>
      <c r="I2208" t="b">
        <f t="shared" si="34"/>
        <v>0</v>
      </c>
    </row>
    <row r="2209" spans="1:9" x14ac:dyDescent="0.2">
      <c r="A2209" t="s">
        <v>1411</v>
      </c>
      <c r="B2209" t="s">
        <v>1412</v>
      </c>
      <c r="C2209" t="s">
        <v>1413</v>
      </c>
      <c r="D2209" t="s">
        <v>3</v>
      </c>
      <c r="E2209" t="s">
        <v>4</v>
      </c>
      <c r="F2209">
        <v>357</v>
      </c>
      <c r="G2209">
        <v>104</v>
      </c>
      <c r="H2209" t="s">
        <v>13</v>
      </c>
      <c r="I2209" t="b">
        <f t="shared" si="34"/>
        <v>0</v>
      </c>
    </row>
    <row r="2210" spans="1:9" x14ac:dyDescent="0.2">
      <c r="A2210" t="s">
        <v>6430</v>
      </c>
      <c r="B2210" t="s">
        <v>6431</v>
      </c>
      <c r="C2210" t="s">
        <v>1193</v>
      </c>
      <c r="D2210" t="s">
        <v>1194</v>
      </c>
      <c r="E2210" t="s">
        <v>4</v>
      </c>
      <c r="F2210">
        <v>7991</v>
      </c>
      <c r="G2210">
        <v>410</v>
      </c>
      <c r="H2210" t="s">
        <v>13</v>
      </c>
      <c r="I2210" t="b">
        <f t="shared" si="34"/>
        <v>0</v>
      </c>
    </row>
    <row r="2211" spans="1:9" x14ac:dyDescent="0.2">
      <c r="A2211" t="s">
        <v>4582</v>
      </c>
      <c r="B2211" t="s">
        <v>4583</v>
      </c>
      <c r="C2211" t="s">
        <v>4584</v>
      </c>
      <c r="D2211" t="s">
        <v>4585</v>
      </c>
      <c r="E2211" t="s">
        <v>4</v>
      </c>
      <c r="F2211">
        <v>13</v>
      </c>
      <c r="G2211">
        <v>18</v>
      </c>
      <c r="H2211" t="s">
        <v>13</v>
      </c>
      <c r="I2211" t="b">
        <f t="shared" si="34"/>
        <v>0</v>
      </c>
    </row>
    <row r="2212" spans="1:9" x14ac:dyDescent="0.2">
      <c r="A2212" t="s">
        <v>6804</v>
      </c>
      <c r="B2212" t="s">
        <v>6805</v>
      </c>
      <c r="C2212" t="s">
        <v>279</v>
      </c>
      <c r="D2212" t="s">
        <v>569</v>
      </c>
      <c r="E2212" t="s">
        <v>4</v>
      </c>
      <c r="F2212">
        <v>299</v>
      </c>
      <c r="G2212">
        <v>310</v>
      </c>
      <c r="H2212" t="s">
        <v>13</v>
      </c>
      <c r="I2212" t="b">
        <f t="shared" si="34"/>
        <v>0</v>
      </c>
    </row>
    <row r="2213" spans="1:9" x14ac:dyDescent="0.2">
      <c r="A2213" t="s">
        <v>1880</v>
      </c>
      <c r="B2213" t="s">
        <v>1881</v>
      </c>
      <c r="C2213" t="s">
        <v>1784</v>
      </c>
      <c r="D2213" t="s">
        <v>1785</v>
      </c>
      <c r="E2213" t="s">
        <v>4</v>
      </c>
      <c r="F2213">
        <v>536</v>
      </c>
      <c r="G2213">
        <v>546</v>
      </c>
      <c r="H2213" t="s">
        <v>13</v>
      </c>
      <c r="I2213" t="b">
        <f t="shared" si="34"/>
        <v>0</v>
      </c>
    </row>
    <row r="2214" spans="1:9" x14ac:dyDescent="0.2">
      <c r="A2214" t="s">
        <v>3038</v>
      </c>
      <c r="B2214" t="s">
        <v>3039</v>
      </c>
      <c r="C2214" t="s">
        <v>773</v>
      </c>
      <c r="D2214" t="s">
        <v>3</v>
      </c>
      <c r="E2214" t="s">
        <v>4</v>
      </c>
      <c r="F2214">
        <v>183</v>
      </c>
      <c r="G2214">
        <v>127</v>
      </c>
      <c r="H2214" t="s">
        <v>86</v>
      </c>
      <c r="I2214" t="b">
        <f t="shared" si="34"/>
        <v>0</v>
      </c>
    </row>
    <row r="2215" spans="1:9" x14ac:dyDescent="0.2">
      <c r="A2215" t="s">
        <v>6754</v>
      </c>
      <c r="B2215" t="s">
        <v>6755</v>
      </c>
      <c r="C2215" t="s">
        <v>6071</v>
      </c>
      <c r="D2215" t="s">
        <v>3</v>
      </c>
      <c r="E2215" t="s">
        <v>4</v>
      </c>
      <c r="F2215">
        <v>1361</v>
      </c>
      <c r="G2215">
        <v>1748</v>
      </c>
      <c r="H2215" t="s">
        <v>13</v>
      </c>
      <c r="I2215" t="b">
        <f t="shared" si="34"/>
        <v>0</v>
      </c>
    </row>
    <row r="2216" spans="1:9" x14ac:dyDescent="0.2">
      <c r="A2216" t="s">
        <v>4046</v>
      </c>
      <c r="B2216" t="s">
        <v>4047</v>
      </c>
      <c r="C2216" t="s">
        <v>2611</v>
      </c>
      <c r="D2216" t="s">
        <v>3</v>
      </c>
      <c r="E2216" t="s">
        <v>4</v>
      </c>
      <c r="F2216">
        <v>9705</v>
      </c>
      <c r="G2216">
        <v>45</v>
      </c>
      <c r="H2216" t="s">
        <v>13</v>
      </c>
      <c r="I2216" t="b">
        <f t="shared" si="34"/>
        <v>0</v>
      </c>
    </row>
    <row r="2217" spans="1:9" x14ac:dyDescent="0.2">
      <c r="A2217" t="s">
        <v>1028</v>
      </c>
      <c r="B2217" t="s">
        <v>1029</v>
      </c>
      <c r="C2217" t="s">
        <v>1030</v>
      </c>
      <c r="D2217" t="s">
        <v>928</v>
      </c>
      <c r="E2217" t="s">
        <v>4</v>
      </c>
      <c r="F2217">
        <v>216</v>
      </c>
      <c r="G2217">
        <v>247</v>
      </c>
      <c r="H2217" t="s">
        <v>86</v>
      </c>
      <c r="I2217" t="b">
        <f t="shared" si="34"/>
        <v>0</v>
      </c>
    </row>
    <row r="2218" spans="1:9" x14ac:dyDescent="0.2">
      <c r="A2218" t="s">
        <v>5253</v>
      </c>
      <c r="B2218" t="s">
        <v>5254</v>
      </c>
      <c r="C2218" t="s">
        <v>230</v>
      </c>
      <c r="D2218" t="s">
        <v>5230</v>
      </c>
      <c r="E2218" t="s">
        <v>4</v>
      </c>
      <c r="F2218">
        <v>163</v>
      </c>
      <c r="G2218">
        <v>382</v>
      </c>
      <c r="H2218" t="s">
        <v>13</v>
      </c>
      <c r="I2218" t="b">
        <f t="shared" si="34"/>
        <v>0</v>
      </c>
    </row>
    <row r="2219" spans="1:9" x14ac:dyDescent="0.2">
      <c r="A2219" t="s">
        <v>3653</v>
      </c>
      <c r="B2219" t="s">
        <v>3654</v>
      </c>
      <c r="C2219" t="s">
        <v>12</v>
      </c>
      <c r="D2219" t="s">
        <v>3655</v>
      </c>
      <c r="E2219" t="s">
        <v>4</v>
      </c>
      <c r="F2219">
        <v>138</v>
      </c>
      <c r="G2219">
        <v>98</v>
      </c>
      <c r="H2219" t="s">
        <v>13</v>
      </c>
      <c r="I2219" t="b">
        <f t="shared" si="34"/>
        <v>0</v>
      </c>
    </row>
    <row r="2220" spans="1:9" x14ac:dyDescent="0.2">
      <c r="A2220" t="s">
        <v>596</v>
      </c>
      <c r="B2220" t="s">
        <v>597</v>
      </c>
      <c r="C2220" t="s">
        <v>598</v>
      </c>
      <c r="D2220" t="s">
        <v>599</v>
      </c>
      <c r="E2220" t="s">
        <v>4</v>
      </c>
      <c r="F2220">
        <v>64</v>
      </c>
      <c r="G2220">
        <v>140</v>
      </c>
      <c r="H2220" t="s">
        <v>13</v>
      </c>
      <c r="I2220" t="b">
        <f t="shared" si="34"/>
        <v>0</v>
      </c>
    </row>
    <row r="2221" spans="1:9" x14ac:dyDescent="0.2">
      <c r="A2221" t="s">
        <v>5193</v>
      </c>
      <c r="B2221" t="s">
        <v>5194</v>
      </c>
      <c r="C2221" t="s">
        <v>2173</v>
      </c>
      <c r="D2221" t="s">
        <v>2174</v>
      </c>
      <c r="E2221" t="s">
        <v>4</v>
      </c>
      <c r="F2221">
        <v>62177</v>
      </c>
      <c r="G2221">
        <v>346</v>
      </c>
      <c r="H2221" t="s">
        <v>86</v>
      </c>
      <c r="I2221" t="b">
        <f t="shared" si="34"/>
        <v>0</v>
      </c>
    </row>
    <row r="2222" spans="1:9" x14ac:dyDescent="0.2">
      <c r="A2222" t="s">
        <v>4316</v>
      </c>
      <c r="B2222" t="s">
        <v>4317</v>
      </c>
      <c r="C2222" t="s">
        <v>345</v>
      </c>
      <c r="D2222" t="s">
        <v>3</v>
      </c>
      <c r="E2222" t="s">
        <v>4</v>
      </c>
      <c r="F2222">
        <v>201</v>
      </c>
      <c r="G2222">
        <v>188</v>
      </c>
      <c r="H2222" t="s">
        <v>13</v>
      </c>
      <c r="I2222" t="b">
        <f t="shared" si="34"/>
        <v>0</v>
      </c>
    </row>
    <row r="2223" spans="1:9" x14ac:dyDescent="0.2">
      <c r="A2223" t="s">
        <v>169</v>
      </c>
      <c r="B2223" t="s">
        <v>170</v>
      </c>
      <c r="C2223" t="s">
        <v>171</v>
      </c>
      <c r="D2223" t="s">
        <v>172</v>
      </c>
      <c r="E2223" t="s">
        <v>4</v>
      </c>
      <c r="F2223">
        <v>160</v>
      </c>
      <c r="G2223">
        <v>288</v>
      </c>
      <c r="H2223" t="s">
        <v>13</v>
      </c>
      <c r="I2223" t="b">
        <f t="shared" si="34"/>
        <v>0</v>
      </c>
    </row>
    <row r="2224" spans="1:9" x14ac:dyDescent="0.2">
      <c r="A2224" t="s">
        <v>5847</v>
      </c>
      <c r="B2224" t="s">
        <v>5848</v>
      </c>
      <c r="C2224" t="s">
        <v>4086</v>
      </c>
      <c r="D2224" t="s">
        <v>3</v>
      </c>
      <c r="E2224" t="s">
        <v>4</v>
      </c>
      <c r="F2224">
        <v>30</v>
      </c>
      <c r="G2224">
        <v>71</v>
      </c>
      <c r="H2224" t="s">
        <v>13</v>
      </c>
      <c r="I2224" t="b">
        <f t="shared" si="34"/>
        <v>0</v>
      </c>
    </row>
    <row r="2225" spans="1:9" x14ac:dyDescent="0.2">
      <c r="A2225" t="s">
        <v>528</v>
      </c>
      <c r="B2225" t="s">
        <v>529</v>
      </c>
      <c r="C2225" t="s">
        <v>530</v>
      </c>
      <c r="D2225" t="s">
        <v>3</v>
      </c>
      <c r="E2225" t="s">
        <v>4</v>
      </c>
      <c r="F2225">
        <v>28</v>
      </c>
      <c r="G2225">
        <v>7</v>
      </c>
      <c r="H2225" t="s">
        <v>33</v>
      </c>
      <c r="I2225" t="b">
        <f t="shared" si="34"/>
        <v>1</v>
      </c>
    </row>
    <row r="2226" spans="1:9" x14ac:dyDescent="0.2">
      <c r="A2226" t="s">
        <v>65</v>
      </c>
      <c r="B2226" t="s">
        <v>66</v>
      </c>
      <c r="C2226" t="s">
        <v>67</v>
      </c>
      <c r="D2226" t="s">
        <v>3</v>
      </c>
      <c r="E2226" t="s">
        <v>4</v>
      </c>
      <c r="F2226">
        <v>37</v>
      </c>
      <c r="G2226">
        <v>7</v>
      </c>
      <c r="H2226" t="s">
        <v>33</v>
      </c>
      <c r="I2226" t="b">
        <f t="shared" si="34"/>
        <v>1</v>
      </c>
    </row>
    <row r="2227" spans="1:9" x14ac:dyDescent="0.2">
      <c r="A2227" t="s">
        <v>1293</v>
      </c>
      <c r="B2227" t="s">
        <v>1294</v>
      </c>
      <c r="C2227" t="s">
        <v>520</v>
      </c>
      <c r="D2227" t="s">
        <v>3</v>
      </c>
      <c r="E2227" t="s">
        <v>4</v>
      </c>
      <c r="F2227">
        <v>47</v>
      </c>
      <c r="G2227">
        <v>10</v>
      </c>
      <c r="H2227" t="s">
        <v>33</v>
      </c>
      <c r="I2227" t="b">
        <f t="shared" si="34"/>
        <v>0</v>
      </c>
    </row>
    <row r="2228" spans="1:9" x14ac:dyDescent="0.2">
      <c r="A2228" t="s">
        <v>2380</v>
      </c>
      <c r="B2228" t="s">
        <v>2381</v>
      </c>
      <c r="C2228" t="s">
        <v>653</v>
      </c>
      <c r="D2228" t="s">
        <v>3</v>
      </c>
      <c r="E2228" t="s">
        <v>4</v>
      </c>
      <c r="F2228">
        <v>38</v>
      </c>
      <c r="G2228">
        <v>14</v>
      </c>
      <c r="H2228" t="s">
        <v>33</v>
      </c>
      <c r="I2228" t="b">
        <f t="shared" si="34"/>
        <v>1</v>
      </c>
    </row>
    <row r="2229" spans="1:9" x14ac:dyDescent="0.2">
      <c r="A2229" t="s">
        <v>68</v>
      </c>
      <c r="B2229" t="s">
        <v>69</v>
      </c>
      <c r="C2229" t="s">
        <v>70</v>
      </c>
      <c r="D2229" t="s">
        <v>71</v>
      </c>
      <c r="E2229" t="s">
        <v>4</v>
      </c>
      <c r="F2229">
        <v>106</v>
      </c>
      <c r="G2229">
        <v>58</v>
      </c>
      <c r="H2229" t="s">
        <v>33</v>
      </c>
      <c r="I2229" t="b">
        <f t="shared" si="34"/>
        <v>1</v>
      </c>
    </row>
    <row r="2230" spans="1:9" x14ac:dyDescent="0.2">
      <c r="A2230" t="s">
        <v>6486</v>
      </c>
      <c r="B2230" t="s">
        <v>6488</v>
      </c>
      <c r="C2230" t="s">
        <v>4320</v>
      </c>
      <c r="D2230" t="s">
        <v>3</v>
      </c>
      <c r="E2230" t="s">
        <v>4</v>
      </c>
      <c r="F2230">
        <v>12</v>
      </c>
      <c r="G2230">
        <v>5</v>
      </c>
      <c r="H2230" t="s">
        <v>33</v>
      </c>
      <c r="I2230" t="b">
        <f t="shared" si="34"/>
        <v>0</v>
      </c>
    </row>
    <row r="2231" spans="1:9" x14ac:dyDescent="0.2">
      <c r="A2231" t="s">
        <v>1007</v>
      </c>
      <c r="B2231" t="s">
        <v>1008</v>
      </c>
      <c r="C2231" t="s">
        <v>1009</v>
      </c>
      <c r="D2231" t="s">
        <v>3</v>
      </c>
      <c r="E2231" t="s">
        <v>4</v>
      </c>
      <c r="F2231">
        <v>169</v>
      </c>
      <c r="G2231">
        <v>519</v>
      </c>
      <c r="H2231" t="s">
        <v>13</v>
      </c>
      <c r="I2231" t="b">
        <f t="shared" si="34"/>
        <v>0</v>
      </c>
    </row>
    <row r="2232" spans="1:9" x14ac:dyDescent="0.2">
      <c r="A2232" t="s">
        <v>6397</v>
      </c>
      <c r="B2232" t="s">
        <v>6398</v>
      </c>
      <c r="C2232" t="s">
        <v>2243</v>
      </c>
      <c r="D2232" t="s">
        <v>6399</v>
      </c>
      <c r="E2232" t="s">
        <v>4</v>
      </c>
      <c r="F2232">
        <v>3239</v>
      </c>
      <c r="G2232">
        <v>1965</v>
      </c>
      <c r="H2232" t="s">
        <v>13</v>
      </c>
      <c r="I2232" t="b">
        <f t="shared" si="34"/>
        <v>0</v>
      </c>
    </row>
    <row r="2233" spans="1:9" x14ac:dyDescent="0.2">
      <c r="A2233" t="s">
        <v>4346</v>
      </c>
      <c r="B2233" t="s">
        <v>4347</v>
      </c>
      <c r="C2233" t="s">
        <v>3421</v>
      </c>
      <c r="D2233" t="s">
        <v>705</v>
      </c>
      <c r="E2233" t="s">
        <v>4</v>
      </c>
      <c r="F2233">
        <v>510</v>
      </c>
      <c r="G2233">
        <v>313</v>
      </c>
      <c r="H2233" t="s">
        <v>13</v>
      </c>
      <c r="I2233" t="b">
        <f t="shared" si="34"/>
        <v>0</v>
      </c>
    </row>
    <row r="2234" spans="1:9" x14ac:dyDescent="0.2">
      <c r="A2234" t="s">
        <v>2224</v>
      </c>
      <c r="B2234" t="s">
        <v>2225</v>
      </c>
      <c r="C2234" t="s">
        <v>1162</v>
      </c>
      <c r="D2234" t="s">
        <v>3</v>
      </c>
      <c r="E2234" t="s">
        <v>4</v>
      </c>
      <c r="F2234">
        <v>622</v>
      </c>
      <c r="G2234">
        <v>621</v>
      </c>
      <c r="H2234" t="s">
        <v>13</v>
      </c>
      <c r="I2234" t="b">
        <f t="shared" si="34"/>
        <v>0</v>
      </c>
    </row>
    <row r="2235" spans="1:9" x14ac:dyDescent="0.2">
      <c r="A2235" t="s">
        <v>5756</v>
      </c>
      <c r="B2235" t="s">
        <v>5757</v>
      </c>
      <c r="C2235" t="s">
        <v>1709</v>
      </c>
      <c r="D2235" t="s">
        <v>5758</v>
      </c>
      <c r="E2235" t="s">
        <v>4</v>
      </c>
      <c r="F2235">
        <v>8300</v>
      </c>
      <c r="G2235">
        <v>126</v>
      </c>
      <c r="H2235" t="s">
        <v>13</v>
      </c>
      <c r="I2235" t="b">
        <f t="shared" si="34"/>
        <v>0</v>
      </c>
    </row>
    <row r="2236" spans="1:9" x14ac:dyDescent="0.2">
      <c r="A2236" t="s">
        <v>5218</v>
      </c>
      <c r="B2236" t="s">
        <v>5219</v>
      </c>
      <c r="C2236" t="s">
        <v>5220</v>
      </c>
      <c r="D2236" t="s">
        <v>5221</v>
      </c>
      <c r="E2236" t="s">
        <v>4</v>
      </c>
      <c r="F2236">
        <v>1502</v>
      </c>
      <c r="G2236">
        <v>2578</v>
      </c>
      <c r="H2236" t="s">
        <v>13</v>
      </c>
      <c r="I2236" t="b">
        <f t="shared" si="34"/>
        <v>0</v>
      </c>
    </row>
    <row r="2237" spans="1:9" x14ac:dyDescent="0.2">
      <c r="A2237" t="s">
        <v>6289</v>
      </c>
      <c r="B2237" t="s">
        <v>6290</v>
      </c>
      <c r="C2237" t="s">
        <v>2514</v>
      </c>
      <c r="D2237" t="s">
        <v>3</v>
      </c>
      <c r="E2237" t="s">
        <v>4</v>
      </c>
      <c r="F2237">
        <v>168</v>
      </c>
      <c r="G2237">
        <v>239</v>
      </c>
      <c r="H2237" t="s">
        <v>13</v>
      </c>
      <c r="I2237" t="b">
        <f t="shared" si="34"/>
        <v>0</v>
      </c>
    </row>
    <row r="2238" spans="1:9" x14ac:dyDescent="0.2">
      <c r="A2238" t="s">
        <v>210</v>
      </c>
      <c r="B2238" t="s">
        <v>211</v>
      </c>
      <c r="C2238" t="s">
        <v>212</v>
      </c>
      <c r="D2238" t="s">
        <v>3</v>
      </c>
      <c r="E2238" t="s">
        <v>4</v>
      </c>
      <c r="F2238">
        <v>9</v>
      </c>
      <c r="G2238">
        <v>98</v>
      </c>
      <c r="H2238" t="s">
        <v>13</v>
      </c>
      <c r="I2238" t="b">
        <f t="shared" si="34"/>
        <v>0</v>
      </c>
    </row>
    <row r="2239" spans="1:9" x14ac:dyDescent="0.2">
      <c r="A2239" t="s">
        <v>2792</v>
      </c>
      <c r="B2239" t="s">
        <v>2793</v>
      </c>
      <c r="C2239" t="s">
        <v>873</v>
      </c>
      <c r="D2239" t="s">
        <v>2794</v>
      </c>
      <c r="E2239" t="s">
        <v>38</v>
      </c>
      <c r="F2239">
        <v>6781</v>
      </c>
      <c r="G2239">
        <v>3334</v>
      </c>
      <c r="H2239" t="s">
        <v>13</v>
      </c>
      <c r="I2239" t="b">
        <f t="shared" si="34"/>
        <v>0</v>
      </c>
    </row>
    <row r="2240" spans="1:9" x14ac:dyDescent="0.2">
      <c r="A2240" t="s">
        <v>5359</v>
      </c>
      <c r="B2240" t="s">
        <v>5360</v>
      </c>
      <c r="C2240" t="s">
        <v>5361</v>
      </c>
      <c r="D2240" t="s">
        <v>5362</v>
      </c>
      <c r="E2240" t="s">
        <v>4</v>
      </c>
      <c r="F2240">
        <v>6469</v>
      </c>
      <c r="G2240">
        <v>6318</v>
      </c>
      <c r="H2240" t="s">
        <v>13</v>
      </c>
      <c r="I2240" t="b">
        <f t="shared" si="34"/>
        <v>0</v>
      </c>
    </row>
    <row r="2241" spans="1:9" x14ac:dyDescent="0.2">
      <c r="A2241" t="s">
        <v>4972</v>
      </c>
      <c r="B2241" t="s">
        <v>4981</v>
      </c>
      <c r="C2241" t="s">
        <v>1305</v>
      </c>
      <c r="D2241" t="s">
        <v>3</v>
      </c>
      <c r="E2241" t="s">
        <v>4</v>
      </c>
      <c r="F2241">
        <v>720</v>
      </c>
      <c r="G2241">
        <v>142</v>
      </c>
      <c r="H2241" t="s">
        <v>13</v>
      </c>
      <c r="I2241" t="b">
        <f t="shared" si="34"/>
        <v>0</v>
      </c>
    </row>
    <row r="2242" spans="1:9" x14ac:dyDescent="0.2">
      <c r="A2242" t="s">
        <v>2993</v>
      </c>
      <c r="B2242" t="s">
        <v>2994</v>
      </c>
      <c r="C2242" t="s">
        <v>2995</v>
      </c>
      <c r="D2242" t="s">
        <v>3</v>
      </c>
      <c r="E2242" t="s">
        <v>4</v>
      </c>
      <c r="F2242">
        <v>6055</v>
      </c>
      <c r="G2242">
        <v>3865</v>
      </c>
      <c r="H2242" t="s">
        <v>13</v>
      </c>
      <c r="I2242" t="b">
        <f t="shared" si="34"/>
        <v>0</v>
      </c>
    </row>
    <row r="2243" spans="1:9" x14ac:dyDescent="0.2">
      <c r="A2243" t="s">
        <v>577</v>
      </c>
      <c r="B2243" t="s">
        <v>578</v>
      </c>
      <c r="C2243" t="s">
        <v>579</v>
      </c>
      <c r="D2243" t="s">
        <v>182</v>
      </c>
      <c r="E2243" t="s">
        <v>4</v>
      </c>
      <c r="F2243">
        <v>48</v>
      </c>
      <c r="G2243">
        <v>18</v>
      </c>
      <c r="H2243" t="s">
        <v>13</v>
      </c>
      <c r="I2243" t="b">
        <f t="shared" ref="I2243:I2306" si="35">isDup(B2243, B2244, 0.7)</f>
        <v>0</v>
      </c>
    </row>
    <row r="2244" spans="1:9" x14ac:dyDescent="0.2">
      <c r="A2244" t="s">
        <v>5215</v>
      </c>
      <c r="B2244" t="s">
        <v>5216</v>
      </c>
      <c r="C2244" t="s">
        <v>450</v>
      </c>
      <c r="D2244" t="s">
        <v>5217</v>
      </c>
      <c r="E2244" t="s">
        <v>4</v>
      </c>
      <c r="F2244">
        <v>206</v>
      </c>
      <c r="G2244">
        <v>367</v>
      </c>
      <c r="H2244" t="s">
        <v>13</v>
      </c>
      <c r="I2244" t="b">
        <f t="shared" si="35"/>
        <v>0</v>
      </c>
    </row>
    <row r="2245" spans="1:9" x14ac:dyDescent="0.2">
      <c r="A2245" t="s">
        <v>4621</v>
      </c>
      <c r="B2245" t="s">
        <v>4622</v>
      </c>
      <c r="C2245" t="s">
        <v>1267</v>
      </c>
      <c r="D2245" t="s">
        <v>2280</v>
      </c>
      <c r="E2245" t="s">
        <v>4</v>
      </c>
      <c r="F2245">
        <v>1102</v>
      </c>
      <c r="G2245">
        <v>431</v>
      </c>
      <c r="H2245" t="s">
        <v>13</v>
      </c>
      <c r="I2245" t="b">
        <f t="shared" si="35"/>
        <v>0</v>
      </c>
    </row>
    <row r="2246" spans="1:9" x14ac:dyDescent="0.2">
      <c r="A2246" t="s">
        <v>2908</v>
      </c>
      <c r="B2246" t="s">
        <v>2909</v>
      </c>
      <c r="C2246" t="s">
        <v>2910</v>
      </c>
      <c r="D2246" t="s">
        <v>2911</v>
      </c>
      <c r="E2246" t="s">
        <v>4</v>
      </c>
      <c r="F2246">
        <v>174</v>
      </c>
      <c r="G2246">
        <v>478</v>
      </c>
      <c r="H2246" t="s">
        <v>13</v>
      </c>
      <c r="I2246" t="b">
        <f t="shared" si="35"/>
        <v>0</v>
      </c>
    </row>
    <row r="2247" spans="1:9" x14ac:dyDescent="0.2">
      <c r="A2247" t="s">
        <v>2591</v>
      </c>
      <c r="B2247" t="s">
        <v>2592</v>
      </c>
      <c r="C2247" t="s">
        <v>2593</v>
      </c>
      <c r="D2247" t="s">
        <v>3</v>
      </c>
      <c r="E2247" t="s">
        <v>4</v>
      </c>
      <c r="F2247">
        <v>134</v>
      </c>
      <c r="G2247">
        <v>179</v>
      </c>
      <c r="H2247" t="s">
        <v>13</v>
      </c>
      <c r="I2247" t="b">
        <f t="shared" si="35"/>
        <v>0</v>
      </c>
    </row>
    <row r="2248" spans="1:9" x14ac:dyDescent="0.2">
      <c r="A2248" t="s">
        <v>5093</v>
      </c>
      <c r="B2248" t="s">
        <v>5094</v>
      </c>
      <c r="C2248" t="s">
        <v>5095</v>
      </c>
      <c r="D2248" t="s">
        <v>5096</v>
      </c>
      <c r="E2248" t="s">
        <v>4</v>
      </c>
      <c r="F2248">
        <v>452</v>
      </c>
      <c r="G2248">
        <v>485</v>
      </c>
      <c r="H2248" t="s">
        <v>13</v>
      </c>
      <c r="I2248" t="b">
        <f t="shared" si="35"/>
        <v>0</v>
      </c>
    </row>
    <row r="2249" spans="1:9" x14ac:dyDescent="0.2">
      <c r="A2249" t="s">
        <v>4137</v>
      </c>
      <c r="B2249" t="s">
        <v>4138</v>
      </c>
      <c r="C2249" t="s">
        <v>4139</v>
      </c>
      <c r="D2249" t="s">
        <v>3</v>
      </c>
      <c r="E2249" t="s">
        <v>4</v>
      </c>
      <c r="F2249">
        <v>214</v>
      </c>
      <c r="G2249">
        <v>370</v>
      </c>
      <c r="H2249" t="s">
        <v>13</v>
      </c>
      <c r="I2249" t="b">
        <f t="shared" si="35"/>
        <v>0</v>
      </c>
    </row>
    <row r="2250" spans="1:9" x14ac:dyDescent="0.2">
      <c r="A2250" t="s">
        <v>1821</v>
      </c>
      <c r="B2250" t="s">
        <v>1822</v>
      </c>
      <c r="C2250" t="s">
        <v>1823</v>
      </c>
      <c r="D2250" t="s">
        <v>1657</v>
      </c>
      <c r="E2250" t="s">
        <v>4</v>
      </c>
      <c r="F2250">
        <v>5011</v>
      </c>
      <c r="G2250">
        <v>4738</v>
      </c>
      <c r="H2250" t="s">
        <v>13</v>
      </c>
      <c r="I2250" t="b">
        <f t="shared" si="35"/>
        <v>0</v>
      </c>
    </row>
    <row r="2251" spans="1:9" x14ac:dyDescent="0.2">
      <c r="A2251" t="s">
        <v>3124</v>
      </c>
      <c r="B2251" t="s">
        <v>3125</v>
      </c>
      <c r="C2251" t="s">
        <v>1823</v>
      </c>
      <c r="D2251" t="s">
        <v>1657</v>
      </c>
      <c r="E2251" t="s">
        <v>4</v>
      </c>
      <c r="F2251">
        <v>5013</v>
      </c>
      <c r="G2251">
        <v>4738</v>
      </c>
      <c r="H2251" t="s">
        <v>13</v>
      </c>
      <c r="I2251" t="b">
        <f t="shared" si="35"/>
        <v>1</v>
      </c>
    </row>
    <row r="2252" spans="1:9" x14ac:dyDescent="0.2">
      <c r="A2252" t="s">
        <v>3934</v>
      </c>
      <c r="B2252" t="s">
        <v>3935</v>
      </c>
      <c r="C2252" t="s">
        <v>2977</v>
      </c>
      <c r="D2252" t="s">
        <v>3936</v>
      </c>
      <c r="E2252" t="s">
        <v>4</v>
      </c>
      <c r="F2252">
        <v>112</v>
      </c>
      <c r="G2252">
        <v>169</v>
      </c>
      <c r="H2252" t="s">
        <v>13</v>
      </c>
      <c r="I2252" t="b">
        <f t="shared" si="35"/>
        <v>0</v>
      </c>
    </row>
    <row r="2253" spans="1:9" x14ac:dyDescent="0.2">
      <c r="A2253" t="s">
        <v>5586</v>
      </c>
      <c r="B2253" t="s">
        <v>5587</v>
      </c>
      <c r="C2253" t="s">
        <v>588</v>
      </c>
      <c r="D2253" t="s">
        <v>5588</v>
      </c>
      <c r="E2253" t="s">
        <v>4</v>
      </c>
      <c r="F2253">
        <v>589</v>
      </c>
      <c r="G2253">
        <v>1289</v>
      </c>
      <c r="H2253" t="s">
        <v>13</v>
      </c>
      <c r="I2253" t="b">
        <f t="shared" si="35"/>
        <v>0</v>
      </c>
    </row>
    <row r="2254" spans="1:9" x14ac:dyDescent="0.2">
      <c r="A2254" t="s">
        <v>6073</v>
      </c>
      <c r="B2254" t="s">
        <v>6074</v>
      </c>
      <c r="C2254" t="s">
        <v>241</v>
      </c>
      <c r="D2254" t="s">
        <v>3718</v>
      </c>
      <c r="E2254" t="s">
        <v>38</v>
      </c>
      <c r="F2254">
        <v>3058</v>
      </c>
      <c r="G2254">
        <v>877</v>
      </c>
      <c r="H2254" t="s">
        <v>13</v>
      </c>
      <c r="I2254" t="b">
        <f t="shared" si="35"/>
        <v>0</v>
      </c>
    </row>
    <row r="2255" spans="1:9" x14ac:dyDescent="0.2">
      <c r="A2255" t="s">
        <v>1256</v>
      </c>
      <c r="B2255" t="s">
        <v>1257</v>
      </c>
      <c r="C2255" t="s">
        <v>1258</v>
      </c>
      <c r="D2255" t="s">
        <v>64</v>
      </c>
      <c r="E2255" t="s">
        <v>4</v>
      </c>
      <c r="F2255">
        <v>36</v>
      </c>
      <c r="G2255">
        <v>0</v>
      </c>
      <c r="H2255" t="s">
        <v>13</v>
      </c>
      <c r="I2255" t="b">
        <f t="shared" si="35"/>
        <v>0</v>
      </c>
    </row>
    <row r="2256" spans="1:9" x14ac:dyDescent="0.2">
      <c r="A2256" t="s">
        <v>2221</v>
      </c>
      <c r="B2256" t="s">
        <v>2222</v>
      </c>
      <c r="C2256" t="s">
        <v>417</v>
      </c>
      <c r="D2256" t="s">
        <v>2223</v>
      </c>
      <c r="E2256" t="s">
        <v>4</v>
      </c>
      <c r="F2256">
        <v>253</v>
      </c>
      <c r="G2256">
        <v>410</v>
      </c>
      <c r="H2256" t="s">
        <v>13</v>
      </c>
      <c r="I2256" t="b">
        <f t="shared" si="35"/>
        <v>0</v>
      </c>
    </row>
    <row r="2257" spans="1:9" x14ac:dyDescent="0.2">
      <c r="A2257" t="s">
        <v>4891</v>
      </c>
      <c r="B2257" t="s">
        <v>4892</v>
      </c>
      <c r="C2257" t="s">
        <v>1267</v>
      </c>
      <c r="D2257" t="s">
        <v>2280</v>
      </c>
      <c r="E2257" t="s">
        <v>4</v>
      </c>
      <c r="F2257">
        <v>1103</v>
      </c>
      <c r="G2257">
        <v>431</v>
      </c>
      <c r="H2257" t="s">
        <v>13</v>
      </c>
      <c r="I2257" t="b">
        <f t="shared" si="35"/>
        <v>0</v>
      </c>
    </row>
    <row r="2258" spans="1:9" x14ac:dyDescent="0.2">
      <c r="A2258" t="s">
        <v>2845</v>
      </c>
      <c r="B2258" t="s">
        <v>2846</v>
      </c>
      <c r="C2258" t="s">
        <v>740</v>
      </c>
      <c r="D2258" t="s">
        <v>3</v>
      </c>
      <c r="E2258" t="s">
        <v>4</v>
      </c>
      <c r="F2258">
        <v>17351</v>
      </c>
      <c r="G2258">
        <v>12513</v>
      </c>
      <c r="H2258" t="s">
        <v>13</v>
      </c>
      <c r="I2258" t="b">
        <f t="shared" si="35"/>
        <v>0</v>
      </c>
    </row>
    <row r="2259" spans="1:9" x14ac:dyDescent="0.2">
      <c r="A2259" t="s">
        <v>2228</v>
      </c>
      <c r="B2259" t="s">
        <v>2229</v>
      </c>
      <c r="C2259" t="s">
        <v>2230</v>
      </c>
      <c r="D2259" t="s">
        <v>3</v>
      </c>
      <c r="E2259" t="s">
        <v>4</v>
      </c>
      <c r="F2259">
        <v>80</v>
      </c>
      <c r="G2259">
        <v>242</v>
      </c>
      <c r="H2259" t="s">
        <v>13</v>
      </c>
      <c r="I2259" t="b">
        <f t="shared" si="35"/>
        <v>0</v>
      </c>
    </row>
    <row r="2260" spans="1:9" x14ac:dyDescent="0.2">
      <c r="A2260" t="s">
        <v>2294</v>
      </c>
      <c r="B2260" t="s">
        <v>2295</v>
      </c>
      <c r="C2260" t="s">
        <v>1035</v>
      </c>
      <c r="D2260" t="s">
        <v>101</v>
      </c>
      <c r="E2260" t="s">
        <v>4</v>
      </c>
      <c r="F2260">
        <v>987</v>
      </c>
      <c r="G2260">
        <v>273</v>
      </c>
      <c r="H2260" t="s">
        <v>126</v>
      </c>
      <c r="I2260" t="b">
        <f t="shared" si="35"/>
        <v>0</v>
      </c>
    </row>
    <row r="2261" spans="1:9" x14ac:dyDescent="0.2">
      <c r="A2261" t="s">
        <v>2127</v>
      </c>
      <c r="B2261" t="s">
        <v>2128</v>
      </c>
      <c r="C2261" t="s">
        <v>279</v>
      </c>
      <c r="D2261" t="s">
        <v>2129</v>
      </c>
      <c r="E2261" t="s">
        <v>4</v>
      </c>
      <c r="F2261">
        <v>471</v>
      </c>
      <c r="G2261">
        <v>1333</v>
      </c>
      <c r="H2261" t="s">
        <v>13</v>
      </c>
      <c r="I2261" t="b">
        <f t="shared" si="35"/>
        <v>0</v>
      </c>
    </row>
    <row r="2262" spans="1:9" x14ac:dyDescent="0.2">
      <c r="A2262" t="s">
        <v>2318</v>
      </c>
      <c r="B2262" t="s">
        <v>2319</v>
      </c>
      <c r="C2262" t="s">
        <v>1193</v>
      </c>
      <c r="D2262" t="s">
        <v>1194</v>
      </c>
      <c r="E2262" t="s">
        <v>4</v>
      </c>
      <c r="F2262">
        <v>7994</v>
      </c>
      <c r="G2262">
        <v>410</v>
      </c>
      <c r="H2262" t="s">
        <v>13</v>
      </c>
      <c r="I2262" t="b">
        <f t="shared" si="35"/>
        <v>0</v>
      </c>
    </row>
    <row r="2263" spans="1:9" x14ac:dyDescent="0.2">
      <c r="A2263" t="s">
        <v>2633</v>
      </c>
      <c r="B2263" t="s">
        <v>2634</v>
      </c>
      <c r="C2263" t="s">
        <v>215</v>
      </c>
      <c r="D2263" t="s">
        <v>71</v>
      </c>
      <c r="E2263" t="s">
        <v>4</v>
      </c>
      <c r="F2263">
        <v>1010</v>
      </c>
      <c r="G2263">
        <v>55</v>
      </c>
      <c r="H2263" t="s">
        <v>13</v>
      </c>
      <c r="I2263" t="b">
        <f t="shared" si="35"/>
        <v>1</v>
      </c>
    </row>
    <row r="2264" spans="1:9" x14ac:dyDescent="0.2">
      <c r="A2264" t="s">
        <v>7096</v>
      </c>
      <c r="B2264" t="s">
        <v>7097</v>
      </c>
      <c r="C2264" t="s">
        <v>215</v>
      </c>
      <c r="D2264" t="s">
        <v>71</v>
      </c>
      <c r="E2264" t="s">
        <v>4</v>
      </c>
      <c r="F2264">
        <v>1016</v>
      </c>
      <c r="G2264">
        <v>55</v>
      </c>
      <c r="H2264" t="s">
        <v>13</v>
      </c>
      <c r="I2264" t="b">
        <f t="shared" si="35"/>
        <v>0</v>
      </c>
    </row>
    <row r="2265" spans="1:9" x14ac:dyDescent="0.2">
      <c r="A2265" t="s">
        <v>2996</v>
      </c>
      <c r="B2265" t="s">
        <v>2997</v>
      </c>
      <c r="C2265" t="s">
        <v>2977</v>
      </c>
      <c r="D2265" t="s">
        <v>2998</v>
      </c>
      <c r="E2265" t="s">
        <v>4</v>
      </c>
      <c r="F2265">
        <v>203</v>
      </c>
      <c r="G2265">
        <v>175</v>
      </c>
      <c r="H2265" t="s">
        <v>13</v>
      </c>
      <c r="I2265" t="b">
        <f t="shared" si="35"/>
        <v>0</v>
      </c>
    </row>
    <row r="2266" spans="1:9" x14ac:dyDescent="0.2">
      <c r="A2266" t="s">
        <v>2485</v>
      </c>
      <c r="B2266" t="s">
        <v>2486</v>
      </c>
      <c r="C2266" t="s">
        <v>588</v>
      </c>
      <c r="D2266" t="s">
        <v>2487</v>
      </c>
      <c r="E2266" t="s">
        <v>4</v>
      </c>
      <c r="F2266">
        <v>894</v>
      </c>
      <c r="G2266">
        <v>1968</v>
      </c>
      <c r="H2266" t="s">
        <v>13</v>
      </c>
      <c r="I2266" t="b">
        <f t="shared" si="35"/>
        <v>0</v>
      </c>
    </row>
    <row r="2267" spans="1:9" x14ac:dyDescent="0.2">
      <c r="A2267" t="s">
        <v>6907</v>
      </c>
      <c r="B2267" t="s">
        <v>6908</v>
      </c>
      <c r="C2267" t="s">
        <v>406</v>
      </c>
      <c r="D2267" t="s">
        <v>407</v>
      </c>
      <c r="E2267" t="s">
        <v>4</v>
      </c>
      <c r="F2267">
        <v>1664</v>
      </c>
      <c r="G2267">
        <v>1478</v>
      </c>
      <c r="H2267" t="s">
        <v>13</v>
      </c>
      <c r="I2267" t="b">
        <f t="shared" si="35"/>
        <v>1</v>
      </c>
    </row>
    <row r="2268" spans="1:9" x14ac:dyDescent="0.2">
      <c r="A2268" t="s">
        <v>4041</v>
      </c>
      <c r="B2268" t="s">
        <v>4042</v>
      </c>
      <c r="C2268" t="s">
        <v>406</v>
      </c>
      <c r="D2268" t="s">
        <v>407</v>
      </c>
      <c r="E2268" t="s">
        <v>4</v>
      </c>
      <c r="F2268">
        <v>1662</v>
      </c>
      <c r="G2268">
        <v>1478</v>
      </c>
      <c r="H2268" t="s">
        <v>13</v>
      </c>
      <c r="I2268" t="b">
        <f t="shared" si="35"/>
        <v>1</v>
      </c>
    </row>
    <row r="2269" spans="1:9" x14ac:dyDescent="0.2">
      <c r="A2269" t="s">
        <v>5491</v>
      </c>
      <c r="B2269" t="s">
        <v>5492</v>
      </c>
      <c r="C2269" t="s">
        <v>406</v>
      </c>
      <c r="D2269" t="s">
        <v>407</v>
      </c>
      <c r="E2269" t="s">
        <v>4</v>
      </c>
      <c r="F2269">
        <v>1662</v>
      </c>
      <c r="G2269">
        <v>1478</v>
      </c>
      <c r="H2269" t="s">
        <v>13</v>
      </c>
      <c r="I2269" t="b">
        <f t="shared" si="35"/>
        <v>1</v>
      </c>
    </row>
    <row r="2270" spans="1:9" x14ac:dyDescent="0.2">
      <c r="A2270" t="s">
        <v>2505</v>
      </c>
      <c r="B2270" t="s">
        <v>2506</v>
      </c>
      <c r="C2270" t="s">
        <v>406</v>
      </c>
      <c r="D2270" t="s">
        <v>407</v>
      </c>
      <c r="E2270" t="s">
        <v>4</v>
      </c>
      <c r="F2270">
        <v>1663</v>
      </c>
      <c r="G2270">
        <v>1479</v>
      </c>
      <c r="H2270" t="s">
        <v>13</v>
      </c>
      <c r="I2270" t="b">
        <f t="shared" si="35"/>
        <v>1</v>
      </c>
    </row>
    <row r="2271" spans="1:9" x14ac:dyDescent="0.2">
      <c r="A2271" t="s">
        <v>1746</v>
      </c>
      <c r="B2271" t="s">
        <v>1747</v>
      </c>
      <c r="C2271" t="s">
        <v>406</v>
      </c>
      <c r="D2271" t="s">
        <v>407</v>
      </c>
      <c r="E2271" t="s">
        <v>4</v>
      </c>
      <c r="F2271">
        <v>1663</v>
      </c>
      <c r="G2271">
        <v>1479</v>
      </c>
      <c r="H2271" t="s">
        <v>13</v>
      </c>
      <c r="I2271" t="b">
        <f t="shared" si="35"/>
        <v>1</v>
      </c>
    </row>
    <row r="2272" spans="1:9" x14ac:dyDescent="0.2">
      <c r="A2272" t="s">
        <v>4834</v>
      </c>
      <c r="B2272" t="s">
        <v>4835</v>
      </c>
      <c r="C2272" t="s">
        <v>406</v>
      </c>
      <c r="D2272" t="s">
        <v>407</v>
      </c>
      <c r="E2272" t="s">
        <v>4</v>
      </c>
      <c r="F2272">
        <v>1662</v>
      </c>
      <c r="G2272">
        <v>1478</v>
      </c>
      <c r="H2272" t="s">
        <v>13</v>
      </c>
      <c r="I2272" t="b">
        <f t="shared" si="35"/>
        <v>1</v>
      </c>
    </row>
    <row r="2273" spans="1:9" x14ac:dyDescent="0.2">
      <c r="A2273" t="s">
        <v>6205</v>
      </c>
      <c r="B2273" t="s">
        <v>6206</v>
      </c>
      <c r="C2273" t="s">
        <v>406</v>
      </c>
      <c r="D2273" t="s">
        <v>407</v>
      </c>
      <c r="E2273" t="s">
        <v>4</v>
      </c>
      <c r="F2273">
        <v>1663</v>
      </c>
      <c r="G2273">
        <v>1478</v>
      </c>
      <c r="H2273" t="s">
        <v>13</v>
      </c>
      <c r="I2273" t="b">
        <f t="shared" si="35"/>
        <v>1</v>
      </c>
    </row>
    <row r="2274" spans="1:9" x14ac:dyDescent="0.2">
      <c r="A2274" t="s">
        <v>404</v>
      </c>
      <c r="B2274" t="s">
        <v>405</v>
      </c>
      <c r="C2274" t="s">
        <v>406</v>
      </c>
      <c r="D2274" t="s">
        <v>407</v>
      </c>
      <c r="E2274" t="s">
        <v>4</v>
      </c>
      <c r="F2274">
        <v>1661</v>
      </c>
      <c r="G2274">
        <v>1479</v>
      </c>
      <c r="H2274" t="s">
        <v>13</v>
      </c>
      <c r="I2274" t="b">
        <f t="shared" si="35"/>
        <v>1</v>
      </c>
    </row>
    <row r="2275" spans="1:9" x14ac:dyDescent="0.2">
      <c r="A2275" t="s">
        <v>1022</v>
      </c>
      <c r="B2275" t="s">
        <v>1023</v>
      </c>
      <c r="C2275" t="s">
        <v>406</v>
      </c>
      <c r="D2275" t="s">
        <v>407</v>
      </c>
      <c r="E2275" t="s">
        <v>4</v>
      </c>
      <c r="F2275">
        <v>1662</v>
      </c>
      <c r="G2275">
        <v>1479</v>
      </c>
      <c r="H2275" t="s">
        <v>13</v>
      </c>
      <c r="I2275" t="b">
        <f t="shared" si="35"/>
        <v>1</v>
      </c>
    </row>
    <row r="2276" spans="1:9" x14ac:dyDescent="0.2">
      <c r="A2276" t="s">
        <v>3301</v>
      </c>
      <c r="B2276" t="s">
        <v>3302</v>
      </c>
      <c r="C2276" t="s">
        <v>406</v>
      </c>
      <c r="D2276" t="s">
        <v>407</v>
      </c>
      <c r="E2276" t="s">
        <v>4</v>
      </c>
      <c r="F2276">
        <v>1663</v>
      </c>
      <c r="G2276">
        <v>1479</v>
      </c>
      <c r="H2276" t="s">
        <v>13</v>
      </c>
      <c r="I2276" t="b">
        <f t="shared" si="35"/>
        <v>0</v>
      </c>
    </row>
    <row r="2277" spans="1:9" x14ac:dyDescent="0.2">
      <c r="A2277" t="s">
        <v>3397</v>
      </c>
      <c r="B2277" t="s">
        <v>3398</v>
      </c>
      <c r="C2277" t="s">
        <v>3022</v>
      </c>
      <c r="D2277" t="s">
        <v>3399</v>
      </c>
      <c r="E2277" t="s">
        <v>4</v>
      </c>
      <c r="F2277">
        <v>264</v>
      </c>
      <c r="G2277">
        <v>355</v>
      </c>
      <c r="H2277" t="s">
        <v>13</v>
      </c>
      <c r="I2277" t="b">
        <f t="shared" si="35"/>
        <v>0</v>
      </c>
    </row>
    <row r="2278" spans="1:9" x14ac:dyDescent="0.2">
      <c r="A2278" t="s">
        <v>5127</v>
      </c>
      <c r="B2278" t="s">
        <v>5128</v>
      </c>
      <c r="C2278" t="s">
        <v>60</v>
      </c>
      <c r="D2278" t="s">
        <v>3</v>
      </c>
      <c r="E2278" t="s">
        <v>4</v>
      </c>
      <c r="F2278">
        <v>1905</v>
      </c>
      <c r="G2278">
        <v>801</v>
      </c>
      <c r="H2278" t="s">
        <v>13</v>
      </c>
      <c r="I2278" t="b">
        <f t="shared" si="35"/>
        <v>0</v>
      </c>
    </row>
    <row r="2279" spans="1:9" x14ac:dyDescent="0.2">
      <c r="A2279" t="s">
        <v>6614</v>
      </c>
      <c r="B2279" t="s">
        <v>6615</v>
      </c>
      <c r="C2279" t="s">
        <v>133</v>
      </c>
      <c r="D2279" t="s">
        <v>113</v>
      </c>
      <c r="E2279" t="s">
        <v>4</v>
      </c>
      <c r="F2279">
        <v>133</v>
      </c>
      <c r="G2279">
        <v>304</v>
      </c>
      <c r="H2279" t="s">
        <v>13</v>
      </c>
      <c r="I2279" t="b">
        <f t="shared" si="35"/>
        <v>0</v>
      </c>
    </row>
    <row r="2280" spans="1:9" x14ac:dyDescent="0.2">
      <c r="A2280" t="s">
        <v>3055</v>
      </c>
      <c r="B2280" t="s">
        <v>3056</v>
      </c>
      <c r="C2280" t="s">
        <v>1048</v>
      </c>
      <c r="D2280" t="s">
        <v>566</v>
      </c>
      <c r="E2280" t="s">
        <v>38</v>
      </c>
      <c r="F2280">
        <v>12089</v>
      </c>
      <c r="G2280">
        <v>1635</v>
      </c>
      <c r="H2280" t="s">
        <v>13</v>
      </c>
      <c r="I2280" t="b">
        <f t="shared" si="35"/>
        <v>0</v>
      </c>
    </row>
    <row r="2281" spans="1:9" x14ac:dyDescent="0.2">
      <c r="A2281" t="s">
        <v>3454</v>
      </c>
      <c r="B2281" t="s">
        <v>3455</v>
      </c>
      <c r="C2281" t="s">
        <v>104</v>
      </c>
      <c r="D2281" t="s">
        <v>3</v>
      </c>
      <c r="E2281" t="s">
        <v>4</v>
      </c>
      <c r="F2281">
        <v>3</v>
      </c>
      <c r="G2281">
        <v>5</v>
      </c>
      <c r="H2281" t="s">
        <v>363</v>
      </c>
      <c r="I2281" t="b">
        <f t="shared" si="35"/>
        <v>0</v>
      </c>
    </row>
    <row r="2282" spans="1:9" x14ac:dyDescent="0.2">
      <c r="A2282" t="s">
        <v>4370</v>
      </c>
      <c r="B2282" t="s">
        <v>4371</v>
      </c>
      <c r="C2282" t="s">
        <v>1138</v>
      </c>
      <c r="D2282" t="s">
        <v>3</v>
      </c>
      <c r="E2282" t="s">
        <v>4</v>
      </c>
      <c r="F2282">
        <v>4537</v>
      </c>
      <c r="G2282">
        <v>398</v>
      </c>
      <c r="H2282" t="s">
        <v>13</v>
      </c>
      <c r="I2282" t="b">
        <f t="shared" si="35"/>
        <v>0</v>
      </c>
    </row>
    <row r="2283" spans="1:9" x14ac:dyDescent="0.2">
      <c r="A2283" t="s">
        <v>3835</v>
      </c>
      <c r="B2283" t="s">
        <v>3836</v>
      </c>
      <c r="C2283" t="s">
        <v>648</v>
      </c>
      <c r="D2283" t="s">
        <v>3837</v>
      </c>
      <c r="E2283" t="s">
        <v>4</v>
      </c>
      <c r="F2283">
        <v>67</v>
      </c>
      <c r="G2283">
        <v>189</v>
      </c>
      <c r="H2283" t="s">
        <v>13</v>
      </c>
      <c r="I2283" t="b">
        <f t="shared" si="35"/>
        <v>0</v>
      </c>
    </row>
    <row r="2284" spans="1:9" x14ac:dyDescent="0.2">
      <c r="A2284" t="s">
        <v>6139</v>
      </c>
      <c r="B2284" t="s">
        <v>6140</v>
      </c>
      <c r="C2284" t="s">
        <v>6141</v>
      </c>
      <c r="D2284" t="s">
        <v>6142</v>
      </c>
      <c r="E2284" t="s">
        <v>4</v>
      </c>
      <c r="F2284">
        <v>533</v>
      </c>
      <c r="G2284">
        <v>514</v>
      </c>
      <c r="H2284" t="s">
        <v>13</v>
      </c>
      <c r="I2284" t="b">
        <f t="shared" si="35"/>
        <v>0</v>
      </c>
    </row>
    <row r="2285" spans="1:9" x14ac:dyDescent="0.2">
      <c r="A2285" t="s">
        <v>6937</v>
      </c>
      <c r="B2285" t="s">
        <v>6938</v>
      </c>
      <c r="C2285" t="s">
        <v>5036</v>
      </c>
      <c r="D2285" t="s">
        <v>491</v>
      </c>
      <c r="E2285" t="s">
        <v>4</v>
      </c>
      <c r="F2285">
        <v>285</v>
      </c>
      <c r="G2285">
        <v>355</v>
      </c>
      <c r="H2285" t="s">
        <v>13</v>
      </c>
      <c r="I2285" t="b">
        <f t="shared" si="35"/>
        <v>0</v>
      </c>
    </row>
    <row r="2286" spans="1:9" x14ac:dyDescent="0.2">
      <c r="A2286" t="s">
        <v>6124</v>
      </c>
      <c r="B2286" t="s">
        <v>6125</v>
      </c>
      <c r="C2286" t="s">
        <v>1438</v>
      </c>
      <c r="D2286" t="s">
        <v>3</v>
      </c>
      <c r="E2286" t="s">
        <v>4</v>
      </c>
      <c r="F2286">
        <v>23830</v>
      </c>
      <c r="G2286">
        <v>973</v>
      </c>
      <c r="H2286" t="s">
        <v>13</v>
      </c>
      <c r="I2286" t="b">
        <f t="shared" si="35"/>
        <v>0</v>
      </c>
    </row>
    <row r="2287" spans="1:9" x14ac:dyDescent="0.2">
      <c r="A2287" t="s">
        <v>2111</v>
      </c>
      <c r="B2287" t="s">
        <v>2112</v>
      </c>
      <c r="C2287" t="s">
        <v>996</v>
      </c>
      <c r="D2287" t="s">
        <v>2113</v>
      </c>
      <c r="E2287" t="s">
        <v>4</v>
      </c>
      <c r="F2287">
        <v>3880</v>
      </c>
      <c r="G2287">
        <v>671</v>
      </c>
      <c r="H2287" t="s">
        <v>13</v>
      </c>
      <c r="I2287" t="b">
        <f t="shared" si="35"/>
        <v>0</v>
      </c>
    </row>
    <row r="2288" spans="1:9" x14ac:dyDescent="0.2">
      <c r="A2288" t="s">
        <v>2785</v>
      </c>
      <c r="B2288" t="s">
        <v>2786</v>
      </c>
      <c r="C2288" t="s">
        <v>526</v>
      </c>
      <c r="D2288" t="s">
        <v>3</v>
      </c>
      <c r="E2288" t="s">
        <v>4</v>
      </c>
      <c r="F2288">
        <v>2</v>
      </c>
      <c r="G2288">
        <v>137</v>
      </c>
      <c r="H2288" t="s">
        <v>645</v>
      </c>
      <c r="I2288" t="b">
        <f t="shared" si="35"/>
        <v>0</v>
      </c>
    </row>
    <row r="2289" spans="1:9" x14ac:dyDescent="0.2">
      <c r="A2289" t="s">
        <v>1493</v>
      </c>
      <c r="B2289" t="s">
        <v>1494</v>
      </c>
      <c r="C2289" t="s">
        <v>1452</v>
      </c>
      <c r="D2289" t="s">
        <v>1453</v>
      </c>
      <c r="E2289" t="s">
        <v>4</v>
      </c>
      <c r="F2289">
        <v>1100</v>
      </c>
      <c r="G2289">
        <v>512</v>
      </c>
      <c r="H2289" t="s">
        <v>13</v>
      </c>
      <c r="I2289" t="b">
        <f t="shared" si="35"/>
        <v>0</v>
      </c>
    </row>
    <row r="2290" spans="1:9" x14ac:dyDescent="0.2">
      <c r="A2290" t="s">
        <v>3114</v>
      </c>
      <c r="B2290" t="s">
        <v>3115</v>
      </c>
      <c r="C2290" t="s">
        <v>104</v>
      </c>
      <c r="D2290" t="s">
        <v>3</v>
      </c>
      <c r="E2290" t="s">
        <v>4</v>
      </c>
      <c r="F2290">
        <v>3</v>
      </c>
      <c r="G2290">
        <v>0</v>
      </c>
      <c r="H2290" t="s">
        <v>363</v>
      </c>
      <c r="I2290" t="b">
        <f t="shared" si="35"/>
        <v>0</v>
      </c>
    </row>
    <row r="2291" spans="1:9" x14ac:dyDescent="0.2">
      <c r="A2291" t="s">
        <v>6565</v>
      </c>
      <c r="B2291" t="s">
        <v>6566</v>
      </c>
      <c r="C2291" t="s">
        <v>4187</v>
      </c>
      <c r="D2291" t="s">
        <v>1027</v>
      </c>
      <c r="E2291" t="s">
        <v>4</v>
      </c>
      <c r="F2291">
        <v>46</v>
      </c>
      <c r="G2291">
        <v>142</v>
      </c>
      <c r="H2291" t="s">
        <v>13</v>
      </c>
      <c r="I2291" t="b">
        <f t="shared" si="35"/>
        <v>0</v>
      </c>
    </row>
    <row r="2292" spans="1:9" x14ac:dyDescent="0.2">
      <c r="A2292" t="s">
        <v>6303</v>
      </c>
      <c r="B2292" t="s">
        <v>6304</v>
      </c>
      <c r="C2292" t="s">
        <v>999</v>
      </c>
      <c r="D2292" t="s">
        <v>3</v>
      </c>
      <c r="E2292" t="s">
        <v>4</v>
      </c>
      <c r="F2292">
        <v>23</v>
      </c>
      <c r="G2292">
        <v>7</v>
      </c>
      <c r="H2292" t="s">
        <v>13</v>
      </c>
      <c r="I2292" t="b">
        <f t="shared" si="35"/>
        <v>0</v>
      </c>
    </row>
    <row r="2293" spans="1:9" x14ac:dyDescent="0.2">
      <c r="A2293" t="s">
        <v>5380</v>
      </c>
      <c r="B2293" t="s">
        <v>5381</v>
      </c>
      <c r="C2293" t="s">
        <v>5382</v>
      </c>
      <c r="D2293" t="s">
        <v>5383</v>
      </c>
      <c r="E2293" t="s">
        <v>4</v>
      </c>
      <c r="F2293">
        <v>377</v>
      </c>
      <c r="G2293">
        <v>1119</v>
      </c>
      <c r="H2293" t="s">
        <v>13</v>
      </c>
      <c r="I2293" t="b">
        <f t="shared" si="35"/>
        <v>0</v>
      </c>
    </row>
    <row r="2294" spans="1:9" x14ac:dyDescent="0.2">
      <c r="A2294" t="s">
        <v>4874</v>
      </c>
      <c r="B2294" t="s">
        <v>4875</v>
      </c>
      <c r="C2294" t="s">
        <v>4876</v>
      </c>
      <c r="D2294" t="s">
        <v>4877</v>
      </c>
      <c r="E2294" t="s">
        <v>4</v>
      </c>
      <c r="F2294">
        <v>90</v>
      </c>
      <c r="G2294">
        <v>447</v>
      </c>
      <c r="H2294" t="s">
        <v>13</v>
      </c>
      <c r="I2294" t="b">
        <f t="shared" si="35"/>
        <v>0</v>
      </c>
    </row>
    <row r="2295" spans="1:9" x14ac:dyDescent="0.2">
      <c r="A2295" t="s">
        <v>5783</v>
      </c>
      <c r="B2295" t="s">
        <v>5784</v>
      </c>
      <c r="C2295" t="s">
        <v>740</v>
      </c>
      <c r="D2295" t="s">
        <v>5785</v>
      </c>
      <c r="E2295" t="s">
        <v>38</v>
      </c>
      <c r="F2295">
        <v>172963</v>
      </c>
      <c r="G2295">
        <v>217</v>
      </c>
      <c r="H2295" t="s">
        <v>13</v>
      </c>
      <c r="I2295" t="b">
        <f t="shared" si="35"/>
        <v>0</v>
      </c>
    </row>
    <row r="2296" spans="1:9" x14ac:dyDescent="0.2">
      <c r="A2296" t="s">
        <v>5051</v>
      </c>
      <c r="B2296" t="s">
        <v>5052</v>
      </c>
      <c r="C2296" t="s">
        <v>1510</v>
      </c>
      <c r="D2296" t="s">
        <v>5053</v>
      </c>
      <c r="E2296" t="s">
        <v>4</v>
      </c>
      <c r="F2296">
        <v>136</v>
      </c>
      <c r="G2296">
        <v>115</v>
      </c>
      <c r="H2296" t="s">
        <v>13</v>
      </c>
      <c r="I2296" t="b">
        <f t="shared" si="35"/>
        <v>0</v>
      </c>
    </row>
    <row r="2297" spans="1:9" x14ac:dyDescent="0.2">
      <c r="A2297" t="s">
        <v>1361</v>
      </c>
      <c r="B2297" t="s">
        <v>1364</v>
      </c>
      <c r="C2297" t="s">
        <v>1365</v>
      </c>
      <c r="D2297" t="s">
        <v>1366</v>
      </c>
      <c r="E2297" t="s">
        <v>4</v>
      </c>
      <c r="F2297">
        <v>188</v>
      </c>
      <c r="G2297">
        <v>9</v>
      </c>
      <c r="H2297" t="s">
        <v>13</v>
      </c>
      <c r="I2297" t="b">
        <f t="shared" si="35"/>
        <v>0</v>
      </c>
    </row>
    <row r="2298" spans="1:9" x14ac:dyDescent="0.2">
      <c r="A2298" t="s">
        <v>1971</v>
      </c>
      <c r="B2298" t="s">
        <v>1972</v>
      </c>
      <c r="C2298" t="s">
        <v>1328</v>
      </c>
      <c r="D2298" t="s">
        <v>1973</v>
      </c>
      <c r="E2298" t="s">
        <v>4</v>
      </c>
      <c r="F2298">
        <v>30874</v>
      </c>
      <c r="G2298">
        <v>5408</v>
      </c>
      <c r="H2298" t="s">
        <v>13</v>
      </c>
      <c r="I2298" t="b">
        <f t="shared" si="35"/>
        <v>0</v>
      </c>
    </row>
    <row r="2299" spans="1:9" x14ac:dyDescent="0.2">
      <c r="A2299" t="s">
        <v>5806</v>
      </c>
      <c r="B2299" t="s">
        <v>5807</v>
      </c>
      <c r="C2299" t="s">
        <v>4086</v>
      </c>
      <c r="D2299" t="s">
        <v>3</v>
      </c>
      <c r="E2299" t="s">
        <v>4</v>
      </c>
      <c r="F2299">
        <v>2295</v>
      </c>
      <c r="G2299">
        <v>1650</v>
      </c>
      <c r="H2299" t="s">
        <v>13</v>
      </c>
      <c r="I2299" t="b">
        <f t="shared" si="35"/>
        <v>0</v>
      </c>
    </row>
    <row r="2300" spans="1:9" x14ac:dyDescent="0.2">
      <c r="A2300" t="s">
        <v>4884</v>
      </c>
      <c r="B2300" t="s">
        <v>4885</v>
      </c>
      <c r="C2300" t="s">
        <v>410</v>
      </c>
      <c r="D2300" t="s">
        <v>2103</v>
      </c>
      <c r="E2300" t="s">
        <v>4</v>
      </c>
      <c r="F2300">
        <v>12</v>
      </c>
      <c r="G2300">
        <v>104</v>
      </c>
      <c r="H2300" t="s">
        <v>13</v>
      </c>
      <c r="I2300" t="b">
        <f t="shared" si="35"/>
        <v>0</v>
      </c>
    </row>
    <row r="2301" spans="1:9" x14ac:dyDescent="0.2">
      <c r="A2301" t="s">
        <v>6200</v>
      </c>
      <c r="B2301" t="s">
        <v>6201</v>
      </c>
      <c r="C2301" t="s">
        <v>568</v>
      </c>
      <c r="D2301" t="s">
        <v>3</v>
      </c>
      <c r="E2301" t="s">
        <v>4</v>
      </c>
      <c r="F2301">
        <v>46</v>
      </c>
      <c r="G2301">
        <v>83</v>
      </c>
      <c r="H2301" t="s">
        <v>13</v>
      </c>
      <c r="I2301" t="b">
        <f t="shared" si="35"/>
        <v>0</v>
      </c>
    </row>
    <row r="2302" spans="1:9" x14ac:dyDescent="0.2">
      <c r="A2302" t="s">
        <v>14</v>
      </c>
      <c r="B2302" t="s">
        <v>15</v>
      </c>
      <c r="C2302" t="s">
        <v>16</v>
      </c>
      <c r="D2302" t="s">
        <v>17</v>
      </c>
      <c r="E2302" t="s">
        <v>4</v>
      </c>
      <c r="F2302">
        <v>1996</v>
      </c>
      <c r="G2302">
        <v>1967</v>
      </c>
      <c r="H2302" t="s">
        <v>13</v>
      </c>
      <c r="I2302" t="b">
        <f t="shared" si="35"/>
        <v>0</v>
      </c>
    </row>
    <row r="2303" spans="1:9" x14ac:dyDescent="0.2">
      <c r="A2303" t="s">
        <v>5330</v>
      </c>
      <c r="B2303" t="s">
        <v>5331</v>
      </c>
      <c r="C2303" t="s">
        <v>1152</v>
      </c>
      <c r="D2303" t="s">
        <v>3</v>
      </c>
      <c r="E2303" t="s">
        <v>4</v>
      </c>
      <c r="F2303">
        <v>12352</v>
      </c>
      <c r="G2303">
        <v>539</v>
      </c>
      <c r="H2303" t="s">
        <v>13</v>
      </c>
      <c r="I2303" t="b">
        <f t="shared" si="35"/>
        <v>0</v>
      </c>
    </row>
    <row r="2304" spans="1:9" x14ac:dyDescent="0.2">
      <c r="A2304" t="s">
        <v>1695</v>
      </c>
      <c r="B2304" t="s">
        <v>1696</v>
      </c>
      <c r="C2304" t="s">
        <v>1697</v>
      </c>
      <c r="D2304" t="s">
        <v>1698</v>
      </c>
      <c r="E2304" t="s">
        <v>4</v>
      </c>
      <c r="F2304">
        <v>516</v>
      </c>
      <c r="G2304">
        <v>499</v>
      </c>
      <c r="H2304" t="s">
        <v>13</v>
      </c>
      <c r="I2304" t="b">
        <f t="shared" si="35"/>
        <v>0</v>
      </c>
    </row>
    <row r="2305" spans="1:9" x14ac:dyDescent="0.2">
      <c r="A2305" t="s">
        <v>6163</v>
      </c>
      <c r="B2305" t="s">
        <v>6164</v>
      </c>
      <c r="C2305" t="s">
        <v>568</v>
      </c>
      <c r="D2305" t="s">
        <v>3</v>
      </c>
      <c r="E2305" t="s">
        <v>4</v>
      </c>
      <c r="F2305">
        <v>46</v>
      </c>
      <c r="G2305">
        <v>83</v>
      </c>
      <c r="H2305" t="s">
        <v>13</v>
      </c>
      <c r="I2305" t="b">
        <f t="shared" si="35"/>
        <v>0</v>
      </c>
    </row>
    <row r="2306" spans="1:9" x14ac:dyDescent="0.2">
      <c r="A2306" t="s">
        <v>6212</v>
      </c>
      <c r="B2306" t="s">
        <v>6213</v>
      </c>
      <c r="C2306" t="s">
        <v>3852</v>
      </c>
      <c r="D2306" t="s">
        <v>1352</v>
      </c>
      <c r="E2306" t="s">
        <v>4</v>
      </c>
      <c r="F2306">
        <v>123</v>
      </c>
      <c r="G2306">
        <v>188</v>
      </c>
      <c r="H2306" t="s">
        <v>126</v>
      </c>
      <c r="I2306" t="b">
        <f t="shared" si="35"/>
        <v>0</v>
      </c>
    </row>
    <row r="2307" spans="1:9" x14ac:dyDescent="0.2">
      <c r="A2307" t="s">
        <v>7124</v>
      </c>
      <c r="B2307" t="s">
        <v>7125</v>
      </c>
      <c r="C2307" t="s">
        <v>7126</v>
      </c>
      <c r="D2307" t="s">
        <v>7127</v>
      </c>
      <c r="E2307" t="s">
        <v>4</v>
      </c>
      <c r="F2307">
        <v>42</v>
      </c>
      <c r="G2307">
        <v>22</v>
      </c>
      <c r="H2307" t="s">
        <v>13</v>
      </c>
      <c r="I2307" t="b">
        <f t="shared" ref="I2307:I2370" si="36">isDup(B2307, B2308, 0.7)</f>
        <v>0</v>
      </c>
    </row>
    <row r="2308" spans="1:9" x14ac:dyDescent="0.2">
      <c r="A2308" t="s">
        <v>5855</v>
      </c>
      <c r="B2308" t="s">
        <v>5856</v>
      </c>
      <c r="C2308" t="s">
        <v>36</v>
      </c>
      <c r="D2308" t="s">
        <v>5857</v>
      </c>
      <c r="E2308" t="s">
        <v>4</v>
      </c>
      <c r="F2308">
        <v>3250</v>
      </c>
      <c r="G2308">
        <v>1002</v>
      </c>
      <c r="H2308" t="s">
        <v>13</v>
      </c>
      <c r="I2308" t="b">
        <f t="shared" si="36"/>
        <v>0</v>
      </c>
    </row>
    <row r="2309" spans="1:9" x14ac:dyDescent="0.2">
      <c r="A2309" t="s">
        <v>1353</v>
      </c>
      <c r="B2309" t="s">
        <v>1354</v>
      </c>
      <c r="C2309" t="s">
        <v>561</v>
      </c>
      <c r="D2309" t="s">
        <v>663</v>
      </c>
      <c r="E2309" t="s">
        <v>4</v>
      </c>
      <c r="F2309">
        <v>222</v>
      </c>
      <c r="G2309">
        <v>793</v>
      </c>
      <c r="H2309" t="s">
        <v>13</v>
      </c>
      <c r="I2309" t="b">
        <f t="shared" si="36"/>
        <v>0</v>
      </c>
    </row>
    <row r="2310" spans="1:9" x14ac:dyDescent="0.2">
      <c r="A2310" t="s">
        <v>2341</v>
      </c>
      <c r="B2310" t="s">
        <v>2342</v>
      </c>
      <c r="C2310" t="s">
        <v>1019</v>
      </c>
      <c r="D2310" t="s">
        <v>2343</v>
      </c>
      <c r="E2310" t="s">
        <v>4</v>
      </c>
      <c r="F2310">
        <v>98</v>
      </c>
      <c r="G2310">
        <v>134</v>
      </c>
      <c r="H2310" t="s">
        <v>13</v>
      </c>
      <c r="I2310" t="b">
        <f t="shared" si="36"/>
        <v>0</v>
      </c>
    </row>
    <row r="2311" spans="1:9" x14ac:dyDescent="0.2">
      <c r="A2311" t="s">
        <v>2352</v>
      </c>
      <c r="B2311" t="s">
        <v>2353</v>
      </c>
      <c r="C2311" t="s">
        <v>1019</v>
      </c>
      <c r="D2311" t="s">
        <v>2343</v>
      </c>
      <c r="E2311" t="s">
        <v>4</v>
      </c>
      <c r="F2311">
        <v>98</v>
      </c>
      <c r="G2311">
        <v>134</v>
      </c>
      <c r="H2311" t="s">
        <v>13</v>
      </c>
      <c r="I2311" t="b">
        <f t="shared" si="36"/>
        <v>0</v>
      </c>
    </row>
    <row r="2312" spans="1:9" x14ac:dyDescent="0.2">
      <c r="A2312" t="s">
        <v>6852</v>
      </c>
      <c r="B2312" t="s">
        <v>6853</v>
      </c>
      <c r="C2312" t="s">
        <v>2733</v>
      </c>
      <c r="D2312" t="s">
        <v>3</v>
      </c>
      <c r="E2312" t="s">
        <v>4</v>
      </c>
      <c r="F2312">
        <v>526</v>
      </c>
      <c r="G2312">
        <v>568</v>
      </c>
      <c r="H2312" t="s">
        <v>13</v>
      </c>
      <c r="I2312" t="b">
        <f t="shared" si="36"/>
        <v>0</v>
      </c>
    </row>
    <row r="2313" spans="1:9" x14ac:dyDescent="0.2">
      <c r="A2313" t="s">
        <v>6002</v>
      </c>
      <c r="B2313" t="s">
        <v>6003</v>
      </c>
      <c r="C2313" t="s">
        <v>686</v>
      </c>
      <c r="D2313" t="s">
        <v>6004</v>
      </c>
      <c r="E2313" t="s">
        <v>4</v>
      </c>
      <c r="F2313">
        <v>34</v>
      </c>
      <c r="G2313">
        <v>225</v>
      </c>
      <c r="H2313" t="s">
        <v>13</v>
      </c>
      <c r="I2313" t="b">
        <f t="shared" si="36"/>
        <v>0</v>
      </c>
    </row>
    <row r="2314" spans="1:9" x14ac:dyDescent="0.2">
      <c r="A2314" t="s">
        <v>2917</v>
      </c>
      <c r="B2314" t="s">
        <v>2918</v>
      </c>
      <c r="C2314" t="s">
        <v>2919</v>
      </c>
      <c r="D2314" t="s">
        <v>1848</v>
      </c>
      <c r="E2314" t="s">
        <v>4</v>
      </c>
      <c r="F2314">
        <v>1415</v>
      </c>
      <c r="G2314">
        <v>472</v>
      </c>
      <c r="H2314" t="s">
        <v>13</v>
      </c>
      <c r="I2314" t="b">
        <f t="shared" si="36"/>
        <v>0</v>
      </c>
    </row>
    <row r="2315" spans="1:9" x14ac:dyDescent="0.2">
      <c r="A2315" t="s">
        <v>784</v>
      </c>
      <c r="B2315" t="s">
        <v>785</v>
      </c>
      <c r="C2315" t="s">
        <v>786</v>
      </c>
      <c r="D2315" t="s">
        <v>3</v>
      </c>
      <c r="E2315" t="s">
        <v>4</v>
      </c>
      <c r="F2315">
        <v>17</v>
      </c>
      <c r="G2315">
        <v>167</v>
      </c>
      <c r="H2315" t="s">
        <v>13</v>
      </c>
      <c r="I2315" t="b">
        <f t="shared" si="36"/>
        <v>0</v>
      </c>
    </row>
    <row r="2316" spans="1:9" x14ac:dyDescent="0.2">
      <c r="A2316" t="s">
        <v>3962</v>
      </c>
      <c r="B2316" t="s">
        <v>3963</v>
      </c>
      <c r="C2316" t="s">
        <v>1103</v>
      </c>
      <c r="D2316" t="s">
        <v>2171</v>
      </c>
      <c r="E2316" t="s">
        <v>4</v>
      </c>
      <c r="F2316">
        <v>5</v>
      </c>
      <c r="G2316">
        <v>24</v>
      </c>
      <c r="H2316" t="s">
        <v>13</v>
      </c>
      <c r="I2316" t="b">
        <f t="shared" si="36"/>
        <v>0</v>
      </c>
    </row>
    <row r="2317" spans="1:9" x14ac:dyDescent="0.2">
      <c r="A2317" t="s">
        <v>217</v>
      </c>
      <c r="B2317" t="s">
        <v>218</v>
      </c>
      <c r="C2317" t="s">
        <v>219</v>
      </c>
      <c r="D2317" t="s">
        <v>220</v>
      </c>
      <c r="E2317" t="s">
        <v>4</v>
      </c>
      <c r="F2317">
        <v>61</v>
      </c>
      <c r="G2317">
        <v>121</v>
      </c>
      <c r="H2317" t="s">
        <v>13</v>
      </c>
      <c r="I2317" t="b">
        <f t="shared" si="36"/>
        <v>0</v>
      </c>
    </row>
    <row r="2318" spans="1:9" x14ac:dyDescent="0.2">
      <c r="A2318" t="s">
        <v>4720</v>
      </c>
      <c r="B2318" t="s">
        <v>4721</v>
      </c>
      <c r="C2318" t="s">
        <v>4722</v>
      </c>
      <c r="D2318" t="s">
        <v>3818</v>
      </c>
      <c r="E2318" t="s">
        <v>4</v>
      </c>
      <c r="F2318">
        <v>90</v>
      </c>
      <c r="G2318">
        <v>444</v>
      </c>
      <c r="H2318" t="s">
        <v>13</v>
      </c>
      <c r="I2318" t="b">
        <f t="shared" si="36"/>
        <v>0</v>
      </c>
    </row>
    <row r="2319" spans="1:9" x14ac:dyDescent="0.2">
      <c r="A2319" t="s">
        <v>6092</v>
      </c>
      <c r="B2319" t="s">
        <v>6093</v>
      </c>
      <c r="C2319" t="s">
        <v>1291</v>
      </c>
      <c r="D2319" t="s">
        <v>6094</v>
      </c>
      <c r="E2319" t="s">
        <v>4</v>
      </c>
      <c r="F2319">
        <v>118</v>
      </c>
      <c r="G2319">
        <v>180</v>
      </c>
      <c r="H2319" t="s">
        <v>13</v>
      </c>
      <c r="I2319" t="b">
        <f t="shared" si="36"/>
        <v>0</v>
      </c>
    </row>
    <row r="2320" spans="1:9" x14ac:dyDescent="0.2">
      <c r="A2320" t="s">
        <v>1926</v>
      </c>
      <c r="B2320" t="s">
        <v>1927</v>
      </c>
      <c r="C2320" t="s">
        <v>1928</v>
      </c>
      <c r="D2320" t="s">
        <v>3</v>
      </c>
      <c r="E2320" t="s">
        <v>4</v>
      </c>
      <c r="F2320">
        <v>5841</v>
      </c>
      <c r="G2320">
        <v>5841</v>
      </c>
      <c r="H2320" t="s">
        <v>5</v>
      </c>
      <c r="I2320" t="b">
        <f t="shared" si="36"/>
        <v>0</v>
      </c>
    </row>
    <row r="2321" spans="1:9" x14ac:dyDescent="0.2">
      <c r="A2321" t="s">
        <v>507</v>
      </c>
      <c r="B2321" t="s">
        <v>508</v>
      </c>
      <c r="C2321" t="s">
        <v>509</v>
      </c>
      <c r="D2321" t="s">
        <v>510</v>
      </c>
      <c r="E2321" t="s">
        <v>4</v>
      </c>
      <c r="F2321">
        <v>95</v>
      </c>
      <c r="G2321">
        <v>285</v>
      </c>
      <c r="H2321" t="s">
        <v>13</v>
      </c>
      <c r="I2321" t="b">
        <f t="shared" si="36"/>
        <v>0</v>
      </c>
    </row>
    <row r="2322" spans="1:9" x14ac:dyDescent="0.2">
      <c r="A2322" t="s">
        <v>3467</v>
      </c>
      <c r="B2322" t="s">
        <v>3468</v>
      </c>
      <c r="C2322" t="s">
        <v>2091</v>
      </c>
      <c r="D2322" t="s">
        <v>3</v>
      </c>
      <c r="E2322" t="s">
        <v>4</v>
      </c>
      <c r="F2322">
        <v>85</v>
      </c>
      <c r="G2322">
        <v>14</v>
      </c>
      <c r="H2322" t="s">
        <v>13</v>
      </c>
      <c r="I2322" t="b">
        <f t="shared" si="36"/>
        <v>0</v>
      </c>
    </row>
    <row r="2323" spans="1:9" x14ac:dyDescent="0.2">
      <c r="A2323" t="s">
        <v>1581</v>
      </c>
      <c r="B2323" t="s">
        <v>1582</v>
      </c>
      <c r="C2323" t="s">
        <v>1583</v>
      </c>
      <c r="D2323" t="s">
        <v>3</v>
      </c>
      <c r="E2323" t="s">
        <v>4</v>
      </c>
      <c r="F2323">
        <v>57</v>
      </c>
      <c r="G2323">
        <v>108</v>
      </c>
      <c r="H2323" t="s">
        <v>1584</v>
      </c>
      <c r="I2323" t="b">
        <f t="shared" si="36"/>
        <v>0</v>
      </c>
    </row>
    <row r="2324" spans="1:9" x14ac:dyDescent="0.2">
      <c r="A2324" t="s">
        <v>1659</v>
      </c>
      <c r="B2324" t="s">
        <v>1660</v>
      </c>
      <c r="C2324" t="s">
        <v>1661</v>
      </c>
      <c r="D2324" t="s">
        <v>3</v>
      </c>
      <c r="E2324" t="s">
        <v>4</v>
      </c>
      <c r="F2324">
        <v>97</v>
      </c>
      <c r="G2324">
        <v>727</v>
      </c>
      <c r="H2324" t="s">
        <v>13</v>
      </c>
      <c r="I2324" t="b">
        <f t="shared" si="36"/>
        <v>0</v>
      </c>
    </row>
    <row r="2325" spans="1:9" x14ac:dyDescent="0.2">
      <c r="A2325" t="s">
        <v>968</v>
      </c>
      <c r="B2325" t="s">
        <v>969</v>
      </c>
      <c r="C2325" t="s">
        <v>568</v>
      </c>
      <c r="D2325" t="s">
        <v>3</v>
      </c>
      <c r="E2325" t="s">
        <v>4</v>
      </c>
      <c r="F2325">
        <v>7</v>
      </c>
      <c r="G2325">
        <v>78</v>
      </c>
      <c r="H2325" t="s">
        <v>13</v>
      </c>
      <c r="I2325" t="b">
        <f t="shared" si="36"/>
        <v>0</v>
      </c>
    </row>
    <row r="2326" spans="1:9" x14ac:dyDescent="0.2">
      <c r="A2326" t="s">
        <v>7077</v>
      </c>
      <c r="B2326" t="s">
        <v>7078</v>
      </c>
      <c r="C2326" t="s">
        <v>275</v>
      </c>
      <c r="D2326" t="s">
        <v>3574</v>
      </c>
      <c r="E2326" t="s">
        <v>4</v>
      </c>
      <c r="F2326">
        <v>3338</v>
      </c>
      <c r="G2326">
        <v>463</v>
      </c>
      <c r="H2326" t="s">
        <v>13</v>
      </c>
      <c r="I2326" t="b">
        <f t="shared" si="36"/>
        <v>0</v>
      </c>
    </row>
    <row r="2327" spans="1:9" x14ac:dyDescent="0.2">
      <c r="A2327" t="s">
        <v>3272</v>
      </c>
      <c r="B2327" t="s">
        <v>3273</v>
      </c>
      <c r="C2327" t="s">
        <v>3248</v>
      </c>
      <c r="D2327" t="s">
        <v>3274</v>
      </c>
      <c r="E2327" t="s">
        <v>4</v>
      </c>
      <c r="F2327">
        <v>5950</v>
      </c>
      <c r="G2327">
        <v>5955</v>
      </c>
      <c r="H2327" t="s">
        <v>13</v>
      </c>
      <c r="I2327" t="b">
        <f t="shared" si="36"/>
        <v>0</v>
      </c>
    </row>
    <row r="2328" spans="1:9" x14ac:dyDescent="0.2">
      <c r="A2328" t="s">
        <v>6273</v>
      </c>
      <c r="B2328" t="s">
        <v>6274</v>
      </c>
      <c r="C2328" t="s">
        <v>6275</v>
      </c>
      <c r="D2328" t="s">
        <v>1936</v>
      </c>
      <c r="E2328" t="s">
        <v>4</v>
      </c>
      <c r="F2328">
        <v>42</v>
      </c>
      <c r="G2328">
        <v>162</v>
      </c>
      <c r="H2328" t="s">
        <v>13</v>
      </c>
      <c r="I2328" t="b">
        <f t="shared" si="36"/>
        <v>0</v>
      </c>
    </row>
    <row r="2329" spans="1:9" x14ac:dyDescent="0.2">
      <c r="A2329" t="s">
        <v>7061</v>
      </c>
      <c r="B2329" t="s">
        <v>7062</v>
      </c>
      <c r="C2329" t="s">
        <v>7063</v>
      </c>
      <c r="D2329" t="s">
        <v>7064</v>
      </c>
      <c r="E2329" t="s">
        <v>4</v>
      </c>
      <c r="F2329">
        <v>64</v>
      </c>
      <c r="G2329">
        <v>110</v>
      </c>
      <c r="H2329" t="s">
        <v>13</v>
      </c>
      <c r="I2329" t="b">
        <f t="shared" si="36"/>
        <v>0</v>
      </c>
    </row>
    <row r="2330" spans="1:9" x14ac:dyDescent="0.2">
      <c r="A2330" t="s">
        <v>3987</v>
      </c>
      <c r="B2330" t="s">
        <v>3988</v>
      </c>
      <c r="C2330" t="s">
        <v>3989</v>
      </c>
      <c r="D2330" t="s">
        <v>491</v>
      </c>
      <c r="E2330" t="s">
        <v>4</v>
      </c>
      <c r="F2330">
        <v>857</v>
      </c>
      <c r="G2330">
        <v>906</v>
      </c>
      <c r="H2330" t="s">
        <v>13</v>
      </c>
      <c r="I2330" t="b">
        <f t="shared" si="36"/>
        <v>0</v>
      </c>
    </row>
    <row r="2331" spans="1:9" x14ac:dyDescent="0.2">
      <c r="A2331" t="s">
        <v>900</v>
      </c>
      <c r="B2331" t="s">
        <v>901</v>
      </c>
      <c r="C2331" t="s">
        <v>902</v>
      </c>
      <c r="D2331" t="s">
        <v>3</v>
      </c>
      <c r="E2331" t="s">
        <v>4</v>
      </c>
      <c r="F2331">
        <v>71</v>
      </c>
      <c r="G2331">
        <v>39</v>
      </c>
      <c r="H2331" t="s">
        <v>13</v>
      </c>
      <c r="I2331" t="b">
        <f t="shared" si="36"/>
        <v>0</v>
      </c>
    </row>
    <row r="2332" spans="1:9" x14ac:dyDescent="0.2">
      <c r="A2332" t="s">
        <v>5518</v>
      </c>
      <c r="B2332" t="s">
        <v>5519</v>
      </c>
      <c r="C2332" t="s">
        <v>323</v>
      </c>
      <c r="D2332" t="s">
        <v>5520</v>
      </c>
      <c r="E2332" t="s">
        <v>4</v>
      </c>
      <c r="F2332">
        <v>88</v>
      </c>
      <c r="G2332">
        <v>94</v>
      </c>
      <c r="H2332" t="s">
        <v>13</v>
      </c>
      <c r="I2332" t="b">
        <f t="shared" si="36"/>
        <v>0</v>
      </c>
    </row>
    <row r="2333" spans="1:9" x14ac:dyDescent="0.2">
      <c r="A2333" t="s">
        <v>6656</v>
      </c>
      <c r="B2333" t="s">
        <v>6657</v>
      </c>
      <c r="C2333" t="s">
        <v>6658</v>
      </c>
      <c r="D2333" t="s">
        <v>5146</v>
      </c>
      <c r="E2333" t="s">
        <v>4</v>
      </c>
      <c r="F2333">
        <v>302</v>
      </c>
      <c r="G2333">
        <v>383</v>
      </c>
      <c r="H2333" t="s">
        <v>13</v>
      </c>
      <c r="I2333" t="b">
        <f t="shared" si="36"/>
        <v>0</v>
      </c>
    </row>
    <row r="2334" spans="1:9" x14ac:dyDescent="0.2">
      <c r="A2334" t="s">
        <v>451</v>
      </c>
      <c r="B2334" t="s">
        <v>452</v>
      </c>
      <c r="C2334" t="s">
        <v>453</v>
      </c>
      <c r="D2334" t="s">
        <v>3</v>
      </c>
      <c r="E2334" t="s">
        <v>4</v>
      </c>
      <c r="F2334">
        <v>145</v>
      </c>
      <c r="G2334">
        <v>493</v>
      </c>
      <c r="H2334" t="s">
        <v>363</v>
      </c>
      <c r="I2334" t="b">
        <f t="shared" si="36"/>
        <v>0</v>
      </c>
    </row>
    <row r="2335" spans="1:9" x14ac:dyDescent="0.2">
      <c r="A2335" t="s">
        <v>3743</v>
      </c>
      <c r="B2335" t="s">
        <v>3744</v>
      </c>
      <c r="C2335" t="s">
        <v>406</v>
      </c>
      <c r="D2335" t="s">
        <v>3</v>
      </c>
      <c r="E2335" t="s">
        <v>4</v>
      </c>
      <c r="F2335">
        <v>340</v>
      </c>
      <c r="G2335">
        <v>115</v>
      </c>
      <c r="H2335" t="s">
        <v>13</v>
      </c>
      <c r="I2335" t="b">
        <f t="shared" si="36"/>
        <v>0</v>
      </c>
    </row>
    <row r="2336" spans="1:9" x14ac:dyDescent="0.2">
      <c r="A2336" t="s">
        <v>6665</v>
      </c>
      <c r="B2336" t="s">
        <v>6666</v>
      </c>
      <c r="C2336" t="s">
        <v>6667</v>
      </c>
      <c r="D2336" t="s">
        <v>6668</v>
      </c>
      <c r="E2336" t="s">
        <v>4</v>
      </c>
      <c r="F2336">
        <v>485</v>
      </c>
      <c r="G2336">
        <v>478</v>
      </c>
      <c r="H2336" t="s">
        <v>13</v>
      </c>
      <c r="I2336" t="b">
        <f t="shared" si="36"/>
        <v>0</v>
      </c>
    </row>
    <row r="2337" spans="1:9" x14ac:dyDescent="0.2">
      <c r="A2337" t="s">
        <v>976</v>
      </c>
      <c r="B2337" t="s">
        <v>977</v>
      </c>
      <c r="C2337" t="s">
        <v>978</v>
      </c>
      <c r="D2337" t="s">
        <v>491</v>
      </c>
      <c r="E2337" t="s">
        <v>4</v>
      </c>
      <c r="F2337">
        <v>714</v>
      </c>
      <c r="G2337">
        <v>2458</v>
      </c>
      <c r="H2337" t="s">
        <v>13</v>
      </c>
      <c r="I2337" t="b">
        <f t="shared" si="36"/>
        <v>0</v>
      </c>
    </row>
    <row r="2338" spans="1:9" x14ac:dyDescent="0.2">
      <c r="A2338" t="s">
        <v>202</v>
      </c>
      <c r="B2338" t="s">
        <v>203</v>
      </c>
      <c r="C2338" t="s">
        <v>204</v>
      </c>
      <c r="D2338" t="s">
        <v>205</v>
      </c>
      <c r="E2338" t="s">
        <v>4</v>
      </c>
      <c r="F2338">
        <v>147</v>
      </c>
      <c r="G2338">
        <v>335</v>
      </c>
      <c r="H2338" t="s">
        <v>13</v>
      </c>
      <c r="I2338" t="b">
        <f t="shared" si="36"/>
        <v>0</v>
      </c>
    </row>
    <row r="2339" spans="1:9" x14ac:dyDescent="0.2">
      <c r="A2339" t="s">
        <v>2373</v>
      </c>
      <c r="B2339" t="s">
        <v>2374</v>
      </c>
      <c r="C2339" t="s">
        <v>2375</v>
      </c>
      <c r="D2339" t="s">
        <v>2376</v>
      </c>
      <c r="E2339" t="s">
        <v>4</v>
      </c>
      <c r="F2339">
        <v>73</v>
      </c>
      <c r="G2339">
        <v>113</v>
      </c>
      <c r="H2339" t="s">
        <v>13</v>
      </c>
      <c r="I2339" t="b">
        <f t="shared" si="36"/>
        <v>0</v>
      </c>
    </row>
    <row r="2340" spans="1:9" x14ac:dyDescent="0.2">
      <c r="A2340" t="s">
        <v>3218</v>
      </c>
      <c r="B2340" t="s">
        <v>3219</v>
      </c>
      <c r="C2340" t="s">
        <v>3220</v>
      </c>
      <c r="D2340" t="s">
        <v>3221</v>
      </c>
      <c r="E2340" t="s">
        <v>4</v>
      </c>
      <c r="F2340">
        <v>1259</v>
      </c>
      <c r="G2340">
        <v>726</v>
      </c>
      <c r="H2340" t="s">
        <v>76</v>
      </c>
      <c r="I2340" t="b">
        <f t="shared" si="36"/>
        <v>0</v>
      </c>
    </row>
    <row r="2341" spans="1:9" x14ac:dyDescent="0.2">
      <c r="A2341" t="s">
        <v>1326</v>
      </c>
      <c r="B2341" t="s">
        <v>1327</v>
      </c>
      <c r="C2341" t="s">
        <v>1328</v>
      </c>
      <c r="D2341" t="s">
        <v>3</v>
      </c>
      <c r="E2341" t="s">
        <v>4</v>
      </c>
      <c r="F2341">
        <v>50</v>
      </c>
      <c r="G2341">
        <v>45</v>
      </c>
      <c r="H2341" t="s">
        <v>13</v>
      </c>
      <c r="I2341" t="b">
        <f t="shared" si="36"/>
        <v>0</v>
      </c>
    </row>
    <row r="2342" spans="1:9" x14ac:dyDescent="0.2">
      <c r="A2342" t="s">
        <v>666</v>
      </c>
      <c r="B2342" t="s">
        <v>667</v>
      </c>
      <c r="C2342" t="s">
        <v>185</v>
      </c>
      <c r="D2342" t="s">
        <v>668</v>
      </c>
      <c r="E2342" t="s">
        <v>38</v>
      </c>
      <c r="F2342">
        <v>46227</v>
      </c>
      <c r="G2342">
        <v>2125</v>
      </c>
      <c r="H2342" t="s">
        <v>13</v>
      </c>
      <c r="I2342" t="b">
        <f t="shared" si="36"/>
        <v>0</v>
      </c>
    </row>
    <row r="2343" spans="1:9" x14ac:dyDescent="0.2">
      <c r="A2343" t="s">
        <v>1945</v>
      </c>
      <c r="B2343" t="s">
        <v>1946</v>
      </c>
      <c r="C2343" t="s">
        <v>1947</v>
      </c>
      <c r="D2343" t="s">
        <v>1352</v>
      </c>
      <c r="E2343" t="s">
        <v>4</v>
      </c>
      <c r="F2343">
        <v>6738</v>
      </c>
      <c r="G2343">
        <v>7165</v>
      </c>
      <c r="H2343" t="s">
        <v>5</v>
      </c>
      <c r="I2343" t="b">
        <f t="shared" si="36"/>
        <v>0</v>
      </c>
    </row>
    <row r="2344" spans="1:9" x14ac:dyDescent="0.2">
      <c r="A2344" t="s">
        <v>3825</v>
      </c>
      <c r="B2344" t="s">
        <v>3826</v>
      </c>
      <c r="C2344" t="s">
        <v>3076</v>
      </c>
      <c r="D2344" t="s">
        <v>64</v>
      </c>
      <c r="E2344" t="s">
        <v>4</v>
      </c>
      <c r="F2344">
        <v>31</v>
      </c>
      <c r="G2344">
        <v>116</v>
      </c>
      <c r="H2344" t="s">
        <v>13</v>
      </c>
      <c r="I2344" t="b">
        <f t="shared" si="36"/>
        <v>0</v>
      </c>
    </row>
    <row r="2345" spans="1:9" x14ac:dyDescent="0.2">
      <c r="A2345" t="s">
        <v>2965</v>
      </c>
      <c r="B2345" t="s">
        <v>2966</v>
      </c>
      <c r="C2345" t="s">
        <v>269</v>
      </c>
      <c r="D2345" t="s">
        <v>3</v>
      </c>
      <c r="E2345" t="s">
        <v>4</v>
      </c>
      <c r="F2345">
        <v>15</v>
      </c>
      <c r="G2345">
        <v>139</v>
      </c>
      <c r="H2345" t="s">
        <v>374</v>
      </c>
      <c r="I2345" t="b">
        <f t="shared" si="36"/>
        <v>0</v>
      </c>
    </row>
    <row r="2346" spans="1:9" x14ac:dyDescent="0.2">
      <c r="A2346" t="s">
        <v>4893</v>
      </c>
      <c r="B2346" t="s">
        <v>4894</v>
      </c>
      <c r="C2346" t="s">
        <v>4895</v>
      </c>
      <c r="D2346" t="s">
        <v>3</v>
      </c>
      <c r="E2346" t="s">
        <v>4</v>
      </c>
      <c r="F2346">
        <v>1061</v>
      </c>
      <c r="G2346">
        <v>792</v>
      </c>
      <c r="H2346" t="s">
        <v>13</v>
      </c>
      <c r="I2346" t="b">
        <f t="shared" si="36"/>
        <v>0</v>
      </c>
    </row>
    <row r="2347" spans="1:9" x14ac:dyDescent="0.2">
      <c r="A2347" t="s">
        <v>0</v>
      </c>
      <c r="B2347" t="s">
        <v>1</v>
      </c>
      <c r="C2347" t="s">
        <v>2</v>
      </c>
      <c r="D2347" t="s">
        <v>3</v>
      </c>
      <c r="E2347" t="s">
        <v>4</v>
      </c>
      <c r="F2347">
        <v>1597</v>
      </c>
      <c r="G2347">
        <v>17</v>
      </c>
      <c r="H2347" t="s">
        <v>5</v>
      </c>
      <c r="I2347" t="b">
        <f t="shared" si="36"/>
        <v>0</v>
      </c>
    </row>
    <row r="2348" spans="1:9" x14ac:dyDescent="0.2">
      <c r="A2348" t="s">
        <v>1261</v>
      </c>
      <c r="B2348" t="s">
        <v>1262</v>
      </c>
      <c r="C2348" t="s">
        <v>1263</v>
      </c>
      <c r="D2348" t="s">
        <v>1264</v>
      </c>
      <c r="E2348" t="s">
        <v>4</v>
      </c>
      <c r="F2348">
        <v>392</v>
      </c>
      <c r="G2348">
        <v>470</v>
      </c>
      <c r="H2348" t="s">
        <v>13</v>
      </c>
      <c r="I2348" t="b">
        <f t="shared" si="36"/>
        <v>1</v>
      </c>
    </row>
    <row r="2349" spans="1:9" x14ac:dyDescent="0.2">
      <c r="A2349" t="s">
        <v>1949</v>
      </c>
      <c r="B2349" t="s">
        <v>1950</v>
      </c>
      <c r="C2349" t="s">
        <v>1951</v>
      </c>
      <c r="D2349" t="s">
        <v>3</v>
      </c>
      <c r="E2349" t="s">
        <v>4</v>
      </c>
      <c r="F2349">
        <v>178</v>
      </c>
      <c r="G2349">
        <v>814</v>
      </c>
      <c r="H2349" t="s">
        <v>13</v>
      </c>
      <c r="I2349" t="b">
        <f t="shared" si="36"/>
        <v>0</v>
      </c>
    </row>
    <row r="2350" spans="1:9" x14ac:dyDescent="0.2">
      <c r="A2350" t="s">
        <v>18</v>
      </c>
      <c r="B2350" t="s">
        <v>19</v>
      </c>
      <c r="C2350" t="s">
        <v>20</v>
      </c>
      <c r="D2350" t="s">
        <v>21</v>
      </c>
      <c r="E2350" t="s">
        <v>4</v>
      </c>
      <c r="F2350">
        <v>1164</v>
      </c>
      <c r="G2350">
        <v>1998</v>
      </c>
      <c r="H2350" t="s">
        <v>13</v>
      </c>
      <c r="I2350" t="b">
        <f t="shared" si="36"/>
        <v>0</v>
      </c>
    </row>
    <row r="2351" spans="1:9" x14ac:dyDescent="0.2">
      <c r="A2351" t="s">
        <v>5578</v>
      </c>
      <c r="B2351" t="s">
        <v>5579</v>
      </c>
      <c r="C2351" t="s">
        <v>4605</v>
      </c>
      <c r="D2351" t="s">
        <v>5580</v>
      </c>
      <c r="E2351" t="s">
        <v>4</v>
      </c>
      <c r="F2351">
        <v>517</v>
      </c>
      <c r="G2351">
        <v>850</v>
      </c>
      <c r="H2351" t="s">
        <v>13</v>
      </c>
      <c r="I2351" t="b">
        <f t="shared" si="36"/>
        <v>0</v>
      </c>
    </row>
    <row r="2352" spans="1:9" x14ac:dyDescent="0.2">
      <c r="A2352" t="s">
        <v>425</v>
      </c>
      <c r="B2352" t="s">
        <v>426</v>
      </c>
      <c r="C2352" t="s">
        <v>417</v>
      </c>
      <c r="D2352" t="s">
        <v>418</v>
      </c>
      <c r="E2352" t="s">
        <v>4</v>
      </c>
      <c r="F2352">
        <v>2713</v>
      </c>
      <c r="G2352">
        <v>1823</v>
      </c>
      <c r="H2352" t="s">
        <v>13</v>
      </c>
      <c r="I2352" t="b">
        <f t="shared" si="36"/>
        <v>1</v>
      </c>
    </row>
    <row r="2353" spans="1:9" x14ac:dyDescent="0.2">
      <c r="A2353" t="s">
        <v>415</v>
      </c>
      <c r="B2353" t="s">
        <v>416</v>
      </c>
      <c r="C2353" t="s">
        <v>417</v>
      </c>
      <c r="D2353" t="s">
        <v>418</v>
      </c>
      <c r="E2353" t="s">
        <v>4</v>
      </c>
      <c r="F2353">
        <v>2713</v>
      </c>
      <c r="G2353">
        <v>1823</v>
      </c>
      <c r="H2353" t="s">
        <v>13</v>
      </c>
      <c r="I2353" t="b">
        <f t="shared" si="36"/>
        <v>1</v>
      </c>
    </row>
    <row r="2354" spans="1:9" x14ac:dyDescent="0.2">
      <c r="A2354" t="s">
        <v>708</v>
      </c>
      <c r="B2354" t="s">
        <v>709</v>
      </c>
      <c r="C2354" t="s">
        <v>417</v>
      </c>
      <c r="D2354" t="s">
        <v>418</v>
      </c>
      <c r="E2354" t="s">
        <v>4</v>
      </c>
      <c r="F2354">
        <v>2715</v>
      </c>
      <c r="G2354">
        <v>1823</v>
      </c>
      <c r="H2354" t="s">
        <v>13</v>
      </c>
      <c r="I2354" t="b">
        <f t="shared" si="36"/>
        <v>1</v>
      </c>
    </row>
    <row r="2355" spans="1:9" x14ac:dyDescent="0.2">
      <c r="A2355" t="s">
        <v>722</v>
      </c>
      <c r="B2355" t="s">
        <v>723</v>
      </c>
      <c r="C2355" t="s">
        <v>417</v>
      </c>
      <c r="D2355" t="s">
        <v>418</v>
      </c>
      <c r="E2355" t="s">
        <v>4</v>
      </c>
      <c r="F2355">
        <v>2715</v>
      </c>
      <c r="G2355">
        <v>1823</v>
      </c>
      <c r="H2355" t="s">
        <v>13</v>
      </c>
      <c r="I2355" t="b">
        <f t="shared" si="36"/>
        <v>1</v>
      </c>
    </row>
    <row r="2356" spans="1:9" x14ac:dyDescent="0.2">
      <c r="A2356" t="s">
        <v>4069</v>
      </c>
      <c r="B2356" t="s">
        <v>4070</v>
      </c>
      <c r="C2356" t="s">
        <v>417</v>
      </c>
      <c r="D2356" t="s">
        <v>418</v>
      </c>
      <c r="E2356" t="s">
        <v>4</v>
      </c>
      <c r="F2356">
        <v>2719</v>
      </c>
      <c r="G2356">
        <v>1831</v>
      </c>
      <c r="H2356" t="s">
        <v>13</v>
      </c>
      <c r="I2356" t="b">
        <f t="shared" si="36"/>
        <v>1</v>
      </c>
    </row>
    <row r="2357" spans="1:9" x14ac:dyDescent="0.2">
      <c r="A2357" t="s">
        <v>4021</v>
      </c>
      <c r="B2357" t="s">
        <v>4023</v>
      </c>
      <c r="C2357" t="s">
        <v>417</v>
      </c>
      <c r="D2357" t="s">
        <v>418</v>
      </c>
      <c r="E2357" t="s">
        <v>4</v>
      </c>
      <c r="F2357">
        <v>2718</v>
      </c>
      <c r="G2357">
        <v>1831</v>
      </c>
      <c r="H2357" t="s">
        <v>13</v>
      </c>
      <c r="I2357" t="b">
        <f t="shared" si="36"/>
        <v>1</v>
      </c>
    </row>
    <row r="2358" spans="1:9" x14ac:dyDescent="0.2">
      <c r="A2358" t="s">
        <v>1942</v>
      </c>
      <c r="B2358" t="s">
        <v>1943</v>
      </c>
      <c r="C2358" t="s">
        <v>417</v>
      </c>
      <c r="D2358" t="s">
        <v>418</v>
      </c>
      <c r="E2358" t="s">
        <v>4</v>
      </c>
      <c r="F2358">
        <v>2717</v>
      </c>
      <c r="G2358">
        <v>1822</v>
      </c>
      <c r="H2358" t="s">
        <v>13</v>
      </c>
      <c r="I2358" t="b">
        <f t="shared" si="36"/>
        <v>1</v>
      </c>
    </row>
    <row r="2359" spans="1:9" x14ac:dyDescent="0.2">
      <c r="A2359" t="s">
        <v>2007</v>
      </c>
      <c r="B2359" t="s">
        <v>2008</v>
      </c>
      <c r="C2359" t="s">
        <v>417</v>
      </c>
      <c r="D2359" t="s">
        <v>418</v>
      </c>
      <c r="E2359" t="s">
        <v>4</v>
      </c>
      <c r="F2359">
        <v>2717</v>
      </c>
      <c r="G2359">
        <v>1822</v>
      </c>
      <c r="H2359" t="s">
        <v>13</v>
      </c>
      <c r="I2359" t="b">
        <f t="shared" si="36"/>
        <v>1</v>
      </c>
    </row>
    <row r="2360" spans="1:9" x14ac:dyDescent="0.2">
      <c r="A2360" t="s">
        <v>2192</v>
      </c>
      <c r="B2360" t="s">
        <v>2193</v>
      </c>
      <c r="C2360" t="s">
        <v>417</v>
      </c>
      <c r="D2360" t="s">
        <v>418</v>
      </c>
      <c r="E2360" t="s">
        <v>4</v>
      </c>
      <c r="F2360">
        <v>2717</v>
      </c>
      <c r="G2360">
        <v>1822</v>
      </c>
      <c r="H2360" t="s">
        <v>13</v>
      </c>
      <c r="I2360" t="b">
        <f t="shared" si="36"/>
        <v>1</v>
      </c>
    </row>
    <row r="2361" spans="1:9" x14ac:dyDescent="0.2">
      <c r="A2361" t="s">
        <v>4988</v>
      </c>
      <c r="B2361" t="s">
        <v>4989</v>
      </c>
      <c r="C2361" t="s">
        <v>588</v>
      </c>
      <c r="D2361" t="s">
        <v>3</v>
      </c>
      <c r="E2361" t="s">
        <v>4</v>
      </c>
      <c r="F2361">
        <v>8724</v>
      </c>
      <c r="G2361">
        <v>268</v>
      </c>
      <c r="H2361" t="s">
        <v>13</v>
      </c>
      <c r="I2361" t="b">
        <f t="shared" si="36"/>
        <v>1</v>
      </c>
    </row>
    <row r="2362" spans="1:9" x14ac:dyDescent="0.2">
      <c r="A2362" t="s">
        <v>586</v>
      </c>
      <c r="B2362" t="s">
        <v>587</v>
      </c>
      <c r="C2362" t="s">
        <v>588</v>
      </c>
      <c r="D2362" t="s">
        <v>3</v>
      </c>
      <c r="E2362" t="s">
        <v>4</v>
      </c>
      <c r="F2362">
        <v>8723</v>
      </c>
      <c r="G2362">
        <v>268</v>
      </c>
      <c r="H2362" t="s">
        <v>13</v>
      </c>
      <c r="I2362" t="b">
        <f t="shared" si="36"/>
        <v>1</v>
      </c>
    </row>
    <row r="2363" spans="1:9" x14ac:dyDescent="0.2">
      <c r="A2363" t="s">
        <v>7059</v>
      </c>
      <c r="B2363" t="s">
        <v>7060</v>
      </c>
      <c r="C2363" t="s">
        <v>588</v>
      </c>
      <c r="D2363" t="s">
        <v>3</v>
      </c>
      <c r="E2363" t="s">
        <v>4</v>
      </c>
      <c r="F2363">
        <v>8725</v>
      </c>
      <c r="G2363">
        <v>268</v>
      </c>
      <c r="H2363" t="s">
        <v>13</v>
      </c>
      <c r="I2363" t="b">
        <f t="shared" si="36"/>
        <v>1</v>
      </c>
    </row>
    <row r="2364" spans="1:9" x14ac:dyDescent="0.2">
      <c r="A2364" t="s">
        <v>3507</v>
      </c>
      <c r="B2364" t="s">
        <v>3508</v>
      </c>
      <c r="C2364" t="s">
        <v>588</v>
      </c>
      <c r="D2364" t="s">
        <v>3</v>
      </c>
      <c r="E2364" t="s">
        <v>4</v>
      </c>
      <c r="F2364">
        <v>8726</v>
      </c>
      <c r="G2364">
        <v>268</v>
      </c>
      <c r="H2364" t="s">
        <v>13</v>
      </c>
      <c r="I2364" t="b">
        <f t="shared" si="36"/>
        <v>1</v>
      </c>
    </row>
    <row r="2365" spans="1:9" x14ac:dyDescent="0.2">
      <c r="A2365" t="s">
        <v>1924</v>
      </c>
      <c r="B2365" t="s">
        <v>1925</v>
      </c>
      <c r="C2365" t="s">
        <v>588</v>
      </c>
      <c r="D2365" t="s">
        <v>3</v>
      </c>
      <c r="E2365" t="s">
        <v>4</v>
      </c>
      <c r="F2365">
        <v>8725</v>
      </c>
      <c r="G2365">
        <v>268</v>
      </c>
      <c r="H2365" t="s">
        <v>13</v>
      </c>
      <c r="I2365" t="b">
        <f t="shared" si="36"/>
        <v>1</v>
      </c>
    </row>
    <row r="2366" spans="1:9" x14ac:dyDescent="0.2">
      <c r="A2366" t="s">
        <v>6432</v>
      </c>
      <c r="B2366" t="s">
        <v>6433</v>
      </c>
      <c r="C2366" t="s">
        <v>588</v>
      </c>
      <c r="D2366" t="s">
        <v>3</v>
      </c>
      <c r="E2366" t="s">
        <v>4</v>
      </c>
      <c r="F2366">
        <v>8723</v>
      </c>
      <c r="G2366">
        <v>268</v>
      </c>
      <c r="H2366" t="s">
        <v>13</v>
      </c>
      <c r="I2366" t="b">
        <f t="shared" si="36"/>
        <v>1</v>
      </c>
    </row>
    <row r="2367" spans="1:9" x14ac:dyDescent="0.2">
      <c r="A2367" t="s">
        <v>4268</v>
      </c>
      <c r="B2367" t="s">
        <v>4269</v>
      </c>
      <c r="C2367" t="s">
        <v>588</v>
      </c>
      <c r="D2367" t="s">
        <v>3</v>
      </c>
      <c r="E2367" t="s">
        <v>4</v>
      </c>
      <c r="F2367">
        <v>8725</v>
      </c>
      <c r="G2367">
        <v>268</v>
      </c>
      <c r="H2367" t="s">
        <v>13</v>
      </c>
      <c r="I2367" t="b">
        <f t="shared" si="36"/>
        <v>1</v>
      </c>
    </row>
    <row r="2368" spans="1:9" x14ac:dyDescent="0.2">
      <c r="A2368" t="s">
        <v>5627</v>
      </c>
      <c r="B2368" t="s">
        <v>5628</v>
      </c>
      <c r="C2368" t="s">
        <v>588</v>
      </c>
      <c r="D2368" t="s">
        <v>3</v>
      </c>
      <c r="E2368" t="s">
        <v>4</v>
      </c>
      <c r="F2368">
        <v>8724</v>
      </c>
      <c r="G2368">
        <v>268</v>
      </c>
      <c r="H2368" t="s">
        <v>13</v>
      </c>
      <c r="I2368" t="b">
        <f t="shared" si="36"/>
        <v>0</v>
      </c>
    </row>
    <row r="2369" spans="1:9" x14ac:dyDescent="0.2">
      <c r="A2369" t="s">
        <v>4454</v>
      </c>
      <c r="B2369" t="s">
        <v>4455</v>
      </c>
      <c r="C2369" t="s">
        <v>4456</v>
      </c>
      <c r="D2369" t="s">
        <v>4457</v>
      </c>
      <c r="E2369" t="s">
        <v>4</v>
      </c>
      <c r="F2369">
        <v>2685</v>
      </c>
      <c r="G2369">
        <v>1091</v>
      </c>
      <c r="H2369" t="s">
        <v>13</v>
      </c>
      <c r="I2369" t="b">
        <f t="shared" si="36"/>
        <v>0</v>
      </c>
    </row>
    <row r="2370" spans="1:9" x14ac:dyDescent="0.2">
      <c r="A2370" t="s">
        <v>4336</v>
      </c>
      <c r="B2370" t="s">
        <v>4337</v>
      </c>
      <c r="C2370" t="s">
        <v>1568</v>
      </c>
      <c r="D2370" t="s">
        <v>4338</v>
      </c>
      <c r="E2370" t="s">
        <v>4</v>
      </c>
      <c r="F2370">
        <v>21</v>
      </c>
      <c r="G2370">
        <v>132</v>
      </c>
      <c r="H2370" t="s">
        <v>13</v>
      </c>
      <c r="I2370" t="b">
        <f t="shared" si="36"/>
        <v>0</v>
      </c>
    </row>
    <row r="2371" spans="1:9" x14ac:dyDescent="0.2">
      <c r="A2371" t="s">
        <v>6515</v>
      </c>
      <c r="B2371" t="s">
        <v>6516</v>
      </c>
      <c r="C2371" t="s">
        <v>2558</v>
      </c>
      <c r="D2371" t="s">
        <v>3</v>
      </c>
      <c r="E2371" t="s">
        <v>4</v>
      </c>
      <c r="F2371">
        <v>38</v>
      </c>
      <c r="G2371">
        <v>274</v>
      </c>
      <c r="H2371" t="s">
        <v>867</v>
      </c>
      <c r="I2371" t="b">
        <f t="shared" ref="I2371:I2434" si="37">isDup(B2371, B2372, 0.7)</f>
        <v>0</v>
      </c>
    </row>
    <row r="2372" spans="1:9" x14ac:dyDescent="0.2">
      <c r="A2372" t="s">
        <v>3922</v>
      </c>
      <c r="B2372" t="s">
        <v>3923</v>
      </c>
      <c r="C2372" t="s">
        <v>248</v>
      </c>
      <c r="D2372" t="s">
        <v>3924</v>
      </c>
      <c r="E2372" t="s">
        <v>4</v>
      </c>
      <c r="F2372">
        <v>139</v>
      </c>
      <c r="G2372">
        <v>447</v>
      </c>
      <c r="H2372" t="s">
        <v>342</v>
      </c>
      <c r="I2372" t="b">
        <f t="shared" si="37"/>
        <v>0</v>
      </c>
    </row>
    <row r="2373" spans="1:9" x14ac:dyDescent="0.2">
      <c r="A2373" t="s">
        <v>3807</v>
      </c>
      <c r="B2373" t="s">
        <v>3808</v>
      </c>
      <c r="C2373" t="s">
        <v>3809</v>
      </c>
      <c r="D2373" t="s">
        <v>3</v>
      </c>
      <c r="E2373" t="s">
        <v>4</v>
      </c>
      <c r="F2373">
        <v>500</v>
      </c>
      <c r="G2373">
        <v>510</v>
      </c>
      <c r="H2373" t="s">
        <v>13</v>
      </c>
      <c r="I2373" t="b">
        <f t="shared" si="37"/>
        <v>0</v>
      </c>
    </row>
    <row r="2374" spans="1:9" x14ac:dyDescent="0.2">
      <c r="A2374" t="s">
        <v>5964</v>
      </c>
      <c r="B2374" t="s">
        <v>5965</v>
      </c>
      <c r="C2374" t="s">
        <v>5966</v>
      </c>
      <c r="D2374" t="s">
        <v>5967</v>
      </c>
      <c r="E2374" t="s">
        <v>4</v>
      </c>
      <c r="F2374">
        <v>58</v>
      </c>
      <c r="G2374">
        <v>32</v>
      </c>
      <c r="H2374" t="s">
        <v>13</v>
      </c>
      <c r="I2374" t="b">
        <f t="shared" si="37"/>
        <v>0</v>
      </c>
    </row>
    <row r="2375" spans="1:9" x14ac:dyDescent="0.2">
      <c r="A2375" t="s">
        <v>1780</v>
      </c>
      <c r="B2375" t="s">
        <v>1781</v>
      </c>
      <c r="C2375" t="s">
        <v>293</v>
      </c>
      <c r="D2375" t="s">
        <v>3</v>
      </c>
      <c r="E2375" t="s">
        <v>4</v>
      </c>
      <c r="F2375">
        <v>3633</v>
      </c>
      <c r="G2375">
        <v>3731</v>
      </c>
      <c r="H2375" t="s">
        <v>13</v>
      </c>
      <c r="I2375" t="b">
        <f t="shared" si="37"/>
        <v>0</v>
      </c>
    </row>
    <row r="2376" spans="1:9" x14ac:dyDescent="0.2">
      <c r="A2376" t="s">
        <v>3603</v>
      </c>
      <c r="B2376" t="s">
        <v>3604</v>
      </c>
      <c r="C2376" t="s">
        <v>279</v>
      </c>
      <c r="D2376" t="s">
        <v>3605</v>
      </c>
      <c r="E2376" t="s">
        <v>4</v>
      </c>
      <c r="F2376">
        <v>1</v>
      </c>
      <c r="G2376">
        <v>9</v>
      </c>
      <c r="H2376" t="s">
        <v>13</v>
      </c>
      <c r="I2376" t="b">
        <f t="shared" si="37"/>
        <v>0</v>
      </c>
    </row>
    <row r="2377" spans="1:9" x14ac:dyDescent="0.2">
      <c r="A2377" t="s">
        <v>4179</v>
      </c>
      <c r="B2377" t="s">
        <v>4180</v>
      </c>
      <c r="C2377" t="s">
        <v>2490</v>
      </c>
      <c r="D2377" t="s">
        <v>4181</v>
      </c>
      <c r="E2377" t="s">
        <v>38</v>
      </c>
      <c r="F2377">
        <v>26488</v>
      </c>
      <c r="G2377">
        <v>4858</v>
      </c>
      <c r="H2377" t="s">
        <v>13</v>
      </c>
      <c r="I2377" t="b">
        <f t="shared" si="37"/>
        <v>0</v>
      </c>
    </row>
    <row r="2378" spans="1:9" x14ac:dyDescent="0.2">
      <c r="A2378" t="s">
        <v>4216</v>
      </c>
      <c r="B2378" t="s">
        <v>4217</v>
      </c>
      <c r="C2378" t="s">
        <v>4218</v>
      </c>
      <c r="D2378" t="s">
        <v>4219</v>
      </c>
      <c r="E2378" t="s">
        <v>4</v>
      </c>
      <c r="F2378">
        <v>9</v>
      </c>
      <c r="G2378">
        <v>47</v>
      </c>
      <c r="H2378" t="s">
        <v>13</v>
      </c>
      <c r="I2378" t="b">
        <f t="shared" si="37"/>
        <v>0</v>
      </c>
    </row>
    <row r="2379" spans="1:9" x14ac:dyDescent="0.2">
      <c r="A2379" t="s">
        <v>6800</v>
      </c>
      <c r="B2379" t="s">
        <v>6801</v>
      </c>
      <c r="C2379" t="s">
        <v>6802</v>
      </c>
      <c r="D2379" t="s">
        <v>6803</v>
      </c>
      <c r="E2379" t="s">
        <v>4</v>
      </c>
      <c r="F2379">
        <v>1</v>
      </c>
      <c r="G2379">
        <v>3</v>
      </c>
      <c r="H2379" t="s">
        <v>13</v>
      </c>
      <c r="I2379" t="b">
        <f t="shared" si="37"/>
        <v>1</v>
      </c>
    </row>
    <row r="2380" spans="1:9" x14ac:dyDescent="0.2">
      <c r="A2380" t="s">
        <v>6980</v>
      </c>
      <c r="B2380" t="s">
        <v>6981</v>
      </c>
      <c r="C2380" t="s">
        <v>1230</v>
      </c>
      <c r="D2380" t="s">
        <v>6936</v>
      </c>
      <c r="E2380" t="s">
        <v>4</v>
      </c>
      <c r="F2380">
        <v>485</v>
      </c>
      <c r="G2380">
        <v>1409</v>
      </c>
      <c r="H2380" t="s">
        <v>13</v>
      </c>
      <c r="I2380" t="b">
        <f t="shared" si="37"/>
        <v>0</v>
      </c>
    </row>
    <row r="2381" spans="1:9" x14ac:dyDescent="0.2">
      <c r="A2381" t="s">
        <v>6556</v>
      </c>
      <c r="B2381" t="s">
        <v>6557</v>
      </c>
      <c r="C2381" t="s">
        <v>996</v>
      </c>
      <c r="D2381" t="s">
        <v>1077</v>
      </c>
      <c r="E2381" t="s">
        <v>4</v>
      </c>
      <c r="F2381">
        <v>28369</v>
      </c>
      <c r="G2381">
        <v>186</v>
      </c>
      <c r="H2381" t="s">
        <v>13</v>
      </c>
      <c r="I2381" t="b">
        <f t="shared" si="37"/>
        <v>0</v>
      </c>
    </row>
    <row r="2382" spans="1:9" x14ac:dyDescent="0.2">
      <c r="A2382" t="s">
        <v>4625</v>
      </c>
      <c r="B2382" t="s">
        <v>4626</v>
      </c>
      <c r="C2382" t="s">
        <v>712</v>
      </c>
      <c r="D2382" t="s">
        <v>64</v>
      </c>
      <c r="E2382" t="s">
        <v>4</v>
      </c>
      <c r="F2382">
        <v>1944</v>
      </c>
      <c r="G2382">
        <v>2200</v>
      </c>
      <c r="H2382" t="s">
        <v>13</v>
      </c>
      <c r="I2382" t="b">
        <f t="shared" si="37"/>
        <v>0</v>
      </c>
    </row>
    <row r="2383" spans="1:9" x14ac:dyDescent="0.2">
      <c r="A2383" t="s">
        <v>6305</v>
      </c>
      <c r="B2383" t="s">
        <v>6306</v>
      </c>
      <c r="C2383" t="s">
        <v>28</v>
      </c>
      <c r="D2383" t="s">
        <v>3</v>
      </c>
      <c r="E2383" t="s">
        <v>4</v>
      </c>
      <c r="F2383">
        <v>92</v>
      </c>
      <c r="G2383">
        <v>161</v>
      </c>
      <c r="H2383" t="s">
        <v>86</v>
      </c>
      <c r="I2383" t="b">
        <f t="shared" si="37"/>
        <v>0</v>
      </c>
    </row>
    <row r="2384" spans="1:9" x14ac:dyDescent="0.2">
      <c r="A2384" t="s">
        <v>2847</v>
      </c>
      <c r="B2384" t="s">
        <v>2848</v>
      </c>
      <c r="C2384" t="s">
        <v>2604</v>
      </c>
      <c r="D2384" t="s">
        <v>2605</v>
      </c>
      <c r="E2384" t="s">
        <v>4</v>
      </c>
      <c r="F2384">
        <v>504</v>
      </c>
      <c r="G2384">
        <v>673</v>
      </c>
      <c r="H2384" t="s">
        <v>50</v>
      </c>
      <c r="I2384" t="b">
        <f t="shared" si="37"/>
        <v>0</v>
      </c>
    </row>
    <row r="2385" spans="1:9" x14ac:dyDescent="0.2">
      <c r="A2385" t="s">
        <v>4096</v>
      </c>
      <c r="B2385" t="s">
        <v>4097</v>
      </c>
      <c r="C2385" t="s">
        <v>902</v>
      </c>
      <c r="D2385" t="s">
        <v>3</v>
      </c>
      <c r="E2385" t="s">
        <v>4</v>
      </c>
      <c r="F2385">
        <v>9</v>
      </c>
      <c r="G2385">
        <v>43</v>
      </c>
      <c r="H2385" t="s">
        <v>13</v>
      </c>
      <c r="I2385" t="b">
        <f t="shared" si="37"/>
        <v>0</v>
      </c>
    </row>
    <row r="2386" spans="1:9" x14ac:dyDescent="0.2">
      <c r="A2386" t="s">
        <v>2466</v>
      </c>
      <c r="B2386" t="s">
        <v>2467</v>
      </c>
      <c r="C2386" t="s">
        <v>1162</v>
      </c>
      <c r="D2386" t="s">
        <v>3</v>
      </c>
      <c r="E2386" t="s">
        <v>4</v>
      </c>
      <c r="F2386">
        <v>270</v>
      </c>
      <c r="G2386">
        <v>96</v>
      </c>
      <c r="H2386" t="s">
        <v>645</v>
      </c>
      <c r="I2386" t="b">
        <f t="shared" si="37"/>
        <v>0</v>
      </c>
    </row>
    <row r="2387" spans="1:9" x14ac:dyDescent="0.2">
      <c r="A2387" t="s">
        <v>6762</v>
      </c>
      <c r="B2387" t="s">
        <v>6765</v>
      </c>
      <c r="C2387" t="s">
        <v>6766</v>
      </c>
      <c r="D2387" t="s">
        <v>3</v>
      </c>
      <c r="E2387" t="s">
        <v>4</v>
      </c>
      <c r="F2387">
        <v>57</v>
      </c>
      <c r="G2387">
        <v>41</v>
      </c>
      <c r="H2387" t="s">
        <v>13</v>
      </c>
      <c r="I2387" t="b">
        <f t="shared" si="37"/>
        <v>0</v>
      </c>
    </row>
    <row r="2388" spans="1:9" x14ac:dyDescent="0.2">
      <c r="A2388" t="s">
        <v>4101</v>
      </c>
      <c r="B2388" t="s">
        <v>4103</v>
      </c>
      <c r="C2388" t="s">
        <v>4104</v>
      </c>
      <c r="D2388" t="s">
        <v>4105</v>
      </c>
      <c r="E2388" t="s">
        <v>4</v>
      </c>
      <c r="F2388">
        <v>1840</v>
      </c>
      <c r="G2388">
        <v>1255</v>
      </c>
      <c r="H2388" t="s">
        <v>13</v>
      </c>
      <c r="I2388" t="b">
        <f t="shared" si="37"/>
        <v>0</v>
      </c>
    </row>
    <row r="2389" spans="1:9" x14ac:dyDescent="0.2">
      <c r="A2389" t="s">
        <v>3599</v>
      </c>
      <c r="B2389" t="s">
        <v>3600</v>
      </c>
      <c r="C2389" t="s">
        <v>3601</v>
      </c>
      <c r="D2389" t="s">
        <v>3602</v>
      </c>
      <c r="E2389" t="s">
        <v>4</v>
      </c>
      <c r="F2389">
        <v>527</v>
      </c>
      <c r="G2389">
        <v>274</v>
      </c>
      <c r="H2389" t="s">
        <v>13</v>
      </c>
      <c r="I2389" t="b">
        <f t="shared" si="37"/>
        <v>0</v>
      </c>
    </row>
    <row r="2390" spans="1:9" x14ac:dyDescent="0.2">
      <c r="A2390" t="s">
        <v>6995</v>
      </c>
      <c r="B2390" t="s">
        <v>6996</v>
      </c>
      <c r="C2390" t="s">
        <v>1568</v>
      </c>
      <c r="D2390" t="s">
        <v>4338</v>
      </c>
      <c r="E2390" t="s">
        <v>4</v>
      </c>
      <c r="F2390">
        <v>21</v>
      </c>
      <c r="G2390">
        <v>130</v>
      </c>
      <c r="H2390" t="s">
        <v>13</v>
      </c>
      <c r="I2390" t="b">
        <f t="shared" si="37"/>
        <v>0</v>
      </c>
    </row>
    <row r="2391" spans="1:9" x14ac:dyDescent="0.2">
      <c r="A2391" t="s">
        <v>1802</v>
      </c>
      <c r="B2391" t="s">
        <v>1803</v>
      </c>
      <c r="C2391" t="s">
        <v>85</v>
      </c>
      <c r="D2391" t="s">
        <v>3</v>
      </c>
      <c r="E2391" t="s">
        <v>4</v>
      </c>
      <c r="F2391">
        <v>4</v>
      </c>
      <c r="G2391">
        <v>58</v>
      </c>
      <c r="H2391" t="s">
        <v>13</v>
      </c>
      <c r="I2391" t="b">
        <f t="shared" si="37"/>
        <v>0</v>
      </c>
    </row>
    <row r="2392" spans="1:9" x14ac:dyDescent="0.2">
      <c r="A2392" t="s">
        <v>949</v>
      </c>
      <c r="B2392" t="s">
        <v>950</v>
      </c>
      <c r="C2392" t="s">
        <v>821</v>
      </c>
      <c r="D2392" t="s">
        <v>182</v>
      </c>
      <c r="E2392" t="s">
        <v>4</v>
      </c>
      <c r="F2392">
        <v>691</v>
      </c>
      <c r="G2392">
        <v>1513</v>
      </c>
      <c r="H2392" t="s">
        <v>13</v>
      </c>
      <c r="I2392" t="b">
        <f t="shared" si="37"/>
        <v>0</v>
      </c>
    </row>
    <row r="2393" spans="1:9" x14ac:dyDescent="0.2">
      <c r="A2393" t="s">
        <v>7211</v>
      </c>
      <c r="B2393" t="s">
        <v>7212</v>
      </c>
      <c r="C2393" t="s">
        <v>147</v>
      </c>
      <c r="D2393" t="s">
        <v>2808</v>
      </c>
      <c r="E2393" t="s">
        <v>4</v>
      </c>
      <c r="F2393">
        <v>227</v>
      </c>
      <c r="G2393">
        <v>219</v>
      </c>
      <c r="H2393" t="s">
        <v>13</v>
      </c>
      <c r="I2393" t="b">
        <f t="shared" si="37"/>
        <v>0</v>
      </c>
    </row>
    <row r="2394" spans="1:9" x14ac:dyDescent="0.2">
      <c r="A2394" t="s">
        <v>6963</v>
      </c>
      <c r="B2394" t="s">
        <v>6964</v>
      </c>
      <c r="C2394" t="s">
        <v>1906</v>
      </c>
      <c r="D2394" t="s">
        <v>6965</v>
      </c>
      <c r="E2394" t="s">
        <v>4</v>
      </c>
      <c r="F2394">
        <v>257</v>
      </c>
      <c r="G2394">
        <v>524</v>
      </c>
      <c r="H2394" t="s">
        <v>13</v>
      </c>
      <c r="I2394" t="b">
        <f t="shared" si="37"/>
        <v>0</v>
      </c>
    </row>
    <row r="2395" spans="1:9" x14ac:dyDescent="0.2">
      <c r="A2395" t="s">
        <v>6018</v>
      </c>
      <c r="B2395" t="s">
        <v>6019</v>
      </c>
      <c r="C2395" t="s">
        <v>1193</v>
      </c>
      <c r="D2395" t="s">
        <v>1194</v>
      </c>
      <c r="E2395" t="s">
        <v>4</v>
      </c>
      <c r="F2395">
        <v>7990</v>
      </c>
      <c r="G2395">
        <v>410</v>
      </c>
      <c r="H2395" t="s">
        <v>13</v>
      </c>
      <c r="I2395" t="b">
        <f t="shared" si="37"/>
        <v>0</v>
      </c>
    </row>
    <row r="2396" spans="1:9" x14ac:dyDescent="0.2">
      <c r="A2396" t="s">
        <v>632</v>
      </c>
      <c r="B2396" t="s">
        <v>633</v>
      </c>
      <c r="C2396" t="s">
        <v>634</v>
      </c>
      <c r="D2396" t="s">
        <v>3</v>
      </c>
      <c r="E2396" t="s">
        <v>4</v>
      </c>
      <c r="F2396">
        <v>192</v>
      </c>
      <c r="G2396">
        <v>28</v>
      </c>
      <c r="H2396" t="s">
        <v>13</v>
      </c>
      <c r="I2396" t="b">
        <f t="shared" si="37"/>
        <v>0</v>
      </c>
    </row>
    <row r="2397" spans="1:9" x14ac:dyDescent="0.2">
      <c r="A2397" t="s">
        <v>6806</v>
      </c>
      <c r="B2397" t="s">
        <v>6807</v>
      </c>
      <c r="C2397" t="s">
        <v>6808</v>
      </c>
      <c r="D2397" t="s">
        <v>3</v>
      </c>
      <c r="E2397" t="s">
        <v>4</v>
      </c>
      <c r="F2397">
        <v>101</v>
      </c>
      <c r="G2397">
        <v>198</v>
      </c>
      <c r="H2397" t="s">
        <v>13</v>
      </c>
      <c r="I2397" t="b">
        <f t="shared" si="37"/>
        <v>0</v>
      </c>
    </row>
    <row r="2398" spans="1:9" x14ac:dyDescent="0.2">
      <c r="A2398" t="s">
        <v>2479</v>
      </c>
      <c r="B2398" t="s">
        <v>2480</v>
      </c>
      <c r="C2398" t="s">
        <v>1828</v>
      </c>
      <c r="D2398" t="s">
        <v>64</v>
      </c>
      <c r="E2398" t="s">
        <v>4</v>
      </c>
      <c r="F2398">
        <v>142</v>
      </c>
      <c r="G2398">
        <v>313</v>
      </c>
      <c r="H2398" t="s">
        <v>13</v>
      </c>
      <c r="I2398" t="b">
        <f t="shared" si="37"/>
        <v>0</v>
      </c>
    </row>
    <row r="2399" spans="1:9" x14ac:dyDescent="0.2">
      <c r="A2399" t="s">
        <v>4915</v>
      </c>
      <c r="B2399" t="s">
        <v>4916</v>
      </c>
      <c r="C2399" t="s">
        <v>4754</v>
      </c>
      <c r="D2399" t="s">
        <v>3</v>
      </c>
      <c r="E2399" t="s">
        <v>4</v>
      </c>
      <c r="F2399">
        <v>18</v>
      </c>
      <c r="G2399">
        <v>107</v>
      </c>
      <c r="H2399" t="s">
        <v>13</v>
      </c>
      <c r="I2399" t="b">
        <f t="shared" si="37"/>
        <v>0</v>
      </c>
    </row>
    <row r="2400" spans="1:9" x14ac:dyDescent="0.2">
      <c r="A2400" t="s">
        <v>3883</v>
      </c>
      <c r="B2400" t="s">
        <v>3884</v>
      </c>
      <c r="C2400" t="s">
        <v>3885</v>
      </c>
      <c r="D2400" t="s">
        <v>3</v>
      </c>
      <c r="E2400" t="s">
        <v>4</v>
      </c>
      <c r="F2400">
        <v>20</v>
      </c>
      <c r="G2400">
        <v>89</v>
      </c>
      <c r="H2400" t="s">
        <v>13</v>
      </c>
      <c r="I2400" t="b">
        <f t="shared" si="37"/>
        <v>0</v>
      </c>
    </row>
    <row r="2401" spans="1:9" x14ac:dyDescent="0.2">
      <c r="A2401" t="s">
        <v>5286</v>
      </c>
      <c r="B2401" t="s">
        <v>5287</v>
      </c>
      <c r="C2401" t="s">
        <v>1095</v>
      </c>
      <c r="D2401" t="s">
        <v>3</v>
      </c>
      <c r="E2401" t="s">
        <v>4</v>
      </c>
      <c r="F2401">
        <v>19</v>
      </c>
      <c r="G2401">
        <v>11</v>
      </c>
      <c r="H2401" t="s">
        <v>13</v>
      </c>
      <c r="I2401" t="b">
        <f t="shared" si="37"/>
        <v>0</v>
      </c>
    </row>
    <row r="2402" spans="1:9" x14ac:dyDescent="0.2">
      <c r="A2402" t="s">
        <v>6095</v>
      </c>
      <c r="B2402" t="s">
        <v>6096</v>
      </c>
      <c r="C2402" t="s">
        <v>6097</v>
      </c>
      <c r="D2402" t="s">
        <v>3574</v>
      </c>
      <c r="E2402" t="s">
        <v>4</v>
      </c>
      <c r="F2402">
        <v>727</v>
      </c>
      <c r="G2402">
        <v>840</v>
      </c>
      <c r="H2402" t="s">
        <v>13</v>
      </c>
      <c r="I2402" t="b">
        <f t="shared" si="37"/>
        <v>0</v>
      </c>
    </row>
    <row r="2403" spans="1:9" x14ac:dyDescent="0.2">
      <c r="A2403" t="s">
        <v>4197</v>
      </c>
      <c r="B2403" t="s">
        <v>4198</v>
      </c>
      <c r="C2403" t="s">
        <v>752</v>
      </c>
      <c r="D2403" t="s">
        <v>753</v>
      </c>
      <c r="E2403" t="s">
        <v>4</v>
      </c>
      <c r="F2403">
        <v>3059</v>
      </c>
      <c r="G2403">
        <v>983</v>
      </c>
      <c r="H2403" t="s">
        <v>13</v>
      </c>
      <c r="I2403" t="b">
        <f t="shared" si="37"/>
        <v>0</v>
      </c>
    </row>
    <row r="2404" spans="1:9" x14ac:dyDescent="0.2">
      <c r="A2404" t="s">
        <v>5014</v>
      </c>
      <c r="B2404" t="s">
        <v>5015</v>
      </c>
      <c r="C2404" t="s">
        <v>293</v>
      </c>
      <c r="D2404" t="s">
        <v>3</v>
      </c>
      <c r="E2404" t="s">
        <v>4</v>
      </c>
      <c r="F2404">
        <v>3634</v>
      </c>
      <c r="G2404">
        <v>3732</v>
      </c>
      <c r="H2404" t="s">
        <v>13</v>
      </c>
      <c r="I2404" t="b">
        <f t="shared" si="37"/>
        <v>0</v>
      </c>
    </row>
    <row r="2405" spans="1:9" x14ac:dyDescent="0.2">
      <c r="A2405" t="s">
        <v>5977</v>
      </c>
      <c r="B2405" t="s">
        <v>5978</v>
      </c>
      <c r="C2405" t="s">
        <v>5979</v>
      </c>
      <c r="D2405" t="s">
        <v>5980</v>
      </c>
      <c r="E2405" t="s">
        <v>4</v>
      </c>
      <c r="F2405">
        <v>490</v>
      </c>
      <c r="G2405">
        <v>649</v>
      </c>
      <c r="H2405" t="s">
        <v>374</v>
      </c>
      <c r="I2405" t="b">
        <f t="shared" si="37"/>
        <v>0</v>
      </c>
    </row>
    <row r="2406" spans="1:9" x14ac:dyDescent="0.2">
      <c r="A2406" t="s">
        <v>2515</v>
      </c>
      <c r="B2406" t="s">
        <v>2516</v>
      </c>
      <c r="C2406" t="s">
        <v>2517</v>
      </c>
      <c r="D2406" t="s">
        <v>3</v>
      </c>
      <c r="E2406" t="s">
        <v>4</v>
      </c>
      <c r="F2406">
        <v>1666</v>
      </c>
      <c r="G2406">
        <v>4978</v>
      </c>
      <c r="H2406" t="s">
        <v>5</v>
      </c>
      <c r="I2406" t="b">
        <f t="shared" si="37"/>
        <v>0</v>
      </c>
    </row>
    <row r="2407" spans="1:9" x14ac:dyDescent="0.2">
      <c r="A2407" t="s">
        <v>6417</v>
      </c>
      <c r="B2407" t="s">
        <v>6418</v>
      </c>
      <c r="C2407" t="s">
        <v>5905</v>
      </c>
      <c r="D2407" t="s">
        <v>3</v>
      </c>
      <c r="E2407" t="s">
        <v>4</v>
      </c>
      <c r="F2407">
        <v>235</v>
      </c>
      <c r="G2407">
        <v>2</v>
      </c>
      <c r="H2407" t="s">
        <v>13</v>
      </c>
      <c r="I2407" t="b">
        <f t="shared" si="37"/>
        <v>0</v>
      </c>
    </row>
    <row r="2408" spans="1:9" x14ac:dyDescent="0.2">
      <c r="A2408" t="s">
        <v>6646</v>
      </c>
      <c r="B2408" t="s">
        <v>6647</v>
      </c>
      <c r="C2408" t="s">
        <v>2984</v>
      </c>
      <c r="D2408" t="s">
        <v>3</v>
      </c>
      <c r="E2408" t="s">
        <v>4</v>
      </c>
      <c r="F2408">
        <v>1</v>
      </c>
      <c r="G2408">
        <v>28</v>
      </c>
      <c r="H2408" t="s">
        <v>5</v>
      </c>
      <c r="I2408" t="b">
        <f t="shared" si="37"/>
        <v>0</v>
      </c>
    </row>
    <row r="2409" spans="1:9" x14ac:dyDescent="0.2">
      <c r="A2409" t="s">
        <v>6553</v>
      </c>
      <c r="B2409" t="s">
        <v>6554</v>
      </c>
      <c r="C2409" t="s">
        <v>1359</v>
      </c>
      <c r="D2409" t="s">
        <v>6555</v>
      </c>
      <c r="E2409" t="s">
        <v>4</v>
      </c>
      <c r="F2409">
        <v>1314</v>
      </c>
      <c r="G2409">
        <v>224</v>
      </c>
      <c r="H2409" t="s">
        <v>13</v>
      </c>
      <c r="I2409" t="b">
        <f t="shared" si="37"/>
        <v>0</v>
      </c>
    </row>
    <row r="2410" spans="1:9" x14ac:dyDescent="0.2">
      <c r="A2410" t="s">
        <v>3945</v>
      </c>
      <c r="B2410" t="s">
        <v>3946</v>
      </c>
      <c r="C2410" t="s">
        <v>1548</v>
      </c>
      <c r="D2410" t="s">
        <v>101</v>
      </c>
      <c r="E2410" t="s">
        <v>4</v>
      </c>
      <c r="F2410">
        <v>310</v>
      </c>
      <c r="G2410">
        <v>378</v>
      </c>
      <c r="H2410" t="s">
        <v>33</v>
      </c>
      <c r="I2410" t="b">
        <f t="shared" si="37"/>
        <v>0</v>
      </c>
    </row>
    <row r="2411" spans="1:9" x14ac:dyDescent="0.2">
      <c r="A2411" t="s">
        <v>2452</v>
      </c>
      <c r="B2411" t="s">
        <v>2453</v>
      </c>
      <c r="C2411" t="s">
        <v>884</v>
      </c>
      <c r="D2411" t="s">
        <v>3</v>
      </c>
      <c r="E2411" t="s">
        <v>4</v>
      </c>
      <c r="F2411">
        <v>1870</v>
      </c>
      <c r="G2411">
        <v>988</v>
      </c>
      <c r="H2411" t="s">
        <v>13</v>
      </c>
      <c r="I2411" t="b">
        <f t="shared" si="37"/>
        <v>0</v>
      </c>
    </row>
    <row r="2412" spans="1:9" x14ac:dyDescent="0.2">
      <c r="A2412" t="s">
        <v>2982</v>
      </c>
      <c r="B2412" t="s">
        <v>2983</v>
      </c>
      <c r="C2412" t="s">
        <v>2984</v>
      </c>
      <c r="D2412" t="s">
        <v>3</v>
      </c>
      <c r="E2412" t="s">
        <v>4</v>
      </c>
      <c r="F2412">
        <v>53</v>
      </c>
      <c r="G2412">
        <v>95</v>
      </c>
      <c r="H2412" t="s">
        <v>13</v>
      </c>
      <c r="I2412" t="b">
        <f t="shared" si="37"/>
        <v>0</v>
      </c>
    </row>
    <row r="2413" spans="1:9" x14ac:dyDescent="0.2">
      <c r="A2413" t="s">
        <v>5763</v>
      </c>
      <c r="B2413" t="s">
        <v>5764</v>
      </c>
      <c r="C2413" t="s">
        <v>97</v>
      </c>
      <c r="D2413" t="s">
        <v>5765</v>
      </c>
      <c r="E2413" t="s">
        <v>4</v>
      </c>
      <c r="F2413">
        <v>448</v>
      </c>
      <c r="G2413">
        <v>1336</v>
      </c>
      <c r="H2413" t="s">
        <v>13</v>
      </c>
      <c r="I2413" t="b">
        <f t="shared" si="37"/>
        <v>0</v>
      </c>
    </row>
    <row r="2414" spans="1:9" x14ac:dyDescent="0.2">
      <c r="A2414" t="s">
        <v>4405</v>
      </c>
      <c r="B2414" t="s">
        <v>4406</v>
      </c>
      <c r="C2414" t="s">
        <v>4407</v>
      </c>
      <c r="D2414" t="s">
        <v>3</v>
      </c>
      <c r="E2414" t="s">
        <v>4</v>
      </c>
      <c r="F2414">
        <v>6</v>
      </c>
      <c r="G2414">
        <v>31</v>
      </c>
      <c r="H2414" t="s">
        <v>13</v>
      </c>
      <c r="I2414" t="b">
        <f t="shared" si="37"/>
        <v>0</v>
      </c>
    </row>
    <row r="2415" spans="1:9" x14ac:dyDescent="0.2">
      <c r="A2415" t="s">
        <v>4688</v>
      </c>
      <c r="B2415" t="s">
        <v>4689</v>
      </c>
      <c r="C2415" t="s">
        <v>4690</v>
      </c>
      <c r="D2415" t="s">
        <v>1255</v>
      </c>
      <c r="E2415" t="s">
        <v>4</v>
      </c>
      <c r="F2415">
        <v>46</v>
      </c>
      <c r="G2415">
        <v>21</v>
      </c>
      <c r="H2415" t="s">
        <v>13</v>
      </c>
      <c r="I2415" t="b">
        <f t="shared" si="37"/>
        <v>0</v>
      </c>
    </row>
    <row r="2416" spans="1:9" x14ac:dyDescent="0.2">
      <c r="A2416" t="s">
        <v>99</v>
      </c>
      <c r="B2416" t="s">
        <v>100</v>
      </c>
      <c r="C2416" t="s">
        <v>31</v>
      </c>
      <c r="D2416" t="s">
        <v>101</v>
      </c>
      <c r="E2416" t="s">
        <v>4</v>
      </c>
      <c r="F2416">
        <v>526</v>
      </c>
      <c r="G2416">
        <v>558</v>
      </c>
      <c r="H2416" t="s">
        <v>33</v>
      </c>
      <c r="I2416" t="b">
        <f t="shared" si="37"/>
        <v>0</v>
      </c>
    </row>
    <row r="2417" spans="1:9" x14ac:dyDescent="0.2">
      <c r="A2417" t="s">
        <v>2700</v>
      </c>
      <c r="B2417" t="s">
        <v>2701</v>
      </c>
      <c r="C2417" t="s">
        <v>2702</v>
      </c>
      <c r="D2417" t="s">
        <v>2703</v>
      </c>
      <c r="E2417" t="s">
        <v>4</v>
      </c>
      <c r="F2417">
        <v>25</v>
      </c>
      <c r="G2417">
        <v>7</v>
      </c>
      <c r="H2417" t="s">
        <v>13</v>
      </c>
      <c r="I2417" t="b">
        <f t="shared" si="37"/>
        <v>0</v>
      </c>
    </row>
    <row r="2418" spans="1:9" x14ac:dyDescent="0.2">
      <c r="A2418" t="s">
        <v>6997</v>
      </c>
      <c r="B2418" t="s">
        <v>6998</v>
      </c>
      <c r="C2418" t="s">
        <v>219</v>
      </c>
      <c r="D2418" t="s">
        <v>6999</v>
      </c>
      <c r="E2418" t="s">
        <v>4</v>
      </c>
      <c r="F2418">
        <v>352</v>
      </c>
      <c r="G2418">
        <v>81</v>
      </c>
      <c r="H2418" t="s">
        <v>645</v>
      </c>
      <c r="I2418" t="b">
        <f t="shared" si="37"/>
        <v>0</v>
      </c>
    </row>
    <row r="2419" spans="1:9" x14ac:dyDescent="0.2">
      <c r="A2419" t="s">
        <v>3038</v>
      </c>
      <c r="B2419" t="s">
        <v>3040</v>
      </c>
      <c r="C2419" t="s">
        <v>3041</v>
      </c>
      <c r="D2419" t="s">
        <v>3</v>
      </c>
      <c r="E2419" t="s">
        <v>4</v>
      </c>
      <c r="F2419">
        <v>1411</v>
      </c>
      <c r="G2419">
        <v>1074</v>
      </c>
      <c r="H2419" t="s">
        <v>13</v>
      </c>
      <c r="I2419" t="b">
        <f t="shared" si="37"/>
        <v>0</v>
      </c>
    </row>
    <row r="2420" spans="1:9" x14ac:dyDescent="0.2">
      <c r="A2420" t="s">
        <v>3365</v>
      </c>
      <c r="B2420" t="s">
        <v>3366</v>
      </c>
      <c r="C2420" t="s">
        <v>999</v>
      </c>
      <c r="D2420" t="s">
        <v>1936</v>
      </c>
      <c r="E2420" t="s">
        <v>4</v>
      </c>
      <c r="F2420">
        <v>1364</v>
      </c>
      <c r="G2420">
        <v>2650</v>
      </c>
      <c r="H2420" t="s">
        <v>13</v>
      </c>
      <c r="I2420" t="b">
        <f t="shared" si="37"/>
        <v>0</v>
      </c>
    </row>
    <row r="2421" spans="1:9" x14ac:dyDescent="0.2">
      <c r="A2421" t="s">
        <v>882</v>
      </c>
      <c r="B2421" t="s">
        <v>883</v>
      </c>
      <c r="C2421" t="s">
        <v>884</v>
      </c>
      <c r="D2421" t="s">
        <v>3</v>
      </c>
      <c r="E2421" t="s">
        <v>4</v>
      </c>
      <c r="F2421">
        <v>18</v>
      </c>
      <c r="G2421">
        <v>119</v>
      </c>
      <c r="H2421" t="s">
        <v>13</v>
      </c>
      <c r="I2421" t="b">
        <f t="shared" si="37"/>
        <v>0</v>
      </c>
    </row>
    <row r="2422" spans="1:9" x14ac:dyDescent="0.2">
      <c r="A2422" t="s">
        <v>4465</v>
      </c>
      <c r="B2422" t="s">
        <v>4466</v>
      </c>
      <c r="C2422" t="s">
        <v>323</v>
      </c>
      <c r="D2422" t="s">
        <v>3</v>
      </c>
      <c r="E2422" t="s">
        <v>4</v>
      </c>
      <c r="F2422">
        <v>11278</v>
      </c>
      <c r="G2422">
        <v>126</v>
      </c>
      <c r="H2422" t="s">
        <v>363</v>
      </c>
      <c r="I2422" t="b">
        <f t="shared" si="37"/>
        <v>0</v>
      </c>
    </row>
    <row r="2423" spans="1:9" x14ac:dyDescent="0.2">
      <c r="A2423" t="s">
        <v>6710</v>
      </c>
      <c r="B2423" t="s">
        <v>6711</v>
      </c>
      <c r="C2423" t="s">
        <v>6712</v>
      </c>
      <c r="D2423" t="s">
        <v>481</v>
      </c>
      <c r="E2423" t="s">
        <v>4</v>
      </c>
      <c r="F2423">
        <v>304</v>
      </c>
      <c r="G2423">
        <v>560</v>
      </c>
      <c r="H2423" t="s">
        <v>13</v>
      </c>
      <c r="I2423" t="b">
        <f t="shared" si="37"/>
        <v>0</v>
      </c>
    </row>
    <row r="2424" spans="1:9" x14ac:dyDescent="0.2">
      <c r="A2424" t="s">
        <v>5143</v>
      </c>
      <c r="B2424" t="s">
        <v>5144</v>
      </c>
      <c r="C2424" t="s">
        <v>5145</v>
      </c>
      <c r="D2424" t="s">
        <v>5146</v>
      </c>
      <c r="E2424" t="s">
        <v>4</v>
      </c>
      <c r="F2424">
        <v>29</v>
      </c>
      <c r="G2424">
        <v>27</v>
      </c>
      <c r="H2424" t="s">
        <v>13</v>
      </c>
      <c r="I2424" t="b">
        <f t="shared" si="37"/>
        <v>0</v>
      </c>
    </row>
    <row r="2425" spans="1:9" x14ac:dyDescent="0.2">
      <c r="A2425" t="s">
        <v>303</v>
      </c>
      <c r="B2425" t="s">
        <v>304</v>
      </c>
      <c r="C2425" t="s">
        <v>305</v>
      </c>
      <c r="D2425" t="s">
        <v>306</v>
      </c>
      <c r="E2425" t="s">
        <v>4</v>
      </c>
      <c r="F2425">
        <v>456</v>
      </c>
      <c r="G2425">
        <v>132</v>
      </c>
      <c r="H2425" t="s">
        <v>13</v>
      </c>
      <c r="I2425" t="b">
        <f t="shared" si="37"/>
        <v>0</v>
      </c>
    </row>
    <row r="2426" spans="1:9" x14ac:dyDescent="0.2">
      <c r="A2426" t="s">
        <v>3207</v>
      </c>
      <c r="B2426" t="s">
        <v>3208</v>
      </c>
      <c r="C2426" t="s">
        <v>3209</v>
      </c>
      <c r="D2426" t="s">
        <v>3210</v>
      </c>
      <c r="E2426" t="s">
        <v>4</v>
      </c>
      <c r="F2426">
        <v>88</v>
      </c>
      <c r="G2426">
        <v>192</v>
      </c>
      <c r="H2426" t="s">
        <v>13</v>
      </c>
      <c r="I2426" t="b">
        <f t="shared" si="37"/>
        <v>0</v>
      </c>
    </row>
    <row r="2427" spans="1:9" x14ac:dyDescent="0.2">
      <c r="A2427" t="s">
        <v>4467</v>
      </c>
      <c r="B2427" t="s">
        <v>4468</v>
      </c>
      <c r="C2427" t="s">
        <v>28</v>
      </c>
      <c r="D2427" t="s">
        <v>3</v>
      </c>
      <c r="E2427" t="s">
        <v>4</v>
      </c>
      <c r="F2427">
        <v>3</v>
      </c>
      <c r="G2427">
        <v>1</v>
      </c>
      <c r="H2427" t="s">
        <v>13</v>
      </c>
      <c r="I2427" t="b">
        <f t="shared" si="37"/>
        <v>0</v>
      </c>
    </row>
    <row r="2428" spans="1:9" x14ac:dyDescent="0.2">
      <c r="A2428" t="s">
        <v>5471</v>
      </c>
      <c r="B2428" t="s">
        <v>5472</v>
      </c>
      <c r="C2428" t="s">
        <v>1896</v>
      </c>
      <c r="D2428" t="s">
        <v>3</v>
      </c>
      <c r="E2428" t="s">
        <v>4</v>
      </c>
      <c r="F2428">
        <v>223</v>
      </c>
      <c r="G2428">
        <v>292</v>
      </c>
      <c r="H2428" t="s">
        <v>645</v>
      </c>
      <c r="I2428" t="b">
        <f t="shared" si="37"/>
        <v>0</v>
      </c>
    </row>
    <row r="2429" spans="1:9" x14ac:dyDescent="0.2">
      <c r="A2429" t="s">
        <v>6037</v>
      </c>
      <c r="B2429" t="s">
        <v>6038</v>
      </c>
      <c r="C2429" t="s">
        <v>1152</v>
      </c>
      <c r="D2429" t="s">
        <v>1848</v>
      </c>
      <c r="E2429" t="s">
        <v>4</v>
      </c>
      <c r="F2429">
        <v>41</v>
      </c>
      <c r="G2429">
        <v>240</v>
      </c>
      <c r="H2429" t="s">
        <v>13</v>
      </c>
      <c r="I2429" t="b">
        <f t="shared" si="37"/>
        <v>0</v>
      </c>
    </row>
    <row r="2430" spans="1:9" x14ac:dyDescent="0.2">
      <c r="A2430" t="s">
        <v>6745</v>
      </c>
      <c r="B2430" t="s">
        <v>6746</v>
      </c>
      <c r="C2430" t="s">
        <v>6747</v>
      </c>
      <c r="D2430" t="s">
        <v>2315</v>
      </c>
      <c r="E2430" t="s">
        <v>4</v>
      </c>
      <c r="F2430">
        <v>210</v>
      </c>
      <c r="G2430">
        <v>103</v>
      </c>
      <c r="H2430" t="s">
        <v>13</v>
      </c>
      <c r="I2430" t="b">
        <f t="shared" si="37"/>
        <v>0</v>
      </c>
    </row>
    <row r="2431" spans="1:9" x14ac:dyDescent="0.2">
      <c r="A2431" t="s">
        <v>1814</v>
      </c>
      <c r="B2431" t="s">
        <v>1815</v>
      </c>
      <c r="C2431" t="s">
        <v>1816</v>
      </c>
      <c r="D2431" t="s">
        <v>1817</v>
      </c>
      <c r="E2431" t="s">
        <v>4</v>
      </c>
      <c r="F2431">
        <v>1</v>
      </c>
      <c r="G2431">
        <v>42</v>
      </c>
      <c r="H2431" t="s">
        <v>50</v>
      </c>
      <c r="I2431" t="b">
        <f t="shared" si="37"/>
        <v>0</v>
      </c>
    </row>
    <row r="2432" spans="1:9" x14ac:dyDescent="0.2">
      <c r="A2432" t="s">
        <v>2682</v>
      </c>
      <c r="B2432" t="s">
        <v>2683</v>
      </c>
      <c r="C2432" t="s">
        <v>2684</v>
      </c>
      <c r="D2432" t="s">
        <v>71</v>
      </c>
      <c r="E2432" t="s">
        <v>4</v>
      </c>
      <c r="F2432">
        <v>395</v>
      </c>
      <c r="G2432">
        <v>671</v>
      </c>
      <c r="H2432" t="s">
        <v>13</v>
      </c>
      <c r="I2432" t="b">
        <f t="shared" si="37"/>
        <v>0</v>
      </c>
    </row>
    <row r="2433" spans="1:9" x14ac:dyDescent="0.2">
      <c r="A2433" t="s">
        <v>7128</v>
      </c>
      <c r="B2433" t="s">
        <v>7129</v>
      </c>
      <c r="C2433" t="s">
        <v>7130</v>
      </c>
      <c r="D2433" t="s">
        <v>3</v>
      </c>
      <c r="E2433" t="s">
        <v>4</v>
      </c>
      <c r="F2433">
        <v>10</v>
      </c>
      <c r="G2433">
        <v>106</v>
      </c>
      <c r="H2433" t="s">
        <v>13</v>
      </c>
      <c r="I2433" t="b">
        <f t="shared" si="37"/>
        <v>0</v>
      </c>
    </row>
    <row r="2434" spans="1:9" x14ac:dyDescent="0.2">
      <c r="A2434" t="s">
        <v>2946</v>
      </c>
      <c r="B2434" t="s">
        <v>2947</v>
      </c>
      <c r="C2434" t="s">
        <v>2948</v>
      </c>
      <c r="D2434" t="s">
        <v>2949</v>
      </c>
      <c r="E2434" t="s">
        <v>4</v>
      </c>
      <c r="F2434">
        <v>1030</v>
      </c>
      <c r="G2434">
        <v>1010</v>
      </c>
      <c r="H2434" t="s">
        <v>13</v>
      </c>
      <c r="I2434" t="b">
        <f t="shared" si="37"/>
        <v>0</v>
      </c>
    </row>
    <row r="2435" spans="1:9" x14ac:dyDescent="0.2">
      <c r="A2435" t="s">
        <v>1598</v>
      </c>
      <c r="B2435" t="s">
        <v>1599</v>
      </c>
      <c r="C2435" t="s">
        <v>1197</v>
      </c>
      <c r="D2435" t="s">
        <v>1198</v>
      </c>
      <c r="E2435" t="s">
        <v>4</v>
      </c>
      <c r="F2435">
        <v>42</v>
      </c>
      <c r="G2435">
        <v>122</v>
      </c>
      <c r="H2435" t="s">
        <v>13</v>
      </c>
      <c r="I2435" t="b">
        <f t="shared" ref="I2435:I2498" si="38">isDup(B2435, B2436, 0.7)</f>
        <v>0</v>
      </c>
    </row>
    <row r="2436" spans="1:9" x14ac:dyDescent="0.2">
      <c r="A2436" t="s">
        <v>5066</v>
      </c>
      <c r="B2436" t="s">
        <v>5067</v>
      </c>
      <c r="C2436" t="s">
        <v>786</v>
      </c>
      <c r="D2436" t="s">
        <v>1352</v>
      </c>
      <c r="E2436" t="s">
        <v>4</v>
      </c>
      <c r="F2436">
        <v>4</v>
      </c>
      <c r="G2436">
        <v>14</v>
      </c>
      <c r="H2436" t="s">
        <v>13</v>
      </c>
      <c r="I2436" t="b">
        <f t="shared" si="38"/>
        <v>0</v>
      </c>
    </row>
    <row r="2437" spans="1:9" x14ac:dyDescent="0.2">
      <c r="A2437" t="s">
        <v>3572</v>
      </c>
      <c r="B2437" t="s">
        <v>3573</v>
      </c>
      <c r="C2437" t="s">
        <v>406</v>
      </c>
      <c r="D2437" t="s">
        <v>3574</v>
      </c>
      <c r="E2437" t="s">
        <v>4</v>
      </c>
      <c r="F2437">
        <v>93</v>
      </c>
      <c r="G2437">
        <v>65</v>
      </c>
      <c r="H2437" t="s">
        <v>13</v>
      </c>
      <c r="I2437" t="b">
        <f t="shared" si="38"/>
        <v>0</v>
      </c>
    </row>
    <row r="2438" spans="1:9" x14ac:dyDescent="0.2">
      <c r="A2438" t="s">
        <v>51</v>
      </c>
      <c r="B2438" t="s">
        <v>55</v>
      </c>
      <c r="C2438" t="s">
        <v>56</v>
      </c>
      <c r="D2438" t="s">
        <v>57</v>
      </c>
      <c r="E2438" t="s">
        <v>4</v>
      </c>
      <c r="F2438">
        <v>6</v>
      </c>
      <c r="G2438">
        <v>16</v>
      </c>
      <c r="H2438" t="s">
        <v>50</v>
      </c>
      <c r="I2438" t="b">
        <f t="shared" si="38"/>
        <v>0</v>
      </c>
    </row>
    <row r="2439" spans="1:9" x14ac:dyDescent="0.2">
      <c r="A2439" t="s">
        <v>4503</v>
      </c>
      <c r="B2439" t="s">
        <v>4504</v>
      </c>
      <c r="C2439" t="s">
        <v>2425</v>
      </c>
      <c r="D2439" t="s">
        <v>4505</v>
      </c>
      <c r="E2439" t="s">
        <v>4</v>
      </c>
      <c r="F2439">
        <v>866</v>
      </c>
      <c r="G2439">
        <v>1918</v>
      </c>
      <c r="H2439" t="s">
        <v>13</v>
      </c>
      <c r="I2439" t="b">
        <f t="shared" si="38"/>
        <v>0</v>
      </c>
    </row>
    <row r="2440" spans="1:9" x14ac:dyDescent="0.2">
      <c r="A2440" t="s">
        <v>5377</v>
      </c>
      <c r="B2440" t="s">
        <v>5378</v>
      </c>
      <c r="C2440" t="s">
        <v>5379</v>
      </c>
      <c r="D2440" t="s">
        <v>3</v>
      </c>
      <c r="E2440" t="s">
        <v>4</v>
      </c>
      <c r="F2440">
        <v>103</v>
      </c>
      <c r="G2440">
        <v>581</v>
      </c>
      <c r="H2440" t="s">
        <v>13</v>
      </c>
      <c r="I2440" t="b">
        <f t="shared" si="38"/>
        <v>0</v>
      </c>
    </row>
    <row r="2441" spans="1:9" x14ac:dyDescent="0.2">
      <c r="A2441" t="s">
        <v>6313</v>
      </c>
      <c r="B2441" t="s">
        <v>6314</v>
      </c>
      <c r="C2441" t="s">
        <v>2043</v>
      </c>
      <c r="D2441" t="s">
        <v>1698</v>
      </c>
      <c r="E2441" t="s">
        <v>4</v>
      </c>
      <c r="F2441">
        <v>238</v>
      </c>
      <c r="G2441">
        <v>145</v>
      </c>
      <c r="H2441" t="s">
        <v>13</v>
      </c>
      <c r="I2441" t="b">
        <f t="shared" si="38"/>
        <v>0</v>
      </c>
    </row>
    <row r="2442" spans="1:9" x14ac:dyDescent="0.2">
      <c r="A2442" t="s">
        <v>2657</v>
      </c>
      <c r="B2442" t="s">
        <v>2658</v>
      </c>
      <c r="C2442" t="s">
        <v>505</v>
      </c>
      <c r="D2442" t="s">
        <v>3</v>
      </c>
      <c r="E2442" t="s">
        <v>4</v>
      </c>
      <c r="F2442">
        <v>9</v>
      </c>
      <c r="G2442">
        <v>76</v>
      </c>
      <c r="H2442" t="s">
        <v>13</v>
      </c>
      <c r="I2442" t="b">
        <f t="shared" si="38"/>
        <v>0</v>
      </c>
    </row>
    <row r="2443" spans="1:9" x14ac:dyDescent="0.2">
      <c r="A2443" t="s">
        <v>5867</v>
      </c>
      <c r="B2443" t="s">
        <v>5868</v>
      </c>
      <c r="C2443" t="s">
        <v>2705</v>
      </c>
      <c r="D2443" t="s">
        <v>3</v>
      </c>
      <c r="E2443" t="s">
        <v>4</v>
      </c>
      <c r="F2443">
        <v>29</v>
      </c>
      <c r="G2443">
        <v>48</v>
      </c>
      <c r="H2443" t="s">
        <v>13</v>
      </c>
      <c r="I2443" t="b">
        <f t="shared" si="38"/>
        <v>0</v>
      </c>
    </row>
    <row r="2444" spans="1:9" x14ac:dyDescent="0.2">
      <c r="A2444" t="s">
        <v>3973</v>
      </c>
      <c r="B2444" t="s">
        <v>3974</v>
      </c>
      <c r="C2444" t="s">
        <v>296</v>
      </c>
      <c r="D2444" t="s">
        <v>3</v>
      </c>
      <c r="E2444" t="s">
        <v>4</v>
      </c>
      <c r="F2444">
        <v>26</v>
      </c>
      <c r="G2444">
        <v>94</v>
      </c>
      <c r="H2444" t="s">
        <v>13</v>
      </c>
      <c r="I2444" t="b">
        <f t="shared" si="38"/>
        <v>0</v>
      </c>
    </row>
    <row r="2445" spans="1:9" x14ac:dyDescent="0.2">
      <c r="A2445" t="s">
        <v>6395</v>
      </c>
      <c r="B2445" t="s">
        <v>6396</v>
      </c>
      <c r="C2445" t="s">
        <v>3601</v>
      </c>
      <c r="D2445" t="s">
        <v>3</v>
      </c>
      <c r="E2445" t="s">
        <v>4</v>
      </c>
      <c r="F2445">
        <v>33</v>
      </c>
      <c r="G2445">
        <v>125</v>
      </c>
      <c r="H2445" t="s">
        <v>13</v>
      </c>
      <c r="I2445" t="b">
        <f t="shared" si="38"/>
        <v>0</v>
      </c>
    </row>
    <row r="2446" spans="1:9" x14ac:dyDescent="0.2">
      <c r="A2446" t="s">
        <v>4210</v>
      </c>
      <c r="B2446" t="s">
        <v>4211</v>
      </c>
      <c r="C2446" t="s">
        <v>4212</v>
      </c>
      <c r="D2446" t="s">
        <v>4213</v>
      </c>
      <c r="E2446" t="s">
        <v>4</v>
      </c>
      <c r="F2446">
        <v>2486</v>
      </c>
      <c r="G2446">
        <v>3126</v>
      </c>
      <c r="H2446" t="s">
        <v>13</v>
      </c>
      <c r="I2446" t="b">
        <f t="shared" si="38"/>
        <v>0</v>
      </c>
    </row>
    <row r="2447" spans="1:9" x14ac:dyDescent="0.2">
      <c r="A2447" t="s">
        <v>1505</v>
      </c>
      <c r="B2447" t="s">
        <v>1506</v>
      </c>
      <c r="C2447" t="s">
        <v>1507</v>
      </c>
      <c r="D2447" t="s">
        <v>148</v>
      </c>
      <c r="E2447" t="s">
        <v>4</v>
      </c>
      <c r="F2447">
        <v>11</v>
      </c>
      <c r="G2447">
        <v>45</v>
      </c>
      <c r="H2447" t="s">
        <v>13</v>
      </c>
      <c r="I2447" t="b">
        <f t="shared" si="38"/>
        <v>1</v>
      </c>
    </row>
    <row r="2448" spans="1:9" x14ac:dyDescent="0.2">
      <c r="A2448" t="s">
        <v>6931</v>
      </c>
      <c r="B2448" t="s">
        <v>6932</v>
      </c>
      <c r="C2448" t="s">
        <v>2761</v>
      </c>
      <c r="D2448" t="s">
        <v>6933</v>
      </c>
      <c r="E2448" t="s">
        <v>4</v>
      </c>
      <c r="F2448">
        <v>45</v>
      </c>
      <c r="G2448">
        <v>276</v>
      </c>
      <c r="H2448" t="s">
        <v>13</v>
      </c>
      <c r="I2448" t="b">
        <f t="shared" si="38"/>
        <v>0</v>
      </c>
    </row>
    <row r="2449" spans="1:9" x14ac:dyDescent="0.2">
      <c r="A2449" t="s">
        <v>6545</v>
      </c>
      <c r="B2449" t="s">
        <v>6546</v>
      </c>
      <c r="C2449" t="s">
        <v>2643</v>
      </c>
      <c r="D2449" t="s">
        <v>3</v>
      </c>
      <c r="E2449" t="s">
        <v>4</v>
      </c>
      <c r="F2449">
        <v>3036</v>
      </c>
      <c r="G2449">
        <v>611</v>
      </c>
      <c r="H2449" t="s">
        <v>13</v>
      </c>
      <c r="I2449" t="b">
        <f t="shared" si="38"/>
        <v>0</v>
      </c>
    </row>
    <row r="2450" spans="1:9" x14ac:dyDescent="0.2">
      <c r="A2450" t="s">
        <v>885</v>
      </c>
      <c r="B2450" t="s">
        <v>886</v>
      </c>
      <c r="C2450" t="s">
        <v>887</v>
      </c>
      <c r="D2450" t="s">
        <v>3</v>
      </c>
      <c r="E2450" t="s">
        <v>4</v>
      </c>
      <c r="F2450">
        <v>63</v>
      </c>
      <c r="G2450">
        <v>345</v>
      </c>
      <c r="H2450" t="s">
        <v>50</v>
      </c>
      <c r="I2450" t="b">
        <f t="shared" si="38"/>
        <v>0</v>
      </c>
    </row>
    <row r="2451" spans="1:9" x14ac:dyDescent="0.2">
      <c r="A2451" t="s">
        <v>7222</v>
      </c>
      <c r="B2451" t="s">
        <v>7223</v>
      </c>
      <c r="C2451" t="s">
        <v>7224</v>
      </c>
      <c r="D2451" t="s">
        <v>3</v>
      </c>
      <c r="E2451" t="s">
        <v>4</v>
      </c>
      <c r="F2451">
        <v>4</v>
      </c>
      <c r="G2451">
        <v>6</v>
      </c>
      <c r="H2451" t="s">
        <v>13</v>
      </c>
      <c r="I2451" t="b">
        <f t="shared" si="38"/>
        <v>0</v>
      </c>
    </row>
    <row r="2452" spans="1:9" x14ac:dyDescent="0.2">
      <c r="A2452" t="s">
        <v>2250</v>
      </c>
      <c r="B2452" t="s">
        <v>2251</v>
      </c>
      <c r="C2452" t="s">
        <v>1991</v>
      </c>
      <c r="D2452" t="s">
        <v>2252</v>
      </c>
      <c r="E2452" t="s">
        <v>4</v>
      </c>
      <c r="F2452">
        <v>58</v>
      </c>
      <c r="G2452">
        <v>257</v>
      </c>
      <c r="H2452" t="s">
        <v>13</v>
      </c>
      <c r="I2452" t="b">
        <f t="shared" si="38"/>
        <v>0</v>
      </c>
    </row>
    <row r="2453" spans="1:9" x14ac:dyDescent="0.2">
      <c r="A2453" t="s">
        <v>2630</v>
      </c>
      <c r="B2453" t="s">
        <v>2631</v>
      </c>
      <c r="C2453" t="s">
        <v>2632</v>
      </c>
      <c r="D2453" t="s">
        <v>101</v>
      </c>
      <c r="E2453" t="s">
        <v>4</v>
      </c>
      <c r="F2453">
        <v>84</v>
      </c>
      <c r="G2453">
        <v>57</v>
      </c>
      <c r="H2453" t="s">
        <v>13</v>
      </c>
      <c r="I2453" t="b">
        <f t="shared" si="38"/>
        <v>0</v>
      </c>
    </row>
    <row r="2454" spans="1:9" x14ac:dyDescent="0.2">
      <c r="A2454" t="s">
        <v>2680</v>
      </c>
      <c r="B2454" t="s">
        <v>2681</v>
      </c>
      <c r="C2454" t="s">
        <v>1241</v>
      </c>
      <c r="D2454" t="s">
        <v>3</v>
      </c>
      <c r="E2454" t="s">
        <v>4</v>
      </c>
      <c r="F2454">
        <v>7208</v>
      </c>
      <c r="G2454">
        <v>2811</v>
      </c>
      <c r="H2454" t="s">
        <v>13</v>
      </c>
      <c r="I2454" t="b">
        <f t="shared" si="38"/>
        <v>0</v>
      </c>
    </row>
    <row r="2455" spans="1:9" x14ac:dyDescent="0.2">
      <c r="A2455" t="s">
        <v>4169</v>
      </c>
      <c r="B2455" t="s">
        <v>4170</v>
      </c>
      <c r="C2455" t="s">
        <v>1386</v>
      </c>
      <c r="D2455" t="s">
        <v>3</v>
      </c>
      <c r="E2455" t="s">
        <v>4</v>
      </c>
      <c r="F2455">
        <v>733</v>
      </c>
      <c r="G2455">
        <v>491</v>
      </c>
      <c r="H2455" t="s">
        <v>13</v>
      </c>
      <c r="I2455" t="b">
        <f t="shared" si="38"/>
        <v>0</v>
      </c>
    </row>
    <row r="2456" spans="1:9" x14ac:dyDescent="0.2">
      <c r="A2456" t="s">
        <v>3609</v>
      </c>
      <c r="B2456" t="s">
        <v>3610</v>
      </c>
      <c r="C2456" t="s">
        <v>3611</v>
      </c>
      <c r="D2456" t="s">
        <v>734</v>
      </c>
      <c r="E2456" t="s">
        <v>4</v>
      </c>
      <c r="F2456">
        <v>5264</v>
      </c>
      <c r="G2456">
        <v>130</v>
      </c>
      <c r="H2456" t="s">
        <v>13</v>
      </c>
      <c r="I2456" t="b">
        <f t="shared" si="38"/>
        <v>0</v>
      </c>
    </row>
    <row r="2457" spans="1:9" x14ac:dyDescent="0.2">
      <c r="A2457" t="s">
        <v>1400</v>
      </c>
      <c r="B2457" t="s">
        <v>1401</v>
      </c>
      <c r="C2457" t="s">
        <v>1402</v>
      </c>
      <c r="D2457" t="s">
        <v>3</v>
      </c>
      <c r="E2457" t="s">
        <v>4</v>
      </c>
      <c r="F2457">
        <v>2</v>
      </c>
      <c r="G2457">
        <v>19</v>
      </c>
      <c r="H2457" t="s">
        <v>13</v>
      </c>
      <c r="I2457" t="b">
        <f t="shared" si="38"/>
        <v>0</v>
      </c>
    </row>
    <row r="2458" spans="1:9" x14ac:dyDescent="0.2">
      <c r="A2458" t="s">
        <v>6648</v>
      </c>
      <c r="B2458" t="s">
        <v>6649</v>
      </c>
      <c r="C2458" t="s">
        <v>28</v>
      </c>
      <c r="D2458" t="s">
        <v>3</v>
      </c>
      <c r="E2458" t="s">
        <v>4</v>
      </c>
      <c r="F2458">
        <v>3</v>
      </c>
      <c r="G2458">
        <v>1</v>
      </c>
      <c r="H2458" t="s">
        <v>13</v>
      </c>
      <c r="I2458" t="b">
        <f t="shared" si="38"/>
        <v>0</v>
      </c>
    </row>
    <row r="2459" spans="1:9" x14ac:dyDescent="0.2">
      <c r="A2459" t="s">
        <v>5910</v>
      </c>
      <c r="B2459" t="s">
        <v>5911</v>
      </c>
      <c r="C2459" t="s">
        <v>391</v>
      </c>
      <c r="D2459" t="s">
        <v>3</v>
      </c>
      <c r="E2459" t="s">
        <v>4</v>
      </c>
      <c r="F2459">
        <v>53</v>
      </c>
      <c r="G2459">
        <v>83</v>
      </c>
      <c r="H2459" t="s">
        <v>13</v>
      </c>
      <c r="I2459" t="b">
        <f t="shared" si="38"/>
        <v>1</v>
      </c>
    </row>
    <row r="2460" spans="1:9" x14ac:dyDescent="0.2">
      <c r="A2460" t="s">
        <v>940</v>
      </c>
      <c r="B2460" t="s">
        <v>941</v>
      </c>
      <c r="C2460" t="s">
        <v>942</v>
      </c>
      <c r="D2460" t="s">
        <v>113</v>
      </c>
      <c r="E2460" t="s">
        <v>4</v>
      </c>
      <c r="F2460">
        <v>300</v>
      </c>
      <c r="G2460">
        <v>551</v>
      </c>
      <c r="H2460" t="s">
        <v>13</v>
      </c>
      <c r="I2460" t="b">
        <f t="shared" si="38"/>
        <v>0</v>
      </c>
    </row>
    <row r="2461" spans="1:9" x14ac:dyDescent="0.2">
      <c r="A2461" t="s">
        <v>6133</v>
      </c>
      <c r="B2461" t="s">
        <v>6134</v>
      </c>
      <c r="C2461" t="s">
        <v>6135</v>
      </c>
      <c r="D2461" t="s">
        <v>3</v>
      </c>
      <c r="E2461" t="s">
        <v>4</v>
      </c>
      <c r="F2461">
        <v>17</v>
      </c>
      <c r="G2461">
        <v>97</v>
      </c>
      <c r="H2461" t="s">
        <v>13</v>
      </c>
      <c r="I2461" t="b">
        <f t="shared" si="38"/>
        <v>1</v>
      </c>
    </row>
    <row r="2462" spans="1:9" x14ac:dyDescent="0.2">
      <c r="A2462" t="s">
        <v>5030</v>
      </c>
      <c r="B2462" t="s">
        <v>5031</v>
      </c>
      <c r="C2462" t="s">
        <v>5032</v>
      </c>
      <c r="D2462" t="s">
        <v>5033</v>
      </c>
      <c r="E2462" t="s">
        <v>4</v>
      </c>
      <c r="F2462">
        <v>9</v>
      </c>
      <c r="G2462">
        <v>25</v>
      </c>
      <c r="H2462" t="s">
        <v>13</v>
      </c>
      <c r="I2462" t="b">
        <f t="shared" si="38"/>
        <v>0</v>
      </c>
    </row>
    <row r="2463" spans="1:9" x14ac:dyDescent="0.2">
      <c r="A2463" t="s">
        <v>3122</v>
      </c>
      <c r="B2463" t="s">
        <v>3123</v>
      </c>
      <c r="C2463" t="s">
        <v>615</v>
      </c>
      <c r="D2463" t="s">
        <v>64</v>
      </c>
      <c r="E2463" t="s">
        <v>38</v>
      </c>
      <c r="F2463">
        <v>13326</v>
      </c>
      <c r="G2463">
        <v>476</v>
      </c>
      <c r="H2463" t="s">
        <v>13</v>
      </c>
      <c r="I2463" t="b">
        <f t="shared" si="38"/>
        <v>0</v>
      </c>
    </row>
    <row r="2464" spans="1:9" x14ac:dyDescent="0.2">
      <c r="A2464" t="s">
        <v>3089</v>
      </c>
      <c r="B2464" t="s">
        <v>3090</v>
      </c>
      <c r="C2464" t="s">
        <v>615</v>
      </c>
      <c r="D2464" t="s">
        <v>64</v>
      </c>
      <c r="E2464" t="s">
        <v>38</v>
      </c>
      <c r="F2464">
        <v>13326</v>
      </c>
      <c r="G2464">
        <v>476</v>
      </c>
      <c r="H2464" t="s">
        <v>13</v>
      </c>
      <c r="I2464" t="b">
        <f t="shared" si="38"/>
        <v>0</v>
      </c>
    </row>
    <row r="2465" spans="1:9" x14ac:dyDescent="0.2">
      <c r="A2465" t="s">
        <v>3126</v>
      </c>
      <c r="B2465" t="s">
        <v>3127</v>
      </c>
      <c r="C2465" t="s">
        <v>3128</v>
      </c>
      <c r="D2465" t="s">
        <v>3129</v>
      </c>
      <c r="E2465" t="s">
        <v>4</v>
      </c>
      <c r="F2465">
        <v>4640</v>
      </c>
      <c r="G2465">
        <v>3750</v>
      </c>
      <c r="H2465" t="s">
        <v>13</v>
      </c>
      <c r="I2465" t="b">
        <f t="shared" si="38"/>
        <v>0</v>
      </c>
    </row>
    <row r="2466" spans="1:9" x14ac:dyDescent="0.2">
      <c r="A2466" t="s">
        <v>3172</v>
      </c>
      <c r="B2466" t="s">
        <v>3173</v>
      </c>
      <c r="C2466" t="s">
        <v>28</v>
      </c>
      <c r="D2466" t="s">
        <v>3</v>
      </c>
      <c r="E2466" t="s">
        <v>4</v>
      </c>
      <c r="F2466">
        <v>2</v>
      </c>
      <c r="G2466">
        <v>29</v>
      </c>
      <c r="H2466" t="s">
        <v>13</v>
      </c>
      <c r="I2466" t="b">
        <f t="shared" si="38"/>
        <v>0</v>
      </c>
    </row>
    <row r="2467" spans="1:9" x14ac:dyDescent="0.2">
      <c r="A2467" t="s">
        <v>3020</v>
      </c>
      <c r="B2467" t="s">
        <v>3021</v>
      </c>
      <c r="C2467" t="s">
        <v>3022</v>
      </c>
      <c r="D2467" t="s">
        <v>833</v>
      </c>
      <c r="E2467" t="s">
        <v>4</v>
      </c>
      <c r="F2467">
        <v>4050</v>
      </c>
      <c r="G2467">
        <v>1677</v>
      </c>
      <c r="H2467" t="s">
        <v>13</v>
      </c>
      <c r="I2467" t="b">
        <f t="shared" si="38"/>
        <v>0</v>
      </c>
    </row>
    <row r="2468" spans="1:9" x14ac:dyDescent="0.2">
      <c r="A2468" t="s">
        <v>1741</v>
      </c>
      <c r="B2468" t="s">
        <v>1742</v>
      </c>
      <c r="C2468" t="s">
        <v>1743</v>
      </c>
      <c r="D2468" t="s">
        <v>101</v>
      </c>
      <c r="E2468" t="s">
        <v>4</v>
      </c>
      <c r="F2468">
        <v>1223</v>
      </c>
      <c r="G2468">
        <v>2150</v>
      </c>
      <c r="H2468" t="s">
        <v>13</v>
      </c>
      <c r="I2468" t="b">
        <f t="shared" si="38"/>
        <v>0</v>
      </c>
    </row>
    <row r="2469" spans="1:9" x14ac:dyDescent="0.2">
      <c r="A2469" t="s">
        <v>1060</v>
      </c>
      <c r="B2469" t="s">
        <v>1061</v>
      </c>
      <c r="C2469" t="s">
        <v>1062</v>
      </c>
      <c r="D2469" t="s">
        <v>1063</v>
      </c>
      <c r="E2469" t="s">
        <v>4</v>
      </c>
      <c r="F2469">
        <v>110</v>
      </c>
      <c r="G2469">
        <v>144</v>
      </c>
      <c r="H2469" t="s">
        <v>13</v>
      </c>
      <c r="I2469" t="b">
        <f t="shared" si="38"/>
        <v>1</v>
      </c>
    </row>
    <row r="2470" spans="1:9" x14ac:dyDescent="0.2">
      <c r="A2470" t="s">
        <v>6223</v>
      </c>
      <c r="B2470" t="s">
        <v>6224</v>
      </c>
      <c r="C2470" t="s">
        <v>6225</v>
      </c>
      <c r="D2470" t="s">
        <v>3</v>
      </c>
      <c r="E2470" t="s">
        <v>4</v>
      </c>
      <c r="F2470">
        <v>377</v>
      </c>
      <c r="G2470">
        <v>2338</v>
      </c>
      <c r="H2470" t="s">
        <v>13</v>
      </c>
      <c r="I2470" t="b">
        <f t="shared" si="38"/>
        <v>0</v>
      </c>
    </row>
    <row r="2471" spans="1:9" x14ac:dyDescent="0.2">
      <c r="A2471" t="s">
        <v>4301</v>
      </c>
      <c r="B2471" t="s">
        <v>4302</v>
      </c>
      <c r="C2471" t="s">
        <v>4303</v>
      </c>
      <c r="D2471" t="s">
        <v>3</v>
      </c>
      <c r="E2471" t="s">
        <v>4</v>
      </c>
      <c r="F2471">
        <v>3414</v>
      </c>
      <c r="G2471">
        <v>3547</v>
      </c>
      <c r="H2471" t="s">
        <v>13</v>
      </c>
      <c r="I2471" t="b">
        <f t="shared" si="38"/>
        <v>0</v>
      </c>
    </row>
    <row r="2472" spans="1:9" x14ac:dyDescent="0.2">
      <c r="A2472" t="s">
        <v>3259</v>
      </c>
      <c r="B2472" t="s">
        <v>3260</v>
      </c>
      <c r="C2472" t="s">
        <v>1596</v>
      </c>
      <c r="D2472" t="s">
        <v>1597</v>
      </c>
      <c r="E2472" t="s">
        <v>4</v>
      </c>
      <c r="F2472">
        <v>4</v>
      </c>
      <c r="G2472">
        <v>0</v>
      </c>
      <c r="H2472" t="s">
        <v>13</v>
      </c>
      <c r="I2472" t="b">
        <f t="shared" si="38"/>
        <v>0</v>
      </c>
    </row>
    <row r="2473" spans="1:9" x14ac:dyDescent="0.2">
      <c r="A2473" t="s">
        <v>1613</v>
      </c>
      <c r="B2473" t="s">
        <v>1614</v>
      </c>
      <c r="C2473" t="s">
        <v>323</v>
      </c>
      <c r="D2473" t="s">
        <v>1615</v>
      </c>
      <c r="E2473" t="s">
        <v>4</v>
      </c>
      <c r="F2473">
        <v>417</v>
      </c>
      <c r="G2473">
        <v>74</v>
      </c>
      <c r="H2473" t="s">
        <v>13</v>
      </c>
      <c r="I2473" t="b">
        <f t="shared" si="38"/>
        <v>0</v>
      </c>
    </row>
    <row r="2474" spans="1:9" x14ac:dyDescent="0.2">
      <c r="A2474" t="s">
        <v>2972</v>
      </c>
      <c r="B2474" t="s">
        <v>2973</v>
      </c>
      <c r="C2474" t="s">
        <v>2974</v>
      </c>
      <c r="D2474" t="s">
        <v>3</v>
      </c>
      <c r="E2474" t="s">
        <v>4</v>
      </c>
      <c r="F2474">
        <v>708</v>
      </c>
      <c r="G2474">
        <v>374</v>
      </c>
      <c r="H2474" t="s">
        <v>13</v>
      </c>
      <c r="I2474" t="b">
        <f t="shared" si="38"/>
        <v>0</v>
      </c>
    </row>
    <row r="2475" spans="1:9" x14ac:dyDescent="0.2">
      <c r="A2475" t="s">
        <v>6389</v>
      </c>
      <c r="B2475" t="s">
        <v>6390</v>
      </c>
      <c r="C2475" t="s">
        <v>1328</v>
      </c>
      <c r="D2475" t="s">
        <v>3</v>
      </c>
      <c r="E2475" t="s">
        <v>4</v>
      </c>
      <c r="F2475">
        <v>16</v>
      </c>
      <c r="G2475">
        <v>8</v>
      </c>
      <c r="H2475" t="s">
        <v>13</v>
      </c>
      <c r="I2475" t="b">
        <f t="shared" si="38"/>
        <v>0</v>
      </c>
    </row>
    <row r="2476" spans="1:9" x14ac:dyDescent="0.2">
      <c r="A2476" t="s">
        <v>702</v>
      </c>
      <c r="B2476" t="s">
        <v>703</v>
      </c>
      <c r="C2476" t="s">
        <v>704</v>
      </c>
      <c r="D2476" t="s">
        <v>705</v>
      </c>
      <c r="E2476" t="s">
        <v>4</v>
      </c>
      <c r="F2476">
        <v>1996</v>
      </c>
      <c r="G2476">
        <v>2545</v>
      </c>
      <c r="H2476" t="s">
        <v>13</v>
      </c>
      <c r="I2476" t="b">
        <f t="shared" si="38"/>
        <v>0</v>
      </c>
    </row>
    <row r="2477" spans="1:9" x14ac:dyDescent="0.2">
      <c r="A2477" t="s">
        <v>6652</v>
      </c>
      <c r="B2477" t="s">
        <v>6653</v>
      </c>
      <c r="C2477" t="s">
        <v>2402</v>
      </c>
      <c r="D2477" t="s">
        <v>1242</v>
      </c>
      <c r="E2477" t="s">
        <v>4</v>
      </c>
      <c r="F2477">
        <v>4935</v>
      </c>
      <c r="G2477">
        <v>497</v>
      </c>
      <c r="H2477" t="s">
        <v>13</v>
      </c>
      <c r="I2477" t="b">
        <f t="shared" si="38"/>
        <v>0</v>
      </c>
    </row>
    <row r="2478" spans="1:9" x14ac:dyDescent="0.2">
      <c r="A2478" t="s">
        <v>3713</v>
      </c>
      <c r="B2478" t="s">
        <v>3714</v>
      </c>
      <c r="C2478" t="s">
        <v>3715</v>
      </c>
      <c r="D2478" t="s">
        <v>3716</v>
      </c>
      <c r="E2478" t="s">
        <v>4</v>
      </c>
      <c r="F2478">
        <v>15</v>
      </c>
      <c r="G2478">
        <v>84</v>
      </c>
      <c r="H2478" t="s">
        <v>13</v>
      </c>
      <c r="I2478" t="b">
        <f t="shared" si="38"/>
        <v>0</v>
      </c>
    </row>
    <row r="2479" spans="1:9" x14ac:dyDescent="0.2">
      <c r="A2479" t="s">
        <v>3080</v>
      </c>
      <c r="B2479" t="s">
        <v>3081</v>
      </c>
      <c r="C2479" t="s">
        <v>1851</v>
      </c>
      <c r="D2479" t="s">
        <v>3</v>
      </c>
      <c r="E2479" t="s">
        <v>4</v>
      </c>
      <c r="F2479">
        <v>37</v>
      </c>
      <c r="G2479">
        <v>104</v>
      </c>
      <c r="H2479" t="s">
        <v>3082</v>
      </c>
      <c r="I2479" t="b">
        <f t="shared" si="38"/>
        <v>0</v>
      </c>
    </row>
    <row r="2480" spans="1:9" x14ac:dyDescent="0.2">
      <c r="A2480" t="s">
        <v>6360</v>
      </c>
      <c r="B2480" t="s">
        <v>6361</v>
      </c>
      <c r="C2480" t="s">
        <v>3337</v>
      </c>
      <c r="D2480" t="s">
        <v>2720</v>
      </c>
      <c r="E2480" t="s">
        <v>4</v>
      </c>
      <c r="F2480">
        <v>671</v>
      </c>
      <c r="G2480">
        <v>217</v>
      </c>
      <c r="H2480" t="s">
        <v>13</v>
      </c>
      <c r="I2480" t="b">
        <f t="shared" si="38"/>
        <v>0</v>
      </c>
    </row>
    <row r="2481" spans="1:9" x14ac:dyDescent="0.2">
      <c r="A2481" t="s">
        <v>5255</v>
      </c>
      <c r="B2481" t="s">
        <v>5256</v>
      </c>
      <c r="C2481" t="s">
        <v>773</v>
      </c>
      <c r="D2481" t="s">
        <v>3</v>
      </c>
      <c r="E2481" t="s">
        <v>4</v>
      </c>
      <c r="F2481">
        <v>4</v>
      </c>
      <c r="G2481">
        <v>0</v>
      </c>
      <c r="H2481" t="s">
        <v>13</v>
      </c>
      <c r="I2481" t="b">
        <f t="shared" si="38"/>
        <v>0</v>
      </c>
    </row>
    <row r="2482" spans="1:9" x14ac:dyDescent="0.2">
      <c r="A2482" t="s">
        <v>6090</v>
      </c>
      <c r="B2482" t="s">
        <v>6091</v>
      </c>
      <c r="C2482" t="s">
        <v>2379</v>
      </c>
      <c r="D2482" t="s">
        <v>3</v>
      </c>
      <c r="E2482" t="s">
        <v>4</v>
      </c>
      <c r="F2482">
        <v>610</v>
      </c>
      <c r="G2482">
        <v>389</v>
      </c>
      <c r="H2482" t="s">
        <v>13</v>
      </c>
      <c r="I2482" t="b">
        <f t="shared" si="38"/>
        <v>0</v>
      </c>
    </row>
    <row r="2483" spans="1:9" x14ac:dyDescent="0.2">
      <c r="A2483" t="s">
        <v>1722</v>
      </c>
      <c r="B2483" t="s">
        <v>1723</v>
      </c>
      <c r="C2483" t="s">
        <v>1724</v>
      </c>
      <c r="D2483" t="s">
        <v>1725</v>
      </c>
      <c r="E2483" t="s">
        <v>4</v>
      </c>
      <c r="F2483">
        <v>1848</v>
      </c>
      <c r="G2483">
        <v>1184</v>
      </c>
      <c r="H2483" t="s">
        <v>13</v>
      </c>
      <c r="I2483" t="b">
        <f t="shared" si="38"/>
        <v>0</v>
      </c>
    </row>
    <row r="2484" spans="1:9" x14ac:dyDescent="0.2">
      <c r="A2484" t="s">
        <v>972</v>
      </c>
      <c r="B2484" t="s">
        <v>973</v>
      </c>
      <c r="C2484" t="s">
        <v>974</v>
      </c>
      <c r="D2484" t="s">
        <v>975</v>
      </c>
      <c r="E2484" t="s">
        <v>4</v>
      </c>
      <c r="F2484">
        <v>320</v>
      </c>
      <c r="G2484">
        <v>304</v>
      </c>
      <c r="H2484" t="s">
        <v>13</v>
      </c>
      <c r="I2484" t="b">
        <f t="shared" si="38"/>
        <v>0</v>
      </c>
    </row>
    <row r="2485" spans="1:9" x14ac:dyDescent="0.2">
      <c r="A2485" t="s">
        <v>5932</v>
      </c>
      <c r="B2485" t="s">
        <v>5933</v>
      </c>
      <c r="C2485" t="s">
        <v>611</v>
      </c>
      <c r="D2485" t="s">
        <v>5934</v>
      </c>
      <c r="E2485" t="s">
        <v>4</v>
      </c>
      <c r="F2485">
        <v>566</v>
      </c>
      <c r="G2485">
        <v>1347</v>
      </c>
      <c r="H2485" t="s">
        <v>13</v>
      </c>
      <c r="I2485" t="b">
        <f t="shared" si="38"/>
        <v>1</v>
      </c>
    </row>
    <row r="2486" spans="1:9" x14ac:dyDescent="0.2">
      <c r="A2486" t="s">
        <v>3331</v>
      </c>
      <c r="B2486" t="s">
        <v>3332</v>
      </c>
      <c r="C2486" t="s">
        <v>3333</v>
      </c>
      <c r="D2486" t="s">
        <v>3334</v>
      </c>
      <c r="E2486" t="s">
        <v>4</v>
      </c>
      <c r="F2486">
        <v>424</v>
      </c>
      <c r="G2486">
        <v>377</v>
      </c>
      <c r="H2486" t="s">
        <v>13</v>
      </c>
      <c r="I2486" t="b">
        <f t="shared" si="38"/>
        <v>0</v>
      </c>
    </row>
    <row r="2487" spans="1:9" x14ac:dyDescent="0.2">
      <c r="A2487" t="s">
        <v>6032</v>
      </c>
      <c r="B2487" t="s">
        <v>6033</v>
      </c>
      <c r="C2487" t="s">
        <v>6034</v>
      </c>
      <c r="D2487" t="s">
        <v>71</v>
      </c>
      <c r="E2487" t="s">
        <v>4</v>
      </c>
      <c r="F2487">
        <v>9</v>
      </c>
      <c r="G2487">
        <v>42</v>
      </c>
      <c r="H2487" t="s">
        <v>13</v>
      </c>
      <c r="I2487" t="b">
        <f t="shared" si="38"/>
        <v>0</v>
      </c>
    </row>
    <row r="2488" spans="1:9" x14ac:dyDescent="0.2">
      <c r="A2488" t="s">
        <v>2292</v>
      </c>
      <c r="B2488" t="s">
        <v>2293</v>
      </c>
      <c r="C2488" t="s">
        <v>1230</v>
      </c>
      <c r="D2488" t="s">
        <v>3</v>
      </c>
      <c r="E2488" t="s">
        <v>4</v>
      </c>
      <c r="F2488">
        <v>0</v>
      </c>
      <c r="G2488">
        <v>2</v>
      </c>
      <c r="H2488" t="s">
        <v>13</v>
      </c>
      <c r="I2488" t="b">
        <f t="shared" si="38"/>
        <v>1</v>
      </c>
    </row>
    <row r="2489" spans="1:9" x14ac:dyDescent="0.2">
      <c r="A2489" t="s">
        <v>1370</v>
      </c>
      <c r="B2489" t="s">
        <v>1371</v>
      </c>
      <c r="C2489" t="s">
        <v>962</v>
      </c>
      <c r="D2489" t="s">
        <v>1372</v>
      </c>
      <c r="E2489" t="s">
        <v>4</v>
      </c>
      <c r="F2489">
        <v>5440</v>
      </c>
      <c r="G2489">
        <v>3396</v>
      </c>
      <c r="H2489" t="s">
        <v>13</v>
      </c>
      <c r="I2489" t="b">
        <f t="shared" si="38"/>
        <v>1</v>
      </c>
    </row>
    <row r="2490" spans="1:9" x14ac:dyDescent="0.2">
      <c r="A2490" t="s">
        <v>7159</v>
      </c>
      <c r="B2490" t="s">
        <v>7162</v>
      </c>
      <c r="C2490" t="s">
        <v>5512</v>
      </c>
      <c r="D2490" t="s">
        <v>7163</v>
      </c>
      <c r="E2490" t="s">
        <v>4</v>
      </c>
      <c r="F2490">
        <v>31617</v>
      </c>
      <c r="G2490">
        <v>156</v>
      </c>
      <c r="H2490" t="s">
        <v>13</v>
      </c>
      <c r="I2490" t="b">
        <f t="shared" si="38"/>
        <v>0</v>
      </c>
    </row>
    <row r="2491" spans="1:9" x14ac:dyDescent="0.2">
      <c r="A2491" t="s">
        <v>6574</v>
      </c>
      <c r="B2491" t="s">
        <v>6575</v>
      </c>
      <c r="C2491" t="s">
        <v>6576</v>
      </c>
      <c r="D2491" t="s">
        <v>3</v>
      </c>
      <c r="E2491" t="s">
        <v>4</v>
      </c>
      <c r="F2491">
        <v>10</v>
      </c>
      <c r="G2491">
        <v>56</v>
      </c>
      <c r="H2491" t="s">
        <v>13</v>
      </c>
      <c r="I2491" t="b">
        <f t="shared" si="38"/>
        <v>0</v>
      </c>
    </row>
    <row r="2492" spans="1:9" x14ac:dyDescent="0.2">
      <c r="A2492" t="s">
        <v>4358</v>
      </c>
      <c r="B2492" t="s">
        <v>4359</v>
      </c>
      <c r="C2492" t="s">
        <v>1911</v>
      </c>
      <c r="D2492" t="s">
        <v>4360</v>
      </c>
      <c r="E2492" t="s">
        <v>4</v>
      </c>
      <c r="F2492">
        <v>371</v>
      </c>
      <c r="G2492">
        <v>42</v>
      </c>
      <c r="H2492" t="s">
        <v>76</v>
      </c>
      <c r="I2492" t="b">
        <f t="shared" si="38"/>
        <v>0</v>
      </c>
    </row>
    <row r="2493" spans="1:9" x14ac:dyDescent="0.2">
      <c r="A2493" t="s">
        <v>6351</v>
      </c>
      <c r="B2493" t="s">
        <v>6352</v>
      </c>
      <c r="C2493" t="s">
        <v>631</v>
      </c>
      <c r="D2493" t="s">
        <v>3</v>
      </c>
      <c r="E2493" t="s">
        <v>4</v>
      </c>
      <c r="F2493">
        <v>18</v>
      </c>
      <c r="G2493">
        <v>118</v>
      </c>
      <c r="H2493" t="s">
        <v>50</v>
      </c>
      <c r="I2493" t="b">
        <f t="shared" si="38"/>
        <v>0</v>
      </c>
    </row>
    <row r="2494" spans="1:9" x14ac:dyDescent="0.2">
      <c r="A2494" t="s">
        <v>2166</v>
      </c>
      <c r="B2494" t="s">
        <v>2167</v>
      </c>
      <c r="C2494" t="s">
        <v>2062</v>
      </c>
      <c r="D2494" t="s">
        <v>705</v>
      </c>
      <c r="E2494" t="s">
        <v>4</v>
      </c>
      <c r="F2494">
        <v>792</v>
      </c>
      <c r="G2494">
        <v>310</v>
      </c>
      <c r="H2494" t="s">
        <v>13</v>
      </c>
      <c r="I2494" t="b">
        <f t="shared" si="38"/>
        <v>0</v>
      </c>
    </row>
    <row r="2495" spans="1:9" x14ac:dyDescent="0.2">
      <c r="A2495" t="s">
        <v>857</v>
      </c>
      <c r="B2495" t="s">
        <v>858</v>
      </c>
      <c r="C2495" t="s">
        <v>859</v>
      </c>
      <c r="D2495" t="s">
        <v>3</v>
      </c>
      <c r="E2495" t="s">
        <v>4</v>
      </c>
      <c r="F2495">
        <v>20</v>
      </c>
      <c r="G2495">
        <v>188</v>
      </c>
      <c r="H2495" t="s">
        <v>13</v>
      </c>
      <c r="I2495" t="b">
        <f t="shared" si="38"/>
        <v>0</v>
      </c>
    </row>
    <row r="2496" spans="1:9" x14ac:dyDescent="0.2">
      <c r="A2496" t="s">
        <v>1132</v>
      </c>
      <c r="B2496" t="s">
        <v>1133</v>
      </c>
      <c r="C2496" t="s">
        <v>704</v>
      </c>
      <c r="D2496" t="s">
        <v>3</v>
      </c>
      <c r="E2496" t="s">
        <v>4</v>
      </c>
      <c r="F2496">
        <v>35</v>
      </c>
      <c r="G2496">
        <v>45</v>
      </c>
      <c r="H2496" t="s">
        <v>13</v>
      </c>
      <c r="I2496" t="b">
        <f t="shared" si="38"/>
        <v>0</v>
      </c>
    </row>
    <row r="2497" spans="1:9" x14ac:dyDescent="0.2">
      <c r="A2497" t="s">
        <v>4514</v>
      </c>
      <c r="B2497" t="s">
        <v>4515</v>
      </c>
      <c r="C2497" t="s">
        <v>1328</v>
      </c>
      <c r="D2497" t="s">
        <v>1901</v>
      </c>
      <c r="E2497" t="s">
        <v>4</v>
      </c>
      <c r="F2497">
        <v>101</v>
      </c>
      <c r="G2497">
        <v>89</v>
      </c>
      <c r="H2497" t="s">
        <v>13</v>
      </c>
      <c r="I2497" t="b">
        <f t="shared" si="38"/>
        <v>0</v>
      </c>
    </row>
    <row r="2498" spans="1:9" x14ac:dyDescent="0.2">
      <c r="A2498" t="s">
        <v>3842</v>
      </c>
      <c r="B2498" t="s">
        <v>3843</v>
      </c>
      <c r="C2498" t="s">
        <v>3844</v>
      </c>
      <c r="D2498" t="s">
        <v>64</v>
      </c>
      <c r="E2498" t="s">
        <v>4</v>
      </c>
      <c r="F2498">
        <v>72</v>
      </c>
      <c r="G2498">
        <v>516</v>
      </c>
      <c r="H2498" t="s">
        <v>13</v>
      </c>
      <c r="I2498" t="b">
        <f t="shared" si="38"/>
        <v>0</v>
      </c>
    </row>
    <row r="2499" spans="1:9" x14ac:dyDescent="0.2">
      <c r="A2499" t="s">
        <v>58</v>
      </c>
      <c r="B2499" t="s">
        <v>59</v>
      </c>
      <c r="C2499" t="s">
        <v>60</v>
      </c>
      <c r="D2499" t="s">
        <v>61</v>
      </c>
      <c r="E2499" t="s">
        <v>4</v>
      </c>
      <c r="F2499">
        <v>238</v>
      </c>
      <c r="G2499">
        <v>1394</v>
      </c>
      <c r="H2499" t="s">
        <v>13</v>
      </c>
      <c r="I2499" t="b">
        <f t="shared" ref="I2499:I2562" si="39">isDup(B2499, B2500, 0.7)</f>
        <v>0</v>
      </c>
    </row>
    <row r="2500" spans="1:9" x14ac:dyDescent="0.2">
      <c r="A2500" t="s">
        <v>2407</v>
      </c>
      <c r="B2500" t="s">
        <v>2408</v>
      </c>
      <c r="C2500" t="s">
        <v>1823</v>
      </c>
      <c r="D2500" t="s">
        <v>2409</v>
      </c>
      <c r="E2500" t="s">
        <v>4</v>
      </c>
      <c r="F2500">
        <v>460</v>
      </c>
      <c r="G2500">
        <v>277</v>
      </c>
      <c r="H2500" t="s">
        <v>13</v>
      </c>
      <c r="I2500" t="b">
        <f t="shared" si="39"/>
        <v>0</v>
      </c>
    </row>
    <row r="2501" spans="1:9" x14ac:dyDescent="0.2">
      <c r="A2501" t="s">
        <v>3017</v>
      </c>
      <c r="B2501" t="s">
        <v>3018</v>
      </c>
      <c r="C2501" t="s">
        <v>1625</v>
      </c>
      <c r="D2501" t="s">
        <v>3019</v>
      </c>
      <c r="E2501" t="s">
        <v>4</v>
      </c>
      <c r="F2501">
        <v>125</v>
      </c>
      <c r="G2501">
        <v>191</v>
      </c>
      <c r="H2501" t="s">
        <v>114</v>
      </c>
      <c r="I2501" t="b">
        <f t="shared" si="39"/>
        <v>0</v>
      </c>
    </row>
    <row r="2502" spans="1:9" x14ac:dyDescent="0.2">
      <c r="A2502" t="s">
        <v>4098</v>
      </c>
      <c r="B2502" t="s">
        <v>4099</v>
      </c>
      <c r="C2502" t="s">
        <v>1481</v>
      </c>
      <c r="D2502" t="s">
        <v>4100</v>
      </c>
      <c r="E2502" t="s">
        <v>4</v>
      </c>
      <c r="F2502">
        <v>13777</v>
      </c>
      <c r="G2502">
        <v>1750</v>
      </c>
      <c r="H2502" t="s">
        <v>13</v>
      </c>
      <c r="I2502" t="b">
        <f t="shared" si="39"/>
        <v>0</v>
      </c>
    </row>
    <row r="2503" spans="1:9" x14ac:dyDescent="0.2">
      <c r="A2503" t="s">
        <v>5869</v>
      </c>
      <c r="B2503" t="s">
        <v>5870</v>
      </c>
      <c r="C2503" t="s">
        <v>2106</v>
      </c>
      <c r="D2503" t="s">
        <v>932</v>
      </c>
      <c r="E2503" t="s">
        <v>4</v>
      </c>
      <c r="F2503">
        <v>27</v>
      </c>
      <c r="G2503">
        <v>167</v>
      </c>
      <c r="H2503" t="s">
        <v>13</v>
      </c>
      <c r="I2503" t="b">
        <f t="shared" si="39"/>
        <v>0</v>
      </c>
    </row>
    <row r="2504" spans="1:9" x14ac:dyDescent="0.2">
      <c r="A2504" t="s">
        <v>4491</v>
      </c>
      <c r="B2504" t="s">
        <v>4492</v>
      </c>
      <c r="C2504" t="s">
        <v>4482</v>
      </c>
      <c r="D2504" t="s">
        <v>3</v>
      </c>
      <c r="E2504" t="s">
        <v>4</v>
      </c>
      <c r="F2504">
        <v>2</v>
      </c>
      <c r="G2504">
        <v>82</v>
      </c>
      <c r="H2504" t="s">
        <v>13</v>
      </c>
      <c r="I2504" t="b">
        <f t="shared" si="39"/>
        <v>1</v>
      </c>
    </row>
    <row r="2505" spans="1:9" x14ac:dyDescent="0.2">
      <c r="A2505" t="s">
        <v>4480</v>
      </c>
      <c r="B2505" t="s">
        <v>4481</v>
      </c>
      <c r="C2505" t="s">
        <v>4482</v>
      </c>
      <c r="D2505" t="s">
        <v>3</v>
      </c>
      <c r="E2505" t="s">
        <v>4</v>
      </c>
      <c r="F2505">
        <v>2</v>
      </c>
      <c r="G2505">
        <v>82</v>
      </c>
      <c r="H2505" t="s">
        <v>13</v>
      </c>
      <c r="I2505" t="b">
        <f t="shared" si="39"/>
        <v>0</v>
      </c>
    </row>
    <row r="2506" spans="1:9" x14ac:dyDescent="0.2">
      <c r="A2506" t="s">
        <v>3803</v>
      </c>
      <c r="B2506" t="s">
        <v>3804</v>
      </c>
      <c r="C2506" t="s">
        <v>2375</v>
      </c>
      <c r="D2506" t="s">
        <v>3</v>
      </c>
      <c r="E2506" t="s">
        <v>4</v>
      </c>
      <c r="F2506">
        <v>153</v>
      </c>
      <c r="G2506">
        <v>438</v>
      </c>
      <c r="H2506" t="s">
        <v>13</v>
      </c>
      <c r="I2506" t="b">
        <f t="shared" si="39"/>
        <v>0</v>
      </c>
    </row>
    <row r="2507" spans="1:9" x14ac:dyDescent="0.2">
      <c r="A2507" t="s">
        <v>5072</v>
      </c>
      <c r="B2507" t="s">
        <v>5073</v>
      </c>
      <c r="C2507" t="s">
        <v>3544</v>
      </c>
      <c r="D2507" t="s">
        <v>3</v>
      </c>
      <c r="E2507" t="s">
        <v>4</v>
      </c>
      <c r="F2507">
        <v>37</v>
      </c>
      <c r="G2507">
        <v>144</v>
      </c>
      <c r="H2507" t="s">
        <v>13</v>
      </c>
      <c r="I2507" t="b">
        <f t="shared" si="39"/>
        <v>0</v>
      </c>
    </row>
    <row r="2508" spans="1:9" x14ac:dyDescent="0.2">
      <c r="A2508" t="s">
        <v>4051</v>
      </c>
      <c r="B2508" t="s">
        <v>4052</v>
      </c>
      <c r="C2508" t="s">
        <v>4053</v>
      </c>
      <c r="D2508" t="s">
        <v>3</v>
      </c>
      <c r="E2508" t="s">
        <v>4</v>
      </c>
      <c r="F2508">
        <v>287</v>
      </c>
      <c r="G2508">
        <v>250</v>
      </c>
      <c r="H2508" t="s">
        <v>13</v>
      </c>
      <c r="I2508" t="b">
        <f t="shared" si="39"/>
        <v>0</v>
      </c>
    </row>
    <row r="2509" spans="1:9" x14ac:dyDescent="0.2">
      <c r="A2509" t="s">
        <v>2880</v>
      </c>
      <c r="B2509" t="s">
        <v>2881</v>
      </c>
      <c r="C2509" t="s">
        <v>97</v>
      </c>
      <c r="D2509" t="s">
        <v>2882</v>
      </c>
      <c r="E2509" t="s">
        <v>4</v>
      </c>
      <c r="F2509">
        <v>19</v>
      </c>
      <c r="G2509">
        <v>32</v>
      </c>
      <c r="H2509" t="s">
        <v>13</v>
      </c>
      <c r="I2509" t="b">
        <f t="shared" si="39"/>
        <v>0</v>
      </c>
    </row>
    <row r="2510" spans="1:9" x14ac:dyDescent="0.2">
      <c r="A2510" t="s">
        <v>3941</v>
      </c>
      <c r="B2510" t="s">
        <v>3942</v>
      </c>
      <c r="C2510" t="s">
        <v>530</v>
      </c>
      <c r="D2510" t="s">
        <v>3</v>
      </c>
      <c r="E2510" t="s">
        <v>4</v>
      </c>
      <c r="F2510">
        <v>3125</v>
      </c>
      <c r="G2510">
        <v>4907</v>
      </c>
      <c r="H2510" t="s">
        <v>342</v>
      </c>
      <c r="I2510" t="b">
        <f t="shared" si="39"/>
        <v>0</v>
      </c>
    </row>
    <row r="2511" spans="1:9" x14ac:dyDescent="0.2">
      <c r="A2511" t="s">
        <v>2538</v>
      </c>
      <c r="B2511" t="s">
        <v>2539</v>
      </c>
      <c r="C2511" t="s">
        <v>720</v>
      </c>
      <c r="D2511" t="s">
        <v>2540</v>
      </c>
      <c r="E2511" t="s">
        <v>4</v>
      </c>
      <c r="F2511">
        <v>3247</v>
      </c>
      <c r="G2511">
        <v>196</v>
      </c>
      <c r="H2511" t="s">
        <v>13</v>
      </c>
      <c r="I2511" t="b">
        <f t="shared" si="39"/>
        <v>0</v>
      </c>
    </row>
    <row r="2512" spans="1:9" x14ac:dyDescent="0.2">
      <c r="A2512" t="s">
        <v>2000</v>
      </c>
      <c r="B2512" t="s">
        <v>2001</v>
      </c>
      <c r="C2512" t="s">
        <v>2002</v>
      </c>
      <c r="D2512" t="s">
        <v>3</v>
      </c>
      <c r="E2512" t="s">
        <v>4</v>
      </c>
      <c r="F2512">
        <v>4296</v>
      </c>
      <c r="G2512">
        <v>210</v>
      </c>
      <c r="H2512" t="s">
        <v>13</v>
      </c>
      <c r="I2512" t="b">
        <f t="shared" si="39"/>
        <v>0</v>
      </c>
    </row>
    <row r="2513" spans="1:9" x14ac:dyDescent="0.2">
      <c r="A2513" t="s">
        <v>6611</v>
      </c>
      <c r="B2513" t="s">
        <v>6612</v>
      </c>
      <c r="C2513" t="s">
        <v>1201</v>
      </c>
      <c r="D2513" t="s">
        <v>6613</v>
      </c>
      <c r="E2513" t="s">
        <v>4</v>
      </c>
      <c r="F2513">
        <v>199</v>
      </c>
      <c r="G2513">
        <v>1865</v>
      </c>
      <c r="H2513" t="s">
        <v>13</v>
      </c>
      <c r="I2513" t="b">
        <f t="shared" si="39"/>
        <v>0</v>
      </c>
    </row>
    <row r="2514" spans="1:9" x14ac:dyDescent="0.2">
      <c r="A2514" t="s">
        <v>389</v>
      </c>
      <c r="B2514" t="s">
        <v>390</v>
      </c>
      <c r="C2514" t="s">
        <v>391</v>
      </c>
      <c r="D2514" t="s">
        <v>392</v>
      </c>
      <c r="E2514" t="s">
        <v>4</v>
      </c>
      <c r="F2514">
        <v>2251</v>
      </c>
      <c r="G2514">
        <v>3132</v>
      </c>
      <c r="H2514" t="s">
        <v>13</v>
      </c>
      <c r="I2514" t="b">
        <f t="shared" si="39"/>
        <v>0</v>
      </c>
    </row>
    <row r="2515" spans="1:9" x14ac:dyDescent="0.2">
      <c r="A2515" t="s">
        <v>2089</v>
      </c>
      <c r="B2515" t="s">
        <v>2090</v>
      </c>
      <c r="C2515" t="s">
        <v>2091</v>
      </c>
      <c r="D2515" t="s">
        <v>3</v>
      </c>
      <c r="E2515" t="s">
        <v>4</v>
      </c>
      <c r="F2515">
        <v>28</v>
      </c>
      <c r="G2515">
        <v>241</v>
      </c>
      <c r="H2515" t="s">
        <v>13</v>
      </c>
      <c r="I2515" t="b">
        <f t="shared" si="39"/>
        <v>0</v>
      </c>
    </row>
    <row r="2516" spans="1:9" x14ac:dyDescent="0.2">
      <c r="A2516" t="s">
        <v>5416</v>
      </c>
      <c r="B2516" t="s">
        <v>5417</v>
      </c>
      <c r="C2516" t="s">
        <v>5418</v>
      </c>
      <c r="D2516" t="s">
        <v>566</v>
      </c>
      <c r="E2516" t="s">
        <v>4</v>
      </c>
      <c r="F2516">
        <v>2</v>
      </c>
      <c r="G2516">
        <v>9</v>
      </c>
      <c r="H2516" t="s">
        <v>363</v>
      </c>
      <c r="I2516" t="b">
        <f t="shared" si="39"/>
        <v>0</v>
      </c>
    </row>
    <row r="2517" spans="1:9" x14ac:dyDescent="0.2">
      <c r="A2517" t="s">
        <v>1380</v>
      </c>
      <c r="B2517" t="s">
        <v>1381</v>
      </c>
      <c r="C2517" t="s">
        <v>226</v>
      </c>
      <c r="D2517" t="s">
        <v>227</v>
      </c>
      <c r="E2517" t="s">
        <v>4</v>
      </c>
      <c r="F2517">
        <v>9224</v>
      </c>
      <c r="G2517">
        <v>7169</v>
      </c>
      <c r="H2517" t="s">
        <v>13</v>
      </c>
      <c r="I2517" t="b">
        <f t="shared" si="39"/>
        <v>0</v>
      </c>
    </row>
    <row r="2518" spans="1:9" x14ac:dyDescent="0.2">
      <c r="A2518" t="s">
        <v>4036</v>
      </c>
      <c r="B2518" t="s">
        <v>4037</v>
      </c>
      <c r="C2518" t="s">
        <v>4038</v>
      </c>
      <c r="D2518" t="s">
        <v>566</v>
      </c>
      <c r="E2518" t="s">
        <v>4</v>
      </c>
      <c r="F2518">
        <v>144</v>
      </c>
      <c r="G2518">
        <v>355</v>
      </c>
      <c r="H2518" t="s">
        <v>13</v>
      </c>
      <c r="I2518" t="b">
        <f t="shared" si="39"/>
        <v>0</v>
      </c>
    </row>
    <row r="2519" spans="1:9" x14ac:dyDescent="0.2">
      <c r="A2519" t="s">
        <v>232</v>
      </c>
      <c r="B2519" t="s">
        <v>233</v>
      </c>
      <c r="C2519" t="s">
        <v>234</v>
      </c>
      <c r="D2519" t="s">
        <v>235</v>
      </c>
      <c r="E2519" t="s">
        <v>4</v>
      </c>
      <c r="F2519">
        <v>22</v>
      </c>
      <c r="G2519">
        <v>105</v>
      </c>
      <c r="H2519" t="s">
        <v>13</v>
      </c>
      <c r="I2519" t="b">
        <f t="shared" si="39"/>
        <v>0</v>
      </c>
    </row>
    <row r="2520" spans="1:9" x14ac:dyDescent="0.2">
      <c r="A2520" t="s">
        <v>3433</v>
      </c>
      <c r="B2520" t="s">
        <v>3434</v>
      </c>
      <c r="C2520" t="s">
        <v>3435</v>
      </c>
      <c r="D2520" t="s">
        <v>1657</v>
      </c>
      <c r="E2520" t="s">
        <v>4</v>
      </c>
      <c r="F2520">
        <v>227</v>
      </c>
      <c r="G2520">
        <v>390</v>
      </c>
      <c r="H2520" t="s">
        <v>13</v>
      </c>
      <c r="I2520" t="b">
        <f t="shared" si="39"/>
        <v>0</v>
      </c>
    </row>
    <row r="2521" spans="1:9" x14ac:dyDescent="0.2">
      <c r="A2521" t="s">
        <v>808</v>
      </c>
      <c r="B2521" t="s">
        <v>809</v>
      </c>
      <c r="C2521" t="s">
        <v>810</v>
      </c>
      <c r="D2521" t="s">
        <v>101</v>
      </c>
      <c r="E2521" t="s">
        <v>4</v>
      </c>
      <c r="F2521">
        <v>2287</v>
      </c>
      <c r="G2521">
        <v>42</v>
      </c>
      <c r="H2521" t="s">
        <v>5</v>
      </c>
      <c r="I2521" t="b">
        <f t="shared" si="39"/>
        <v>0</v>
      </c>
    </row>
    <row r="2522" spans="1:9" x14ac:dyDescent="0.2">
      <c r="A2522" t="s">
        <v>5786</v>
      </c>
      <c r="B2522" t="s">
        <v>5787</v>
      </c>
      <c r="C2522" t="s">
        <v>1724</v>
      </c>
      <c r="D2522" t="s">
        <v>3</v>
      </c>
      <c r="E2522" t="s">
        <v>4</v>
      </c>
      <c r="F2522">
        <v>226</v>
      </c>
      <c r="G2522">
        <v>480</v>
      </c>
      <c r="H2522" t="s">
        <v>13</v>
      </c>
      <c r="I2522" t="b">
        <f t="shared" si="39"/>
        <v>1</v>
      </c>
    </row>
    <row r="2523" spans="1:9" x14ac:dyDescent="0.2">
      <c r="A2523" t="s">
        <v>3706</v>
      </c>
      <c r="B2523" t="s">
        <v>3707</v>
      </c>
      <c r="C2523" t="s">
        <v>2930</v>
      </c>
      <c r="D2523" t="s">
        <v>3</v>
      </c>
      <c r="E2523" t="s">
        <v>4</v>
      </c>
      <c r="F2523">
        <v>67</v>
      </c>
      <c r="G2523">
        <v>366</v>
      </c>
      <c r="H2523" t="s">
        <v>13</v>
      </c>
      <c r="I2523" t="b">
        <f t="shared" si="39"/>
        <v>0</v>
      </c>
    </row>
    <row r="2524" spans="1:9" x14ac:dyDescent="0.2">
      <c r="A2524" t="s">
        <v>7003</v>
      </c>
      <c r="B2524" t="s">
        <v>7004</v>
      </c>
      <c r="C2524" t="s">
        <v>2904</v>
      </c>
      <c r="D2524" t="s">
        <v>3</v>
      </c>
      <c r="E2524" t="s">
        <v>4</v>
      </c>
      <c r="F2524">
        <v>304</v>
      </c>
      <c r="G2524">
        <v>116</v>
      </c>
      <c r="H2524" t="s">
        <v>13</v>
      </c>
      <c r="I2524" t="b">
        <f t="shared" si="39"/>
        <v>0</v>
      </c>
    </row>
    <row r="2525" spans="1:9" x14ac:dyDescent="0.2">
      <c r="A2525" t="s">
        <v>4778</v>
      </c>
      <c r="B2525" t="s">
        <v>4779</v>
      </c>
      <c r="C2525" t="s">
        <v>2065</v>
      </c>
      <c r="D2525" t="s">
        <v>2066</v>
      </c>
      <c r="E2525" t="s">
        <v>4</v>
      </c>
      <c r="F2525">
        <v>9754</v>
      </c>
      <c r="G2525">
        <v>399</v>
      </c>
      <c r="H2525" t="s">
        <v>13</v>
      </c>
      <c r="I2525" t="b">
        <f t="shared" si="39"/>
        <v>0</v>
      </c>
    </row>
    <row r="2526" spans="1:9" x14ac:dyDescent="0.2">
      <c r="A2526" t="s">
        <v>7262</v>
      </c>
      <c r="B2526" t="s">
        <v>7263</v>
      </c>
      <c r="C2526" t="s">
        <v>104</v>
      </c>
      <c r="D2526" t="s">
        <v>105</v>
      </c>
      <c r="E2526" t="s">
        <v>4</v>
      </c>
      <c r="F2526">
        <v>4</v>
      </c>
      <c r="G2526">
        <v>54</v>
      </c>
      <c r="H2526" t="s">
        <v>13</v>
      </c>
      <c r="I2526" t="b">
        <f t="shared" si="39"/>
        <v>0</v>
      </c>
    </row>
    <row r="2527" spans="1:9" x14ac:dyDescent="0.2">
      <c r="A2527" t="s">
        <v>7255</v>
      </c>
      <c r="B2527" t="s">
        <v>7256</v>
      </c>
      <c r="C2527" t="s">
        <v>773</v>
      </c>
      <c r="D2527" t="s">
        <v>3</v>
      </c>
      <c r="E2527" t="s">
        <v>4</v>
      </c>
      <c r="F2527">
        <v>5</v>
      </c>
      <c r="G2527">
        <v>3</v>
      </c>
      <c r="H2527" t="s">
        <v>13</v>
      </c>
      <c r="I2527" t="b">
        <f t="shared" si="39"/>
        <v>0</v>
      </c>
    </row>
    <row r="2528" spans="1:9" x14ac:dyDescent="0.2">
      <c r="A2528" t="s">
        <v>3097</v>
      </c>
      <c r="B2528" t="s">
        <v>3098</v>
      </c>
      <c r="C2528" t="s">
        <v>2212</v>
      </c>
      <c r="D2528" t="s">
        <v>3</v>
      </c>
      <c r="E2528" t="s">
        <v>4</v>
      </c>
      <c r="F2528">
        <v>0</v>
      </c>
      <c r="G2528">
        <v>7</v>
      </c>
      <c r="H2528" t="s">
        <v>13</v>
      </c>
      <c r="I2528" t="b">
        <f t="shared" si="39"/>
        <v>0</v>
      </c>
    </row>
    <row r="2529" spans="1:9" x14ac:dyDescent="0.2">
      <c r="A2529" t="s">
        <v>5172</v>
      </c>
      <c r="B2529" t="s">
        <v>5173</v>
      </c>
      <c r="C2529" t="s">
        <v>773</v>
      </c>
      <c r="D2529" t="s">
        <v>1813</v>
      </c>
      <c r="E2529" t="s">
        <v>4</v>
      </c>
      <c r="F2529">
        <v>56</v>
      </c>
      <c r="G2529">
        <v>227</v>
      </c>
      <c r="H2529" t="s">
        <v>13</v>
      </c>
      <c r="I2529" t="b">
        <f t="shared" si="39"/>
        <v>0</v>
      </c>
    </row>
    <row r="2530" spans="1:9" x14ac:dyDescent="0.2">
      <c r="A2530" t="s">
        <v>83</v>
      </c>
      <c r="B2530" t="s">
        <v>84</v>
      </c>
      <c r="C2530" t="s">
        <v>85</v>
      </c>
      <c r="D2530" t="s">
        <v>3</v>
      </c>
      <c r="E2530" t="s">
        <v>4</v>
      </c>
      <c r="F2530">
        <v>706</v>
      </c>
      <c r="G2530">
        <v>493</v>
      </c>
      <c r="H2530" t="s">
        <v>86</v>
      </c>
      <c r="I2530" t="b">
        <f t="shared" si="39"/>
        <v>0</v>
      </c>
    </row>
    <row r="2531" spans="1:9" x14ac:dyDescent="0.2">
      <c r="A2531" t="s">
        <v>1902</v>
      </c>
      <c r="B2531" t="s">
        <v>1903</v>
      </c>
      <c r="C2531" t="s">
        <v>1889</v>
      </c>
      <c r="D2531">
        <v>1988</v>
      </c>
      <c r="E2531" t="s">
        <v>4</v>
      </c>
      <c r="F2531">
        <v>134</v>
      </c>
      <c r="G2531">
        <v>196</v>
      </c>
      <c r="H2531" t="s">
        <v>13</v>
      </c>
      <c r="I2531" t="b">
        <f t="shared" si="39"/>
        <v>0</v>
      </c>
    </row>
    <row r="2532" spans="1:9" x14ac:dyDescent="0.2">
      <c r="A2532" t="s">
        <v>6373</v>
      </c>
      <c r="B2532" t="s">
        <v>6374</v>
      </c>
      <c r="C2532" t="s">
        <v>6375</v>
      </c>
      <c r="D2532" t="s">
        <v>6376</v>
      </c>
      <c r="E2532" t="s">
        <v>4</v>
      </c>
      <c r="F2532">
        <v>811</v>
      </c>
      <c r="G2532">
        <v>1814</v>
      </c>
      <c r="H2532" t="s">
        <v>13</v>
      </c>
      <c r="I2532" t="b">
        <f t="shared" si="39"/>
        <v>0</v>
      </c>
    </row>
    <row r="2533" spans="1:9" x14ac:dyDescent="0.2">
      <c r="A2533" t="s">
        <v>3952</v>
      </c>
      <c r="B2533" t="s">
        <v>3953</v>
      </c>
      <c r="C2533" t="s">
        <v>2558</v>
      </c>
      <c r="D2533" t="s">
        <v>3</v>
      </c>
      <c r="E2533" t="s">
        <v>4</v>
      </c>
      <c r="F2533">
        <v>888</v>
      </c>
      <c r="G2533">
        <v>1446</v>
      </c>
      <c r="H2533" t="s">
        <v>13</v>
      </c>
      <c r="I2533" t="b">
        <f t="shared" si="39"/>
        <v>0</v>
      </c>
    </row>
    <row r="2534" spans="1:9" x14ac:dyDescent="0.2">
      <c r="A2534" t="s">
        <v>6939</v>
      </c>
      <c r="B2534" t="s">
        <v>6940</v>
      </c>
      <c r="C2534" t="s">
        <v>2608</v>
      </c>
      <c r="D2534" t="s">
        <v>403</v>
      </c>
      <c r="E2534" t="s">
        <v>4</v>
      </c>
      <c r="F2534">
        <v>3515</v>
      </c>
      <c r="G2534">
        <v>4998</v>
      </c>
      <c r="H2534" t="s">
        <v>13</v>
      </c>
      <c r="I2534" t="b">
        <f t="shared" si="39"/>
        <v>0</v>
      </c>
    </row>
    <row r="2535" spans="1:9" x14ac:dyDescent="0.2">
      <c r="A2535" t="s">
        <v>4191</v>
      </c>
      <c r="B2535" t="s">
        <v>4192</v>
      </c>
      <c r="C2535" t="s">
        <v>336</v>
      </c>
      <c r="D2535" t="s">
        <v>4193</v>
      </c>
      <c r="E2535" t="s">
        <v>4</v>
      </c>
      <c r="F2535">
        <v>492</v>
      </c>
      <c r="G2535">
        <v>1211</v>
      </c>
      <c r="H2535" t="s">
        <v>13</v>
      </c>
      <c r="I2535" t="b">
        <f t="shared" si="39"/>
        <v>0</v>
      </c>
    </row>
    <row r="2536" spans="1:9" x14ac:dyDescent="0.2">
      <c r="A2536" t="s">
        <v>6958</v>
      </c>
      <c r="B2536" t="s">
        <v>6959</v>
      </c>
      <c r="C2536" t="s">
        <v>185</v>
      </c>
      <c r="D2536" t="s">
        <v>5465</v>
      </c>
      <c r="E2536" t="s">
        <v>4</v>
      </c>
      <c r="F2536">
        <v>3715</v>
      </c>
      <c r="G2536">
        <v>3679</v>
      </c>
      <c r="H2536" t="s">
        <v>13</v>
      </c>
      <c r="I2536" t="b">
        <f t="shared" si="39"/>
        <v>0</v>
      </c>
    </row>
    <row r="2537" spans="1:9" x14ac:dyDescent="0.2">
      <c r="A2537" t="s">
        <v>5038</v>
      </c>
      <c r="B2537" t="s">
        <v>5039</v>
      </c>
      <c r="C2537" t="s">
        <v>1291</v>
      </c>
      <c r="D2537" t="s">
        <v>3</v>
      </c>
      <c r="E2537" t="s">
        <v>4</v>
      </c>
      <c r="F2537">
        <v>70</v>
      </c>
      <c r="G2537">
        <v>194</v>
      </c>
      <c r="H2537" t="s">
        <v>13</v>
      </c>
      <c r="I2537" t="b">
        <f t="shared" si="39"/>
        <v>0</v>
      </c>
    </row>
    <row r="2538" spans="1:9" x14ac:dyDescent="0.2">
      <c r="A2538" t="s">
        <v>6248</v>
      </c>
      <c r="B2538" t="s">
        <v>6249</v>
      </c>
      <c r="C2538" t="s">
        <v>6250</v>
      </c>
      <c r="D2538" t="s">
        <v>3</v>
      </c>
      <c r="E2538" t="s">
        <v>4</v>
      </c>
      <c r="F2538">
        <v>13</v>
      </c>
      <c r="G2538">
        <v>33</v>
      </c>
      <c r="H2538" t="s">
        <v>13</v>
      </c>
      <c r="I2538" t="b">
        <f t="shared" si="39"/>
        <v>0</v>
      </c>
    </row>
    <row r="2539" spans="1:9" x14ac:dyDescent="0.2">
      <c r="A2539" t="s">
        <v>4707</v>
      </c>
      <c r="B2539" t="s">
        <v>4708</v>
      </c>
      <c r="C2539" t="s">
        <v>4709</v>
      </c>
      <c r="D2539" t="s">
        <v>2403</v>
      </c>
      <c r="E2539" t="s">
        <v>4</v>
      </c>
      <c r="F2539">
        <v>884</v>
      </c>
      <c r="G2539">
        <v>1704</v>
      </c>
      <c r="H2539" t="s">
        <v>13</v>
      </c>
      <c r="I2539" t="b">
        <f t="shared" si="39"/>
        <v>0</v>
      </c>
    </row>
    <row r="2540" spans="1:9" x14ac:dyDescent="0.2">
      <c r="A2540" t="s">
        <v>2689</v>
      </c>
      <c r="B2540" t="s">
        <v>2690</v>
      </c>
      <c r="C2540" t="s">
        <v>2691</v>
      </c>
      <c r="D2540" t="s">
        <v>2692</v>
      </c>
      <c r="E2540" t="s">
        <v>4</v>
      </c>
      <c r="F2540">
        <v>231</v>
      </c>
      <c r="G2540">
        <v>1002</v>
      </c>
      <c r="H2540" t="s">
        <v>13</v>
      </c>
      <c r="I2540" t="b">
        <f t="shared" si="39"/>
        <v>0</v>
      </c>
    </row>
    <row r="2541" spans="1:9" x14ac:dyDescent="0.2">
      <c r="A2541" t="s">
        <v>6918</v>
      </c>
      <c r="B2541" t="s">
        <v>6919</v>
      </c>
      <c r="C2541" t="s">
        <v>1162</v>
      </c>
      <c r="D2541" t="s">
        <v>6920</v>
      </c>
      <c r="E2541" t="s">
        <v>4</v>
      </c>
      <c r="F2541">
        <v>73</v>
      </c>
      <c r="G2541">
        <v>68</v>
      </c>
      <c r="H2541" t="s">
        <v>13</v>
      </c>
      <c r="I2541" t="b">
        <f t="shared" si="39"/>
        <v>1</v>
      </c>
    </row>
    <row r="2542" spans="1:9" x14ac:dyDescent="0.2">
      <c r="A2542" t="s">
        <v>2554</v>
      </c>
      <c r="B2542" t="s">
        <v>2555</v>
      </c>
      <c r="C2542" t="s">
        <v>704</v>
      </c>
      <c r="D2542" t="s">
        <v>3</v>
      </c>
      <c r="E2542" t="s">
        <v>4</v>
      </c>
      <c r="F2542">
        <v>3543</v>
      </c>
      <c r="G2542">
        <v>964</v>
      </c>
      <c r="H2542" t="s">
        <v>13</v>
      </c>
      <c r="I2542" t="b">
        <f t="shared" si="39"/>
        <v>0</v>
      </c>
    </row>
    <row r="2543" spans="1:9" x14ac:dyDescent="0.2">
      <c r="A2543" t="s">
        <v>3459</v>
      </c>
      <c r="B2543" t="s">
        <v>3460</v>
      </c>
      <c r="C2543" t="s">
        <v>3461</v>
      </c>
      <c r="D2543" t="s">
        <v>3462</v>
      </c>
      <c r="E2543" t="s">
        <v>4</v>
      </c>
      <c r="F2543">
        <v>22</v>
      </c>
      <c r="G2543">
        <v>39</v>
      </c>
      <c r="H2543" t="s">
        <v>13</v>
      </c>
      <c r="I2543" t="b">
        <f t="shared" si="39"/>
        <v>0</v>
      </c>
    </row>
    <row r="2544" spans="1:9" x14ac:dyDescent="0.2">
      <c r="A2544" t="s">
        <v>7000</v>
      </c>
      <c r="B2544" t="s">
        <v>7001</v>
      </c>
      <c r="C2544" t="s">
        <v>7002</v>
      </c>
      <c r="D2544" t="s">
        <v>1657</v>
      </c>
      <c r="E2544" t="s">
        <v>4</v>
      </c>
      <c r="F2544">
        <v>34</v>
      </c>
      <c r="G2544">
        <v>337</v>
      </c>
      <c r="H2544" t="s">
        <v>13</v>
      </c>
      <c r="I2544" t="b">
        <f t="shared" si="39"/>
        <v>0</v>
      </c>
    </row>
    <row r="2545" spans="1:9" x14ac:dyDescent="0.2">
      <c r="A2545" t="s">
        <v>313</v>
      </c>
      <c r="B2545" t="s">
        <v>314</v>
      </c>
      <c r="C2545" t="s">
        <v>315</v>
      </c>
      <c r="D2545" t="s">
        <v>316</v>
      </c>
      <c r="E2545" t="s">
        <v>4</v>
      </c>
      <c r="F2545">
        <v>207</v>
      </c>
      <c r="G2545">
        <v>630</v>
      </c>
      <c r="H2545" t="s">
        <v>13</v>
      </c>
      <c r="I2545" t="b">
        <f t="shared" si="39"/>
        <v>0</v>
      </c>
    </row>
    <row r="2546" spans="1:9" x14ac:dyDescent="0.2">
      <c r="A2546" t="s">
        <v>2663</v>
      </c>
      <c r="B2546" t="s">
        <v>2664</v>
      </c>
      <c r="C2546" t="s">
        <v>2665</v>
      </c>
      <c r="D2546" t="s">
        <v>2666</v>
      </c>
      <c r="E2546" t="s">
        <v>4</v>
      </c>
      <c r="F2546">
        <v>7</v>
      </c>
      <c r="G2546">
        <v>282</v>
      </c>
      <c r="H2546" t="s">
        <v>13</v>
      </c>
      <c r="I2546" t="b">
        <f t="shared" si="39"/>
        <v>0</v>
      </c>
    </row>
    <row r="2547" spans="1:9" x14ac:dyDescent="0.2">
      <c r="A2547" t="s">
        <v>3910</v>
      </c>
      <c r="B2547" t="s">
        <v>3911</v>
      </c>
      <c r="C2547" t="s">
        <v>3912</v>
      </c>
      <c r="D2547" t="s">
        <v>3</v>
      </c>
      <c r="E2547" t="s">
        <v>4</v>
      </c>
      <c r="F2547">
        <v>748</v>
      </c>
      <c r="G2547">
        <v>1337</v>
      </c>
      <c r="H2547" t="s">
        <v>13</v>
      </c>
      <c r="I2547" t="b">
        <f t="shared" si="39"/>
        <v>0</v>
      </c>
    </row>
    <row r="2548" spans="1:9" x14ac:dyDescent="0.2">
      <c r="A2548" t="s">
        <v>4439</v>
      </c>
      <c r="B2548" t="s">
        <v>4440</v>
      </c>
      <c r="C2548" t="s">
        <v>648</v>
      </c>
      <c r="D2548" t="s">
        <v>320</v>
      </c>
      <c r="E2548" t="s">
        <v>4</v>
      </c>
      <c r="F2548">
        <v>194</v>
      </c>
      <c r="G2548">
        <v>297</v>
      </c>
      <c r="H2548" t="s">
        <v>13</v>
      </c>
      <c r="I2548" t="b">
        <f t="shared" si="39"/>
        <v>0</v>
      </c>
    </row>
    <row r="2549" spans="1:9" x14ac:dyDescent="0.2">
      <c r="A2549" t="s">
        <v>1954</v>
      </c>
      <c r="B2549" t="s">
        <v>1955</v>
      </c>
      <c r="C2549" t="s">
        <v>1545</v>
      </c>
      <c r="D2549" t="s">
        <v>3</v>
      </c>
      <c r="E2549" t="s">
        <v>4</v>
      </c>
      <c r="F2549">
        <v>4</v>
      </c>
      <c r="G2549">
        <v>113</v>
      </c>
      <c r="H2549" t="s">
        <v>13</v>
      </c>
      <c r="I2549" t="b">
        <f t="shared" si="39"/>
        <v>0</v>
      </c>
    </row>
    <row r="2550" spans="1:9" x14ac:dyDescent="0.2">
      <c r="A2550" t="s">
        <v>860</v>
      </c>
      <c r="B2550" t="s">
        <v>861</v>
      </c>
      <c r="C2550" t="s">
        <v>862</v>
      </c>
      <c r="D2550" t="s">
        <v>3</v>
      </c>
      <c r="E2550" t="s">
        <v>4</v>
      </c>
      <c r="F2550">
        <v>280</v>
      </c>
      <c r="G2550">
        <v>505</v>
      </c>
      <c r="H2550" t="s">
        <v>13</v>
      </c>
      <c r="I2550" t="b">
        <f t="shared" si="39"/>
        <v>0</v>
      </c>
    </row>
    <row r="2551" spans="1:9" x14ac:dyDescent="0.2">
      <c r="A2551" t="s">
        <v>3977</v>
      </c>
      <c r="B2551" t="s">
        <v>3978</v>
      </c>
      <c r="C2551" t="s">
        <v>3076</v>
      </c>
      <c r="D2551" t="s">
        <v>510</v>
      </c>
      <c r="E2551" t="s">
        <v>4</v>
      </c>
      <c r="F2551">
        <v>8</v>
      </c>
      <c r="G2551">
        <v>35</v>
      </c>
      <c r="H2551" t="s">
        <v>13</v>
      </c>
      <c r="I2551" t="b">
        <f t="shared" si="39"/>
        <v>0</v>
      </c>
    </row>
    <row r="2552" spans="1:9" x14ac:dyDescent="0.2">
      <c r="A2552" t="s">
        <v>6245</v>
      </c>
      <c r="B2552" t="s">
        <v>6246</v>
      </c>
      <c r="C2552" t="s">
        <v>6247</v>
      </c>
      <c r="D2552" t="s">
        <v>3</v>
      </c>
      <c r="E2552" t="s">
        <v>4</v>
      </c>
      <c r="F2552">
        <v>3</v>
      </c>
      <c r="G2552">
        <v>15</v>
      </c>
      <c r="H2552" t="s">
        <v>50</v>
      </c>
      <c r="I2552" t="b">
        <f t="shared" si="39"/>
        <v>0</v>
      </c>
    </row>
    <row r="2553" spans="1:9" x14ac:dyDescent="0.2">
      <c r="A2553" t="s">
        <v>1078</v>
      </c>
      <c r="B2553" t="s">
        <v>1079</v>
      </c>
      <c r="C2553" t="s">
        <v>279</v>
      </c>
      <c r="D2553" t="s">
        <v>569</v>
      </c>
      <c r="E2553" t="s">
        <v>4</v>
      </c>
      <c r="F2553">
        <v>299</v>
      </c>
      <c r="G2553">
        <v>310</v>
      </c>
      <c r="H2553" t="s">
        <v>13</v>
      </c>
      <c r="I2553" t="b">
        <f t="shared" si="39"/>
        <v>0</v>
      </c>
    </row>
    <row r="2554" spans="1:9" x14ac:dyDescent="0.2">
      <c r="A2554" t="s">
        <v>5238</v>
      </c>
      <c r="B2554" t="s">
        <v>5239</v>
      </c>
      <c r="C2554" t="s">
        <v>5167</v>
      </c>
      <c r="D2554" t="s">
        <v>5240</v>
      </c>
      <c r="E2554" t="s">
        <v>4</v>
      </c>
      <c r="F2554">
        <v>224</v>
      </c>
      <c r="G2554">
        <v>572</v>
      </c>
      <c r="H2554" t="s">
        <v>13</v>
      </c>
      <c r="I2554" t="b">
        <f t="shared" si="39"/>
        <v>0</v>
      </c>
    </row>
    <row r="2555" spans="1:9" x14ac:dyDescent="0.2">
      <c r="A2555" t="s">
        <v>3626</v>
      </c>
      <c r="B2555" t="s">
        <v>3627</v>
      </c>
      <c r="C2555" t="s">
        <v>439</v>
      </c>
      <c r="D2555" t="s">
        <v>3628</v>
      </c>
      <c r="E2555" t="s">
        <v>4</v>
      </c>
      <c r="F2555">
        <v>7</v>
      </c>
      <c r="G2555">
        <v>13</v>
      </c>
      <c r="H2555" t="s">
        <v>2184</v>
      </c>
      <c r="I2555" t="b">
        <f t="shared" si="39"/>
        <v>0</v>
      </c>
    </row>
    <row r="2556" spans="1:9" x14ac:dyDescent="0.2">
      <c r="A2556" t="s">
        <v>4554</v>
      </c>
      <c r="B2556" t="s">
        <v>4555</v>
      </c>
      <c r="C2556" t="s">
        <v>410</v>
      </c>
      <c r="D2556" t="s">
        <v>4556</v>
      </c>
      <c r="E2556" t="s">
        <v>4</v>
      </c>
      <c r="F2556">
        <v>2089</v>
      </c>
      <c r="G2556">
        <v>4647</v>
      </c>
      <c r="H2556" t="s">
        <v>13</v>
      </c>
      <c r="I2556" t="b">
        <f t="shared" si="39"/>
        <v>0</v>
      </c>
    </row>
    <row r="2557" spans="1:9" x14ac:dyDescent="0.2">
      <c r="A2557" t="s">
        <v>3246</v>
      </c>
      <c r="B2557" t="s">
        <v>3247</v>
      </c>
      <c r="C2557" t="s">
        <v>3248</v>
      </c>
      <c r="D2557" t="s">
        <v>3</v>
      </c>
      <c r="E2557" t="s">
        <v>4</v>
      </c>
      <c r="F2557">
        <v>10</v>
      </c>
      <c r="G2557">
        <v>28</v>
      </c>
      <c r="H2557" t="s">
        <v>13</v>
      </c>
      <c r="I2557" t="b">
        <f t="shared" si="39"/>
        <v>0</v>
      </c>
    </row>
    <row r="2558" spans="1:9" x14ac:dyDescent="0.2">
      <c r="A2558" t="s">
        <v>3927</v>
      </c>
      <c r="B2558" t="s">
        <v>3928</v>
      </c>
      <c r="C2558" t="s">
        <v>279</v>
      </c>
      <c r="D2558" t="s">
        <v>98</v>
      </c>
      <c r="E2558" t="s">
        <v>4</v>
      </c>
      <c r="F2558">
        <v>707</v>
      </c>
      <c r="G2558">
        <v>0</v>
      </c>
      <c r="H2558" t="s">
        <v>13</v>
      </c>
      <c r="I2558" t="b">
        <f t="shared" si="39"/>
        <v>0</v>
      </c>
    </row>
    <row r="2559" spans="1:9" x14ac:dyDescent="0.2">
      <c r="A2559" t="s">
        <v>3162</v>
      </c>
      <c r="B2559" t="s">
        <v>3163</v>
      </c>
      <c r="C2559" t="s">
        <v>3164</v>
      </c>
      <c r="D2559" t="s">
        <v>3165</v>
      </c>
      <c r="E2559" t="s">
        <v>4</v>
      </c>
      <c r="F2559">
        <v>66</v>
      </c>
      <c r="G2559">
        <v>97</v>
      </c>
      <c r="H2559" t="s">
        <v>13</v>
      </c>
      <c r="I2559" t="b">
        <f t="shared" si="39"/>
        <v>0</v>
      </c>
    </row>
    <row r="2560" spans="1:9" x14ac:dyDescent="0.2">
      <c r="A2560" t="s">
        <v>6750</v>
      </c>
      <c r="B2560" t="s">
        <v>6751</v>
      </c>
      <c r="C2560" t="s">
        <v>2558</v>
      </c>
      <c r="D2560" t="s">
        <v>3</v>
      </c>
      <c r="E2560" t="s">
        <v>4</v>
      </c>
      <c r="F2560">
        <v>891</v>
      </c>
      <c r="G2560">
        <v>1448</v>
      </c>
      <c r="H2560" t="s">
        <v>13</v>
      </c>
      <c r="I2560" t="b">
        <f t="shared" si="39"/>
        <v>1</v>
      </c>
    </row>
    <row r="2561" spans="1:9" x14ac:dyDescent="0.2">
      <c r="A2561" t="s">
        <v>7233</v>
      </c>
      <c r="B2561" t="s">
        <v>7234</v>
      </c>
      <c r="C2561" t="s">
        <v>2558</v>
      </c>
      <c r="D2561" t="s">
        <v>3</v>
      </c>
      <c r="E2561" t="s">
        <v>4</v>
      </c>
      <c r="F2561">
        <v>894</v>
      </c>
      <c r="G2561">
        <v>1448</v>
      </c>
      <c r="H2561" t="s">
        <v>13</v>
      </c>
      <c r="I2561" t="b">
        <f t="shared" si="39"/>
        <v>0</v>
      </c>
    </row>
    <row r="2562" spans="1:9" x14ac:dyDescent="0.2">
      <c r="A2562" t="s">
        <v>4353</v>
      </c>
      <c r="B2562" t="s">
        <v>4354</v>
      </c>
      <c r="C2562" t="s">
        <v>3821</v>
      </c>
      <c r="D2562" t="s">
        <v>4355</v>
      </c>
      <c r="E2562" t="s">
        <v>4</v>
      </c>
      <c r="F2562">
        <v>33</v>
      </c>
      <c r="G2562">
        <v>428</v>
      </c>
      <c r="H2562" t="s">
        <v>13</v>
      </c>
      <c r="I2562" t="b">
        <f t="shared" si="39"/>
        <v>0</v>
      </c>
    </row>
    <row r="2563" spans="1:9" x14ac:dyDescent="0.2">
      <c r="A2563" t="s">
        <v>4963</v>
      </c>
      <c r="B2563" t="s">
        <v>4964</v>
      </c>
      <c r="C2563" t="s">
        <v>773</v>
      </c>
      <c r="D2563" t="s">
        <v>3</v>
      </c>
      <c r="E2563" t="s">
        <v>4</v>
      </c>
      <c r="F2563">
        <v>1</v>
      </c>
      <c r="G2563">
        <v>0</v>
      </c>
      <c r="H2563" t="s">
        <v>13</v>
      </c>
      <c r="I2563" t="b">
        <f t="shared" ref="I2563:I2626" si="40">isDup(B2563, B2564, 0.7)</f>
        <v>0</v>
      </c>
    </row>
    <row r="2564" spans="1:9" x14ac:dyDescent="0.2">
      <c r="A2564" t="s">
        <v>4618</v>
      </c>
      <c r="B2564" t="s">
        <v>4619</v>
      </c>
      <c r="C2564" t="s">
        <v>2900</v>
      </c>
      <c r="D2564" t="s">
        <v>4620</v>
      </c>
      <c r="E2564" t="s">
        <v>4</v>
      </c>
      <c r="F2564">
        <v>362</v>
      </c>
      <c r="G2564">
        <v>652</v>
      </c>
      <c r="H2564" t="s">
        <v>13</v>
      </c>
      <c r="I2564" t="b">
        <f t="shared" si="40"/>
        <v>0</v>
      </c>
    </row>
    <row r="2565" spans="1:9" x14ac:dyDescent="0.2">
      <c r="A2565" t="s">
        <v>3548</v>
      </c>
      <c r="B2565" t="s">
        <v>3549</v>
      </c>
      <c r="C2565" t="s">
        <v>226</v>
      </c>
      <c r="D2565" t="s">
        <v>3550</v>
      </c>
      <c r="E2565" t="s">
        <v>4</v>
      </c>
      <c r="F2565">
        <v>3236</v>
      </c>
      <c r="G2565">
        <v>3407</v>
      </c>
      <c r="H2565" t="s">
        <v>13</v>
      </c>
      <c r="I2565" t="b">
        <f t="shared" si="40"/>
        <v>0</v>
      </c>
    </row>
    <row r="2566" spans="1:9" x14ac:dyDescent="0.2">
      <c r="A2566" t="s">
        <v>4449</v>
      </c>
      <c r="B2566" t="s">
        <v>4450</v>
      </c>
      <c r="C2566" t="s">
        <v>275</v>
      </c>
      <c r="D2566" t="s">
        <v>3</v>
      </c>
      <c r="E2566" t="s">
        <v>4</v>
      </c>
      <c r="F2566">
        <v>29984</v>
      </c>
      <c r="G2566">
        <v>981</v>
      </c>
      <c r="H2566" t="s">
        <v>50</v>
      </c>
      <c r="I2566" t="b">
        <f t="shared" si="40"/>
        <v>1</v>
      </c>
    </row>
    <row r="2567" spans="1:9" x14ac:dyDescent="0.2">
      <c r="A2567" t="s">
        <v>7172</v>
      </c>
      <c r="B2567" t="s">
        <v>7173</v>
      </c>
      <c r="C2567" t="s">
        <v>275</v>
      </c>
      <c r="D2567" t="s">
        <v>3</v>
      </c>
      <c r="E2567" t="s">
        <v>4</v>
      </c>
      <c r="F2567">
        <v>29718</v>
      </c>
      <c r="G2567">
        <v>981</v>
      </c>
      <c r="H2567" t="s">
        <v>50</v>
      </c>
      <c r="I2567" t="b">
        <f t="shared" si="40"/>
        <v>1</v>
      </c>
    </row>
    <row r="2568" spans="1:9" x14ac:dyDescent="0.2">
      <c r="A2568" t="s">
        <v>5133</v>
      </c>
      <c r="B2568" t="s">
        <v>5134</v>
      </c>
      <c r="C2568" t="s">
        <v>615</v>
      </c>
      <c r="D2568" t="s">
        <v>616</v>
      </c>
      <c r="E2568" t="s">
        <v>4</v>
      </c>
      <c r="F2568">
        <v>14</v>
      </c>
      <c r="G2568">
        <v>27</v>
      </c>
      <c r="H2568" t="s">
        <v>50</v>
      </c>
      <c r="I2568" t="b">
        <f t="shared" si="40"/>
        <v>0</v>
      </c>
    </row>
    <row r="2569" spans="1:9" x14ac:dyDescent="0.2">
      <c r="A2569" t="s">
        <v>3431</v>
      </c>
      <c r="B2569" t="s">
        <v>3432</v>
      </c>
      <c r="C2569" t="s">
        <v>197</v>
      </c>
      <c r="D2569" t="s">
        <v>3</v>
      </c>
      <c r="E2569" t="s">
        <v>4</v>
      </c>
      <c r="F2569">
        <v>153</v>
      </c>
      <c r="G2569">
        <v>500</v>
      </c>
      <c r="H2569" t="s">
        <v>13</v>
      </c>
      <c r="I2569" t="b">
        <f t="shared" si="40"/>
        <v>0</v>
      </c>
    </row>
    <row r="2570" spans="1:9" x14ac:dyDescent="0.2">
      <c r="A2570" t="s">
        <v>3779</v>
      </c>
      <c r="B2570" t="s">
        <v>3780</v>
      </c>
      <c r="C2570" t="s">
        <v>3769</v>
      </c>
      <c r="D2570" t="s">
        <v>3781</v>
      </c>
      <c r="E2570" t="s">
        <v>4</v>
      </c>
      <c r="F2570">
        <v>2014</v>
      </c>
      <c r="G2570">
        <v>402</v>
      </c>
      <c r="H2570" t="s">
        <v>13</v>
      </c>
      <c r="I2570" t="b">
        <f t="shared" si="40"/>
        <v>0</v>
      </c>
    </row>
    <row r="2571" spans="1:9" x14ac:dyDescent="0.2">
      <c r="A2571" t="s">
        <v>4857</v>
      </c>
      <c r="B2571" t="s">
        <v>4858</v>
      </c>
      <c r="C2571" t="s">
        <v>3443</v>
      </c>
      <c r="D2571" t="s">
        <v>3716</v>
      </c>
      <c r="E2571" t="s">
        <v>4</v>
      </c>
      <c r="F2571">
        <v>2423</v>
      </c>
      <c r="G2571">
        <v>1340</v>
      </c>
      <c r="H2571" t="s">
        <v>13</v>
      </c>
      <c r="I2571" t="b">
        <f t="shared" si="40"/>
        <v>0</v>
      </c>
    </row>
    <row r="2572" spans="1:9" x14ac:dyDescent="0.2">
      <c r="A2572" t="s">
        <v>747</v>
      </c>
      <c r="B2572" t="s">
        <v>748</v>
      </c>
      <c r="C2572" t="s">
        <v>749</v>
      </c>
      <c r="D2572" t="s">
        <v>3</v>
      </c>
      <c r="E2572" t="s">
        <v>4</v>
      </c>
      <c r="F2572">
        <v>32</v>
      </c>
      <c r="G2572">
        <v>0</v>
      </c>
      <c r="H2572" t="s">
        <v>13</v>
      </c>
      <c r="I2572" t="b">
        <f t="shared" si="40"/>
        <v>0</v>
      </c>
    </row>
    <row r="2573" spans="1:9" x14ac:dyDescent="0.2">
      <c r="A2573" t="s">
        <v>2072</v>
      </c>
      <c r="B2573" t="s">
        <v>2073</v>
      </c>
      <c r="C2573" t="s">
        <v>293</v>
      </c>
      <c r="D2573" t="s">
        <v>3</v>
      </c>
      <c r="E2573" t="s">
        <v>4</v>
      </c>
      <c r="F2573">
        <v>3634</v>
      </c>
      <c r="G2573">
        <v>3732</v>
      </c>
      <c r="H2573" t="s">
        <v>13</v>
      </c>
      <c r="I2573" t="b">
        <f t="shared" si="40"/>
        <v>0</v>
      </c>
    </row>
    <row r="2574" spans="1:9" x14ac:dyDescent="0.2">
      <c r="A2574" t="s">
        <v>3855</v>
      </c>
      <c r="B2574" t="s">
        <v>3856</v>
      </c>
      <c r="C2574" t="s">
        <v>3857</v>
      </c>
      <c r="D2574" t="s">
        <v>3</v>
      </c>
      <c r="E2574" t="s">
        <v>4</v>
      </c>
      <c r="F2574">
        <v>21</v>
      </c>
      <c r="G2574">
        <v>137</v>
      </c>
      <c r="H2574" t="s">
        <v>86</v>
      </c>
      <c r="I2574" t="b">
        <f t="shared" si="40"/>
        <v>0</v>
      </c>
    </row>
    <row r="2575" spans="1:9" x14ac:dyDescent="0.2">
      <c r="A2575" t="s">
        <v>6202</v>
      </c>
      <c r="B2575" t="s">
        <v>6203</v>
      </c>
      <c r="C2575" t="s">
        <v>226</v>
      </c>
      <c r="D2575" t="s">
        <v>6204</v>
      </c>
      <c r="E2575" t="s">
        <v>4</v>
      </c>
      <c r="F2575">
        <v>390</v>
      </c>
      <c r="G2575">
        <v>500</v>
      </c>
      <c r="H2575" t="s">
        <v>13</v>
      </c>
      <c r="I2575" t="b">
        <f t="shared" si="40"/>
        <v>0</v>
      </c>
    </row>
    <row r="2576" spans="1:9" x14ac:dyDescent="0.2">
      <c r="A2576" t="s">
        <v>206</v>
      </c>
      <c r="B2576" t="s">
        <v>207</v>
      </c>
      <c r="C2576" t="s">
        <v>208</v>
      </c>
      <c r="D2576" t="s">
        <v>209</v>
      </c>
      <c r="E2576" t="s">
        <v>4</v>
      </c>
      <c r="F2576">
        <v>562</v>
      </c>
      <c r="G2576">
        <v>588</v>
      </c>
      <c r="H2576" t="s">
        <v>13</v>
      </c>
      <c r="I2576" t="b">
        <f t="shared" si="40"/>
        <v>0</v>
      </c>
    </row>
    <row r="2577" spans="1:9" x14ac:dyDescent="0.2">
      <c r="A2577" t="s">
        <v>1140</v>
      </c>
      <c r="B2577" t="s">
        <v>1141</v>
      </c>
      <c r="C2577" t="s">
        <v>1142</v>
      </c>
      <c r="D2577" t="s">
        <v>1143</v>
      </c>
      <c r="E2577" t="s">
        <v>4</v>
      </c>
      <c r="F2577">
        <v>4774</v>
      </c>
      <c r="G2577">
        <v>1095</v>
      </c>
      <c r="H2577" t="s">
        <v>13</v>
      </c>
      <c r="I2577" t="b">
        <f t="shared" si="40"/>
        <v>0</v>
      </c>
    </row>
    <row r="2578" spans="1:9" x14ac:dyDescent="0.2">
      <c r="A2578" t="s">
        <v>5034</v>
      </c>
      <c r="B2578" t="s">
        <v>5035</v>
      </c>
      <c r="C2578" t="s">
        <v>5036</v>
      </c>
      <c r="D2578" t="s">
        <v>5037</v>
      </c>
      <c r="E2578" t="s">
        <v>4</v>
      </c>
      <c r="F2578">
        <v>45</v>
      </c>
      <c r="G2578">
        <v>386</v>
      </c>
      <c r="H2578" t="s">
        <v>13</v>
      </c>
      <c r="I2578" t="b">
        <f t="shared" si="40"/>
        <v>0</v>
      </c>
    </row>
    <row r="2579" spans="1:9" x14ac:dyDescent="0.2">
      <c r="A2579" t="s">
        <v>3633</v>
      </c>
      <c r="B2579" t="s">
        <v>3634</v>
      </c>
      <c r="C2579" t="s">
        <v>3635</v>
      </c>
      <c r="D2579" t="s">
        <v>538</v>
      </c>
      <c r="E2579" t="s">
        <v>4</v>
      </c>
      <c r="F2579">
        <v>126</v>
      </c>
      <c r="G2579">
        <v>240</v>
      </c>
      <c r="H2579" t="s">
        <v>13</v>
      </c>
      <c r="I2579" t="b">
        <f t="shared" si="40"/>
        <v>0</v>
      </c>
    </row>
    <row r="2580" spans="1:9" x14ac:dyDescent="0.2">
      <c r="A2580" t="s">
        <v>2772</v>
      </c>
      <c r="B2580" t="s">
        <v>2773</v>
      </c>
      <c r="C2580" t="s">
        <v>2447</v>
      </c>
      <c r="D2580" t="s">
        <v>2774</v>
      </c>
      <c r="E2580" t="s">
        <v>4</v>
      </c>
      <c r="F2580">
        <v>131</v>
      </c>
      <c r="G2580">
        <v>317</v>
      </c>
      <c r="H2580" t="s">
        <v>13</v>
      </c>
      <c r="I2580" t="b">
        <f t="shared" si="40"/>
        <v>0</v>
      </c>
    </row>
    <row r="2581" spans="1:9" x14ac:dyDescent="0.2">
      <c r="A2581" t="s">
        <v>4632</v>
      </c>
      <c r="B2581" t="s">
        <v>4633</v>
      </c>
      <c r="C2581" t="s">
        <v>4495</v>
      </c>
      <c r="D2581" t="s">
        <v>1817</v>
      </c>
      <c r="E2581" t="s">
        <v>4</v>
      </c>
      <c r="F2581">
        <v>2629</v>
      </c>
      <c r="G2581">
        <v>1126</v>
      </c>
      <c r="H2581" t="s">
        <v>13</v>
      </c>
      <c r="I2581" t="b">
        <f t="shared" si="40"/>
        <v>0</v>
      </c>
    </row>
    <row r="2582" spans="1:9" x14ac:dyDescent="0.2">
      <c r="A2582" t="s">
        <v>5513</v>
      </c>
      <c r="B2582" t="s">
        <v>5514</v>
      </c>
      <c r="C2582" t="s">
        <v>3821</v>
      </c>
      <c r="D2582" t="s">
        <v>3</v>
      </c>
      <c r="E2582" t="s">
        <v>4</v>
      </c>
      <c r="F2582">
        <v>117</v>
      </c>
      <c r="G2582">
        <v>328</v>
      </c>
      <c r="H2582" t="s">
        <v>645</v>
      </c>
      <c r="I2582" t="b">
        <f t="shared" si="40"/>
        <v>0</v>
      </c>
    </row>
    <row r="2583" spans="1:9" x14ac:dyDescent="0.2">
      <c r="A2583" t="s">
        <v>3793</v>
      </c>
      <c r="B2583" t="s">
        <v>3794</v>
      </c>
      <c r="C2583" t="s">
        <v>1334</v>
      </c>
      <c r="D2583" t="s">
        <v>3</v>
      </c>
      <c r="E2583" t="s">
        <v>4</v>
      </c>
      <c r="F2583">
        <v>41</v>
      </c>
      <c r="G2583">
        <v>42</v>
      </c>
      <c r="H2583" t="s">
        <v>13</v>
      </c>
      <c r="I2583" t="b">
        <f t="shared" si="40"/>
        <v>1</v>
      </c>
    </row>
    <row r="2584" spans="1:9" x14ac:dyDescent="0.2">
      <c r="A2584" t="s">
        <v>3297</v>
      </c>
      <c r="B2584" t="s">
        <v>3298</v>
      </c>
      <c r="C2584" t="s">
        <v>3299</v>
      </c>
      <c r="D2584" t="s">
        <v>3300</v>
      </c>
      <c r="E2584" t="s">
        <v>4</v>
      </c>
      <c r="F2584">
        <v>7127</v>
      </c>
      <c r="G2584">
        <v>610</v>
      </c>
      <c r="H2584" t="s">
        <v>13</v>
      </c>
      <c r="I2584" t="b">
        <f t="shared" si="40"/>
        <v>0</v>
      </c>
    </row>
    <row r="2585" spans="1:9" x14ac:dyDescent="0.2">
      <c r="A2585" t="s">
        <v>3979</v>
      </c>
      <c r="B2585" t="s">
        <v>3980</v>
      </c>
      <c r="C2585" t="s">
        <v>1099</v>
      </c>
      <c r="D2585" t="s">
        <v>3981</v>
      </c>
      <c r="E2585" t="s">
        <v>4</v>
      </c>
      <c r="F2585">
        <v>241</v>
      </c>
      <c r="G2585">
        <v>733</v>
      </c>
      <c r="H2585" t="s">
        <v>13</v>
      </c>
      <c r="I2585" t="b">
        <f t="shared" si="40"/>
        <v>0</v>
      </c>
    </row>
    <row r="2586" spans="1:9" x14ac:dyDescent="0.2">
      <c r="A2586" t="s">
        <v>5025</v>
      </c>
      <c r="B2586" t="s">
        <v>5026</v>
      </c>
      <c r="C2586" t="s">
        <v>3253</v>
      </c>
      <c r="D2586" t="s">
        <v>2565</v>
      </c>
      <c r="E2586" t="s">
        <v>4</v>
      </c>
      <c r="F2586">
        <v>74</v>
      </c>
      <c r="G2586">
        <v>1238</v>
      </c>
      <c r="H2586" t="s">
        <v>50</v>
      </c>
      <c r="I2586" t="b">
        <f t="shared" si="40"/>
        <v>0</v>
      </c>
    </row>
    <row r="2587" spans="1:9" x14ac:dyDescent="0.2">
      <c r="A2587" t="s">
        <v>3770</v>
      </c>
      <c r="B2587" t="s">
        <v>3771</v>
      </c>
      <c r="C2587" t="s">
        <v>3772</v>
      </c>
      <c r="D2587" t="s">
        <v>1372</v>
      </c>
      <c r="E2587" t="s">
        <v>4</v>
      </c>
      <c r="F2587">
        <v>73</v>
      </c>
      <c r="G2587">
        <v>420</v>
      </c>
      <c r="H2587" t="s">
        <v>13</v>
      </c>
      <c r="I2587" t="b">
        <f t="shared" si="40"/>
        <v>0</v>
      </c>
    </row>
    <row r="2588" spans="1:9" x14ac:dyDescent="0.2">
      <c r="A2588" t="s">
        <v>5207</v>
      </c>
      <c r="B2588" t="s">
        <v>5208</v>
      </c>
      <c r="C2588" t="s">
        <v>3248</v>
      </c>
      <c r="D2588" t="s">
        <v>5209</v>
      </c>
      <c r="E2588" t="s">
        <v>4</v>
      </c>
      <c r="F2588">
        <v>258</v>
      </c>
      <c r="G2588">
        <v>237</v>
      </c>
      <c r="H2588" t="s">
        <v>13</v>
      </c>
      <c r="I2588" t="b">
        <f t="shared" si="40"/>
        <v>0</v>
      </c>
    </row>
    <row r="2589" spans="1:9" x14ac:dyDescent="0.2">
      <c r="A2589" t="s">
        <v>3583</v>
      </c>
      <c r="B2589" t="s">
        <v>3584</v>
      </c>
      <c r="C2589" t="s">
        <v>3282</v>
      </c>
      <c r="D2589" t="s">
        <v>3585</v>
      </c>
      <c r="E2589" t="s">
        <v>4</v>
      </c>
      <c r="F2589">
        <v>1135</v>
      </c>
      <c r="G2589">
        <v>336</v>
      </c>
      <c r="H2589" t="s">
        <v>13</v>
      </c>
      <c r="I2589" t="b">
        <f t="shared" si="40"/>
        <v>0</v>
      </c>
    </row>
    <row r="2590" spans="1:9" x14ac:dyDescent="0.2">
      <c r="A2590" t="s">
        <v>4374</v>
      </c>
      <c r="B2590" t="s">
        <v>4375</v>
      </c>
      <c r="C2590" t="s">
        <v>3106</v>
      </c>
      <c r="D2590" t="s">
        <v>4376</v>
      </c>
      <c r="E2590" t="s">
        <v>4</v>
      </c>
      <c r="F2590">
        <v>436</v>
      </c>
      <c r="G2590">
        <v>1289</v>
      </c>
      <c r="H2590" t="s">
        <v>13</v>
      </c>
      <c r="I2590" t="b">
        <f t="shared" si="40"/>
        <v>0</v>
      </c>
    </row>
    <row r="2591" spans="1:9" x14ac:dyDescent="0.2">
      <c r="A2591" t="s">
        <v>4498</v>
      </c>
      <c r="B2591" t="s">
        <v>4499</v>
      </c>
      <c r="C2591" t="s">
        <v>137</v>
      </c>
      <c r="D2591" t="s">
        <v>3</v>
      </c>
      <c r="E2591" t="s">
        <v>4</v>
      </c>
      <c r="F2591">
        <v>12</v>
      </c>
      <c r="G2591">
        <v>51</v>
      </c>
      <c r="H2591" t="s">
        <v>13</v>
      </c>
      <c r="I2591" t="b">
        <f t="shared" si="40"/>
        <v>0</v>
      </c>
    </row>
    <row r="2592" spans="1:9" x14ac:dyDescent="0.2">
      <c r="A2592" t="s">
        <v>1755</v>
      </c>
      <c r="B2592" t="s">
        <v>1756</v>
      </c>
      <c r="C2592" t="s">
        <v>1757</v>
      </c>
      <c r="D2592" t="s">
        <v>3</v>
      </c>
      <c r="E2592" t="s">
        <v>4</v>
      </c>
      <c r="F2592">
        <v>194</v>
      </c>
      <c r="G2592">
        <v>89</v>
      </c>
      <c r="H2592" t="s">
        <v>1584</v>
      </c>
      <c r="I2592" t="b">
        <f t="shared" si="40"/>
        <v>0</v>
      </c>
    </row>
    <row r="2593" spans="1:9" x14ac:dyDescent="0.2">
      <c r="A2593" t="s">
        <v>5337</v>
      </c>
      <c r="B2593" t="s">
        <v>5338</v>
      </c>
      <c r="C2593" t="s">
        <v>5339</v>
      </c>
      <c r="D2593" t="s">
        <v>5340</v>
      </c>
      <c r="E2593" t="s">
        <v>4</v>
      </c>
      <c r="F2593">
        <v>323</v>
      </c>
      <c r="G2593">
        <v>526</v>
      </c>
      <c r="H2593" t="s">
        <v>13</v>
      </c>
      <c r="I2593" t="b">
        <f t="shared" si="40"/>
        <v>0</v>
      </c>
    </row>
    <row r="2594" spans="1:9" x14ac:dyDescent="0.2">
      <c r="A2594" t="s">
        <v>400</v>
      </c>
      <c r="B2594" t="s">
        <v>401</v>
      </c>
      <c r="C2594" t="s">
        <v>402</v>
      </c>
      <c r="D2594" t="s">
        <v>403</v>
      </c>
      <c r="E2594" t="s">
        <v>4</v>
      </c>
      <c r="F2594">
        <v>1</v>
      </c>
      <c r="G2594">
        <v>3</v>
      </c>
      <c r="H2594" t="s">
        <v>13</v>
      </c>
      <c r="I2594" t="b">
        <f t="shared" si="40"/>
        <v>0</v>
      </c>
    </row>
    <row r="2595" spans="1:9" x14ac:dyDescent="0.2">
      <c r="A2595" t="s">
        <v>5821</v>
      </c>
      <c r="B2595" t="s">
        <v>5822</v>
      </c>
      <c r="C2595" t="s">
        <v>5823</v>
      </c>
      <c r="D2595" t="s">
        <v>3</v>
      </c>
      <c r="E2595" t="s">
        <v>4</v>
      </c>
      <c r="F2595">
        <v>563</v>
      </c>
      <c r="G2595">
        <v>1699</v>
      </c>
      <c r="H2595" t="s">
        <v>4417</v>
      </c>
      <c r="I2595" t="b">
        <f t="shared" si="40"/>
        <v>0</v>
      </c>
    </row>
    <row r="2596" spans="1:9" x14ac:dyDescent="0.2">
      <c r="A2596" t="s">
        <v>87</v>
      </c>
      <c r="B2596" t="s">
        <v>88</v>
      </c>
      <c r="C2596" t="s">
        <v>89</v>
      </c>
      <c r="D2596" t="s">
        <v>90</v>
      </c>
      <c r="E2596" t="s">
        <v>4</v>
      </c>
      <c r="F2596">
        <v>1196</v>
      </c>
      <c r="G2596">
        <v>403</v>
      </c>
      <c r="H2596" t="s">
        <v>13</v>
      </c>
      <c r="I2596" t="b">
        <f t="shared" si="40"/>
        <v>0</v>
      </c>
    </row>
    <row r="2597" spans="1:9" x14ac:dyDescent="0.2">
      <c r="A2597" t="s">
        <v>4115</v>
      </c>
      <c r="B2597" t="s">
        <v>4116</v>
      </c>
      <c r="C2597" t="s">
        <v>1481</v>
      </c>
      <c r="D2597" t="s">
        <v>4100</v>
      </c>
      <c r="E2597" t="s">
        <v>4</v>
      </c>
      <c r="F2597">
        <v>13777</v>
      </c>
      <c r="G2597">
        <v>1750</v>
      </c>
      <c r="H2597" t="s">
        <v>13</v>
      </c>
      <c r="I2597" t="b">
        <f t="shared" si="40"/>
        <v>0</v>
      </c>
    </row>
    <row r="2598" spans="1:9" x14ac:dyDescent="0.2">
      <c r="A2598" t="s">
        <v>3815</v>
      </c>
      <c r="B2598" t="s">
        <v>3816</v>
      </c>
      <c r="C2598" t="s">
        <v>3817</v>
      </c>
      <c r="D2598" t="s">
        <v>3818</v>
      </c>
      <c r="E2598" t="s">
        <v>4</v>
      </c>
      <c r="F2598">
        <v>1629</v>
      </c>
      <c r="G2598">
        <v>2295</v>
      </c>
      <c r="H2598" t="s">
        <v>13</v>
      </c>
      <c r="I2598" t="b">
        <f t="shared" si="40"/>
        <v>0</v>
      </c>
    </row>
    <row r="2599" spans="1:9" x14ac:dyDescent="0.2">
      <c r="A2599" t="s">
        <v>6030</v>
      </c>
      <c r="B2599" t="s">
        <v>6031</v>
      </c>
      <c r="C2599" t="s">
        <v>4363</v>
      </c>
      <c r="D2599" t="s">
        <v>3</v>
      </c>
      <c r="E2599" t="s">
        <v>4</v>
      </c>
      <c r="F2599">
        <v>8</v>
      </c>
      <c r="G2599">
        <v>38</v>
      </c>
      <c r="H2599" t="s">
        <v>13</v>
      </c>
      <c r="I2599" t="b">
        <f t="shared" si="40"/>
        <v>0</v>
      </c>
    </row>
    <row r="2600" spans="1:9" x14ac:dyDescent="0.2">
      <c r="A2600" t="s">
        <v>6921</v>
      </c>
      <c r="B2600" t="s">
        <v>6922</v>
      </c>
      <c r="C2600" t="s">
        <v>2417</v>
      </c>
      <c r="D2600" t="s">
        <v>3</v>
      </c>
      <c r="E2600" t="s">
        <v>4</v>
      </c>
      <c r="F2600">
        <v>61</v>
      </c>
      <c r="G2600">
        <v>945</v>
      </c>
      <c r="H2600" t="s">
        <v>1569</v>
      </c>
      <c r="I2600" t="b">
        <f t="shared" si="40"/>
        <v>0</v>
      </c>
    </row>
    <row r="2601" spans="1:9" x14ac:dyDescent="0.2">
      <c r="A2601" t="s">
        <v>5266</v>
      </c>
      <c r="B2601" t="s">
        <v>5267</v>
      </c>
      <c r="C2601" t="s">
        <v>3557</v>
      </c>
      <c r="D2601" t="s">
        <v>1439</v>
      </c>
      <c r="E2601" t="s">
        <v>4</v>
      </c>
      <c r="F2601">
        <v>9</v>
      </c>
      <c r="G2601">
        <v>18</v>
      </c>
      <c r="H2601" t="s">
        <v>13</v>
      </c>
      <c r="I2601" t="b">
        <f t="shared" si="40"/>
        <v>0</v>
      </c>
    </row>
    <row r="2602" spans="1:9" x14ac:dyDescent="0.2">
      <c r="A2602" t="s">
        <v>6077</v>
      </c>
      <c r="B2602" t="s">
        <v>6078</v>
      </c>
      <c r="C2602" t="s">
        <v>924</v>
      </c>
      <c r="D2602" t="s">
        <v>6079</v>
      </c>
      <c r="E2602" t="s">
        <v>4</v>
      </c>
      <c r="F2602">
        <v>171</v>
      </c>
      <c r="G2602">
        <v>98</v>
      </c>
      <c r="H2602" t="s">
        <v>13</v>
      </c>
      <c r="I2602" t="b">
        <f t="shared" si="40"/>
        <v>0</v>
      </c>
    </row>
    <row r="2603" spans="1:9" x14ac:dyDescent="0.2">
      <c r="A2603" t="s">
        <v>1541</v>
      </c>
      <c r="B2603" t="s">
        <v>1542</v>
      </c>
      <c r="C2603" t="s">
        <v>223</v>
      </c>
      <c r="D2603" t="s">
        <v>3</v>
      </c>
      <c r="E2603" t="s">
        <v>4</v>
      </c>
      <c r="F2603">
        <v>16</v>
      </c>
      <c r="G2603">
        <v>41</v>
      </c>
      <c r="H2603" t="s">
        <v>5</v>
      </c>
      <c r="I2603" t="b">
        <f t="shared" si="40"/>
        <v>0</v>
      </c>
    </row>
    <row r="2604" spans="1:9" x14ac:dyDescent="0.2">
      <c r="A2604" t="s">
        <v>6496</v>
      </c>
      <c r="B2604" t="s">
        <v>6497</v>
      </c>
      <c r="C2604" t="s">
        <v>3912</v>
      </c>
      <c r="D2604" t="s">
        <v>6498</v>
      </c>
      <c r="E2604" t="s">
        <v>4</v>
      </c>
      <c r="F2604">
        <v>140</v>
      </c>
      <c r="G2604">
        <v>438</v>
      </c>
      <c r="H2604" t="s">
        <v>13</v>
      </c>
      <c r="I2604" t="b">
        <f t="shared" si="40"/>
        <v>0</v>
      </c>
    </row>
    <row r="2605" spans="1:9" x14ac:dyDescent="0.2">
      <c r="A2605" t="s">
        <v>2057</v>
      </c>
      <c r="B2605" t="s">
        <v>2058</v>
      </c>
      <c r="C2605" t="s">
        <v>791</v>
      </c>
      <c r="D2605" t="s">
        <v>98</v>
      </c>
      <c r="E2605" t="s">
        <v>4</v>
      </c>
      <c r="F2605">
        <v>289</v>
      </c>
      <c r="G2605">
        <v>881</v>
      </c>
      <c r="H2605" t="s">
        <v>13</v>
      </c>
      <c r="I2605" t="b">
        <f t="shared" si="40"/>
        <v>0</v>
      </c>
    </row>
    <row r="2606" spans="1:9" x14ac:dyDescent="0.2">
      <c r="A2606" t="s">
        <v>4586</v>
      </c>
      <c r="B2606" t="s">
        <v>4587</v>
      </c>
      <c r="C2606" t="s">
        <v>480</v>
      </c>
      <c r="D2606" t="s">
        <v>418</v>
      </c>
      <c r="E2606" t="s">
        <v>4</v>
      </c>
      <c r="F2606">
        <v>2</v>
      </c>
      <c r="G2606">
        <v>29</v>
      </c>
      <c r="H2606" t="s">
        <v>13</v>
      </c>
      <c r="I2606" t="b">
        <f t="shared" si="40"/>
        <v>0</v>
      </c>
    </row>
    <row r="2607" spans="1:9" x14ac:dyDescent="0.2">
      <c r="A2607" t="s">
        <v>6593</v>
      </c>
      <c r="B2607" t="s">
        <v>6594</v>
      </c>
      <c r="C2607" t="s">
        <v>6595</v>
      </c>
      <c r="D2607" t="s">
        <v>3</v>
      </c>
      <c r="E2607" t="s">
        <v>4</v>
      </c>
      <c r="F2607">
        <v>63</v>
      </c>
      <c r="G2607">
        <v>1</v>
      </c>
      <c r="H2607" t="s">
        <v>13</v>
      </c>
      <c r="I2607" t="b">
        <f t="shared" si="40"/>
        <v>0</v>
      </c>
    </row>
    <row r="2608" spans="1:9" x14ac:dyDescent="0.2">
      <c r="A2608" t="s">
        <v>6672</v>
      </c>
      <c r="B2608" t="s">
        <v>6673</v>
      </c>
      <c r="C2608" t="s">
        <v>2028</v>
      </c>
      <c r="D2608" t="s">
        <v>3</v>
      </c>
      <c r="E2608" t="s">
        <v>4</v>
      </c>
      <c r="F2608">
        <v>3305</v>
      </c>
      <c r="G2608">
        <v>197</v>
      </c>
      <c r="H2608" t="s">
        <v>13</v>
      </c>
      <c r="I2608" t="b">
        <f t="shared" si="40"/>
        <v>0</v>
      </c>
    </row>
    <row r="2609" spans="1:9" x14ac:dyDescent="0.2">
      <c r="A2609" t="s">
        <v>3049</v>
      </c>
      <c r="B2609" t="s">
        <v>3050</v>
      </c>
      <c r="C2609" t="s">
        <v>3051</v>
      </c>
      <c r="D2609" t="s">
        <v>3052</v>
      </c>
      <c r="E2609" t="s">
        <v>4</v>
      </c>
      <c r="F2609">
        <v>3137</v>
      </c>
      <c r="G2609">
        <v>566</v>
      </c>
      <c r="H2609" t="s">
        <v>13</v>
      </c>
      <c r="I2609" t="b">
        <f t="shared" si="40"/>
        <v>0</v>
      </c>
    </row>
    <row r="2610" spans="1:9" x14ac:dyDescent="0.2">
      <c r="A2610" t="s">
        <v>4775</v>
      </c>
      <c r="B2610" t="s">
        <v>4776</v>
      </c>
      <c r="C2610" t="s">
        <v>82</v>
      </c>
      <c r="D2610" t="s">
        <v>4777</v>
      </c>
      <c r="E2610" t="s">
        <v>38</v>
      </c>
      <c r="F2610">
        <v>33554</v>
      </c>
      <c r="G2610">
        <v>84</v>
      </c>
      <c r="H2610" t="s">
        <v>13</v>
      </c>
      <c r="I2610" t="b">
        <f t="shared" si="40"/>
        <v>0</v>
      </c>
    </row>
    <row r="2611" spans="1:9" x14ac:dyDescent="0.2">
      <c r="A2611" t="s">
        <v>4542</v>
      </c>
      <c r="B2611" t="s">
        <v>4543</v>
      </c>
      <c r="C2611" t="s">
        <v>4544</v>
      </c>
      <c r="D2611" t="s">
        <v>4545</v>
      </c>
      <c r="E2611" t="s">
        <v>4</v>
      </c>
      <c r="F2611">
        <v>6545</v>
      </c>
      <c r="G2611">
        <v>482</v>
      </c>
      <c r="H2611" t="s">
        <v>13</v>
      </c>
      <c r="I2611" t="b">
        <f t="shared" si="40"/>
        <v>0</v>
      </c>
    </row>
    <row r="2612" spans="1:9" x14ac:dyDescent="0.2">
      <c r="A2612" t="s">
        <v>3362</v>
      </c>
      <c r="B2612" t="s">
        <v>3363</v>
      </c>
      <c r="C2612" t="s">
        <v>2475</v>
      </c>
      <c r="D2612" t="s">
        <v>3364</v>
      </c>
      <c r="E2612" t="s">
        <v>4</v>
      </c>
      <c r="F2612">
        <v>263</v>
      </c>
      <c r="G2612">
        <v>192</v>
      </c>
      <c r="H2612" t="s">
        <v>13</v>
      </c>
      <c r="I2612" t="b">
        <f t="shared" si="40"/>
        <v>0</v>
      </c>
    </row>
    <row r="2613" spans="1:9" x14ac:dyDescent="0.2">
      <c r="A2613" t="s">
        <v>4961</v>
      </c>
      <c r="B2613" t="s">
        <v>4962</v>
      </c>
      <c r="C2613" t="s">
        <v>82</v>
      </c>
      <c r="D2613" t="s">
        <v>3</v>
      </c>
      <c r="E2613" t="s">
        <v>4</v>
      </c>
      <c r="F2613">
        <v>10</v>
      </c>
      <c r="G2613">
        <v>155</v>
      </c>
      <c r="H2613" t="s">
        <v>13</v>
      </c>
      <c r="I2613" t="b">
        <f t="shared" si="40"/>
        <v>0</v>
      </c>
    </row>
    <row r="2614" spans="1:9" x14ac:dyDescent="0.2">
      <c r="A2614" t="s">
        <v>1110</v>
      </c>
      <c r="B2614" t="s">
        <v>1111</v>
      </c>
      <c r="C2614" t="s">
        <v>410</v>
      </c>
      <c r="D2614" t="s">
        <v>566</v>
      </c>
      <c r="E2614" t="s">
        <v>4</v>
      </c>
      <c r="F2614">
        <v>1308</v>
      </c>
      <c r="G2614">
        <v>1994</v>
      </c>
      <c r="H2614" t="s">
        <v>13</v>
      </c>
      <c r="I2614" t="b">
        <f t="shared" si="40"/>
        <v>0</v>
      </c>
    </row>
    <row r="2615" spans="1:9" x14ac:dyDescent="0.2">
      <c r="A2615" t="s">
        <v>2423</v>
      </c>
      <c r="B2615" t="s">
        <v>2424</v>
      </c>
      <c r="C2615" t="s">
        <v>2425</v>
      </c>
      <c r="D2615" t="s">
        <v>2426</v>
      </c>
      <c r="E2615" t="s">
        <v>4</v>
      </c>
      <c r="F2615">
        <v>109</v>
      </c>
      <c r="G2615">
        <v>372</v>
      </c>
      <c r="H2615" t="s">
        <v>13</v>
      </c>
      <c r="I2615" t="b">
        <f t="shared" si="40"/>
        <v>0</v>
      </c>
    </row>
    <row r="2616" spans="1:9" x14ac:dyDescent="0.2">
      <c r="A2616" t="s">
        <v>3575</v>
      </c>
      <c r="B2616" t="s">
        <v>3576</v>
      </c>
      <c r="C2616" t="s">
        <v>1291</v>
      </c>
      <c r="D2616" t="s">
        <v>64</v>
      </c>
      <c r="E2616" t="s">
        <v>4</v>
      </c>
      <c r="F2616">
        <v>208</v>
      </c>
      <c r="G2616">
        <v>80</v>
      </c>
      <c r="H2616" t="s">
        <v>13</v>
      </c>
      <c r="I2616" t="b">
        <f t="shared" si="40"/>
        <v>0</v>
      </c>
    </row>
    <row r="2617" spans="1:9" x14ac:dyDescent="0.2">
      <c r="A2617" t="s">
        <v>1693</v>
      </c>
      <c r="B2617" t="s">
        <v>1694</v>
      </c>
      <c r="C2617" t="s">
        <v>1291</v>
      </c>
      <c r="D2617" t="s">
        <v>3</v>
      </c>
      <c r="E2617" t="s">
        <v>4</v>
      </c>
      <c r="F2617">
        <v>1184</v>
      </c>
      <c r="G2617">
        <v>1977</v>
      </c>
      <c r="H2617" t="s">
        <v>13</v>
      </c>
      <c r="I2617" t="b">
        <f t="shared" si="40"/>
        <v>0</v>
      </c>
    </row>
    <row r="2618" spans="1:9" x14ac:dyDescent="0.2">
      <c r="A2618" t="s">
        <v>3703</v>
      </c>
      <c r="B2618" t="s">
        <v>3704</v>
      </c>
      <c r="C2618" t="s">
        <v>28</v>
      </c>
      <c r="D2618" t="s">
        <v>3705</v>
      </c>
      <c r="E2618" t="s">
        <v>4</v>
      </c>
      <c r="F2618">
        <v>1025</v>
      </c>
      <c r="G2618">
        <v>2962</v>
      </c>
      <c r="H2618" t="s">
        <v>13</v>
      </c>
      <c r="I2618" t="b">
        <f t="shared" si="40"/>
        <v>0</v>
      </c>
    </row>
    <row r="2619" spans="1:9" x14ac:dyDescent="0.2">
      <c r="A2619" t="s">
        <v>4610</v>
      </c>
      <c r="B2619" t="s">
        <v>4611</v>
      </c>
      <c r="C2619" t="s">
        <v>93</v>
      </c>
      <c r="D2619" t="s">
        <v>3</v>
      </c>
      <c r="E2619" t="s">
        <v>4</v>
      </c>
      <c r="F2619">
        <v>29</v>
      </c>
      <c r="G2619">
        <v>258</v>
      </c>
      <c r="H2619" t="s">
        <v>13</v>
      </c>
      <c r="I2619" t="b">
        <f t="shared" si="40"/>
        <v>0</v>
      </c>
    </row>
    <row r="2620" spans="1:9" x14ac:dyDescent="0.2">
      <c r="A2620" t="s">
        <v>4356</v>
      </c>
      <c r="B2620" t="s">
        <v>4357</v>
      </c>
      <c r="C2620" t="s">
        <v>621</v>
      </c>
      <c r="D2620" t="s">
        <v>705</v>
      </c>
      <c r="E2620" t="s">
        <v>4</v>
      </c>
      <c r="F2620">
        <v>25</v>
      </c>
      <c r="G2620">
        <v>175</v>
      </c>
      <c r="H2620" t="s">
        <v>13</v>
      </c>
      <c r="I2620" t="b">
        <f t="shared" si="40"/>
        <v>0</v>
      </c>
    </row>
    <row r="2621" spans="1:9" x14ac:dyDescent="0.2">
      <c r="A2621" t="s">
        <v>1214</v>
      </c>
      <c r="B2621" t="s">
        <v>1215</v>
      </c>
      <c r="C2621" t="s">
        <v>494</v>
      </c>
      <c r="D2621" t="s">
        <v>1216</v>
      </c>
      <c r="E2621" t="s">
        <v>4</v>
      </c>
      <c r="F2621">
        <v>204</v>
      </c>
      <c r="G2621">
        <v>327</v>
      </c>
      <c r="H2621" t="s">
        <v>13</v>
      </c>
      <c r="I2621" t="b">
        <f t="shared" si="40"/>
        <v>0</v>
      </c>
    </row>
    <row r="2622" spans="1:9" x14ac:dyDescent="0.2">
      <c r="A2622" t="s">
        <v>4368</v>
      </c>
      <c r="B2622" t="s">
        <v>4369</v>
      </c>
      <c r="C2622" t="s">
        <v>621</v>
      </c>
      <c r="D2622" t="s">
        <v>705</v>
      </c>
      <c r="E2622" t="s">
        <v>4</v>
      </c>
      <c r="F2622">
        <v>25</v>
      </c>
      <c r="G2622">
        <v>175</v>
      </c>
      <c r="H2622" t="s">
        <v>13</v>
      </c>
      <c r="I2622" t="b">
        <f t="shared" si="40"/>
        <v>0</v>
      </c>
    </row>
    <row r="2623" spans="1:9" x14ac:dyDescent="0.2">
      <c r="A2623" t="s">
        <v>1474</v>
      </c>
      <c r="B2623" t="s">
        <v>1475</v>
      </c>
      <c r="C2623" t="s">
        <v>1116</v>
      </c>
      <c r="D2623" t="s">
        <v>1117</v>
      </c>
      <c r="E2623" t="s">
        <v>4</v>
      </c>
      <c r="F2623">
        <v>3495</v>
      </c>
      <c r="G2623">
        <v>1203</v>
      </c>
      <c r="H2623" t="s">
        <v>13</v>
      </c>
      <c r="I2623" t="b">
        <f t="shared" si="40"/>
        <v>0</v>
      </c>
    </row>
    <row r="2624" spans="1:9" x14ac:dyDescent="0.2">
      <c r="A2624" t="s">
        <v>5981</v>
      </c>
      <c r="B2624" t="s">
        <v>5982</v>
      </c>
      <c r="C2624" t="s">
        <v>5983</v>
      </c>
      <c r="D2624" t="s">
        <v>5984</v>
      </c>
      <c r="E2624" t="s">
        <v>4</v>
      </c>
      <c r="F2624">
        <v>412</v>
      </c>
      <c r="G2624">
        <v>438</v>
      </c>
      <c r="H2624" t="s">
        <v>13</v>
      </c>
      <c r="I2624" t="b">
        <f t="shared" si="40"/>
        <v>0</v>
      </c>
    </row>
    <row r="2625" spans="1:9" x14ac:dyDescent="0.2">
      <c r="A2625" t="s">
        <v>4445</v>
      </c>
      <c r="B2625" t="s">
        <v>4446</v>
      </c>
      <c r="C2625" t="s">
        <v>3265</v>
      </c>
      <c r="D2625" t="s">
        <v>3</v>
      </c>
      <c r="E2625" t="s">
        <v>4</v>
      </c>
      <c r="F2625">
        <v>216</v>
      </c>
      <c r="G2625">
        <v>125</v>
      </c>
      <c r="H2625" t="s">
        <v>13</v>
      </c>
      <c r="I2625" t="b">
        <f t="shared" si="40"/>
        <v>0</v>
      </c>
    </row>
    <row r="2626" spans="1:9" x14ac:dyDescent="0.2">
      <c r="A2626" t="s">
        <v>4546</v>
      </c>
      <c r="B2626" t="s">
        <v>4547</v>
      </c>
      <c r="C2626" t="s">
        <v>429</v>
      </c>
      <c r="D2626" t="s">
        <v>4548</v>
      </c>
      <c r="E2626" t="s">
        <v>4</v>
      </c>
      <c r="F2626">
        <v>51</v>
      </c>
      <c r="G2626">
        <v>114</v>
      </c>
      <c r="H2626" t="s">
        <v>13</v>
      </c>
      <c r="I2626" t="b">
        <f t="shared" si="40"/>
        <v>0</v>
      </c>
    </row>
    <row r="2627" spans="1:9" x14ac:dyDescent="0.2">
      <c r="A2627" t="s">
        <v>179</v>
      </c>
      <c r="B2627" t="s">
        <v>180</v>
      </c>
      <c r="C2627" t="s">
        <v>181</v>
      </c>
      <c r="D2627" t="s">
        <v>182</v>
      </c>
      <c r="E2627" t="s">
        <v>4</v>
      </c>
      <c r="F2627">
        <v>885</v>
      </c>
      <c r="G2627">
        <v>406</v>
      </c>
      <c r="H2627" t="s">
        <v>13</v>
      </c>
      <c r="I2627" t="b">
        <f t="shared" ref="I2627:I2690" si="41">isDup(B2627, B2628, 0.7)</f>
        <v>0</v>
      </c>
    </row>
    <row r="2628" spans="1:9" x14ac:dyDescent="0.2">
      <c r="A2628" t="s">
        <v>6916</v>
      </c>
      <c r="B2628" t="s">
        <v>6917</v>
      </c>
      <c r="C2628" t="s">
        <v>6701</v>
      </c>
      <c r="D2628" t="s">
        <v>538</v>
      </c>
      <c r="E2628" t="s">
        <v>4</v>
      </c>
      <c r="F2628">
        <v>86</v>
      </c>
      <c r="G2628">
        <v>93</v>
      </c>
      <c r="H2628" t="s">
        <v>13</v>
      </c>
      <c r="I2628" t="b">
        <f t="shared" si="41"/>
        <v>0</v>
      </c>
    </row>
    <row r="2629" spans="1:9" x14ac:dyDescent="0.2">
      <c r="A2629" t="s">
        <v>6102</v>
      </c>
      <c r="B2629" t="s">
        <v>6103</v>
      </c>
      <c r="C2629" t="s">
        <v>2900</v>
      </c>
      <c r="D2629" t="s">
        <v>825</v>
      </c>
      <c r="E2629" t="s">
        <v>4</v>
      </c>
      <c r="F2629">
        <v>137</v>
      </c>
      <c r="G2629">
        <v>779</v>
      </c>
      <c r="H2629" t="s">
        <v>114</v>
      </c>
      <c r="I2629" t="b">
        <f t="shared" si="41"/>
        <v>0</v>
      </c>
    </row>
    <row r="2630" spans="1:9" x14ac:dyDescent="0.2">
      <c r="A2630" t="s">
        <v>6836</v>
      </c>
      <c r="B2630" t="s">
        <v>6837</v>
      </c>
      <c r="C2630" t="s">
        <v>1911</v>
      </c>
      <c r="D2630" t="s">
        <v>3</v>
      </c>
      <c r="E2630" t="s">
        <v>4</v>
      </c>
      <c r="F2630">
        <v>660</v>
      </c>
      <c r="G2630">
        <v>215</v>
      </c>
      <c r="H2630" t="s">
        <v>13</v>
      </c>
      <c r="I2630" t="b">
        <f t="shared" si="41"/>
        <v>1</v>
      </c>
    </row>
    <row r="2631" spans="1:9" x14ac:dyDescent="0.2">
      <c r="A2631" t="s">
        <v>7048</v>
      </c>
      <c r="B2631" t="s">
        <v>7049</v>
      </c>
      <c r="C2631" t="s">
        <v>1583</v>
      </c>
      <c r="D2631" t="s">
        <v>3</v>
      </c>
      <c r="E2631" t="s">
        <v>4</v>
      </c>
      <c r="F2631">
        <v>17</v>
      </c>
      <c r="G2631">
        <v>0</v>
      </c>
      <c r="H2631" t="s">
        <v>13</v>
      </c>
      <c r="I2631" t="b">
        <f t="shared" si="41"/>
        <v>1</v>
      </c>
    </row>
    <row r="2632" spans="1:9" x14ac:dyDescent="0.2">
      <c r="A2632" t="s">
        <v>2667</v>
      </c>
      <c r="B2632" t="s">
        <v>2668</v>
      </c>
      <c r="C2632" t="s">
        <v>1583</v>
      </c>
      <c r="D2632" t="s">
        <v>3</v>
      </c>
      <c r="E2632" t="s">
        <v>4</v>
      </c>
      <c r="F2632">
        <v>17</v>
      </c>
      <c r="G2632">
        <v>0</v>
      </c>
      <c r="H2632" t="s">
        <v>13</v>
      </c>
      <c r="I2632" t="b">
        <f t="shared" si="41"/>
        <v>0</v>
      </c>
    </row>
    <row r="2633" spans="1:9" x14ac:dyDescent="0.2">
      <c r="A2633" t="s">
        <v>7216</v>
      </c>
      <c r="B2633" t="s">
        <v>7217</v>
      </c>
      <c r="C2633" t="s">
        <v>7218</v>
      </c>
      <c r="D2633" t="s">
        <v>7219</v>
      </c>
      <c r="E2633" t="s">
        <v>4</v>
      </c>
      <c r="F2633">
        <v>238</v>
      </c>
      <c r="G2633">
        <v>168</v>
      </c>
      <c r="H2633" t="s">
        <v>13</v>
      </c>
      <c r="I2633" t="b">
        <f t="shared" si="41"/>
        <v>0</v>
      </c>
    </row>
    <row r="2634" spans="1:9" x14ac:dyDescent="0.2">
      <c r="A2634" t="s">
        <v>5469</v>
      </c>
      <c r="B2634" t="s">
        <v>5470</v>
      </c>
      <c r="C2634" t="s">
        <v>4693</v>
      </c>
      <c r="D2634" t="s">
        <v>3</v>
      </c>
      <c r="E2634" t="s">
        <v>4</v>
      </c>
      <c r="F2634">
        <v>641</v>
      </c>
      <c r="G2634">
        <v>0</v>
      </c>
      <c r="H2634" t="s">
        <v>13</v>
      </c>
      <c r="I2634" t="b">
        <f t="shared" si="41"/>
        <v>0</v>
      </c>
    </row>
    <row r="2635" spans="1:9" x14ac:dyDescent="0.2">
      <c r="A2635" t="s">
        <v>4727</v>
      </c>
      <c r="B2635" t="s">
        <v>4728</v>
      </c>
      <c r="C2635" t="s">
        <v>2043</v>
      </c>
      <c r="D2635" t="s">
        <v>2692</v>
      </c>
      <c r="E2635" t="s">
        <v>4</v>
      </c>
      <c r="F2635">
        <v>3187</v>
      </c>
      <c r="G2635">
        <v>686</v>
      </c>
      <c r="H2635" t="s">
        <v>13</v>
      </c>
      <c r="I2635" t="b">
        <f t="shared" si="41"/>
        <v>0</v>
      </c>
    </row>
    <row r="2636" spans="1:9" x14ac:dyDescent="0.2">
      <c r="A2636" t="s">
        <v>2130</v>
      </c>
      <c r="B2636" t="s">
        <v>2131</v>
      </c>
      <c r="C2636" t="s">
        <v>2132</v>
      </c>
      <c r="D2636" t="s">
        <v>1242</v>
      </c>
      <c r="E2636" t="s">
        <v>4</v>
      </c>
      <c r="F2636">
        <v>7</v>
      </c>
      <c r="G2636">
        <v>27</v>
      </c>
      <c r="H2636" t="s">
        <v>13</v>
      </c>
      <c r="I2636" t="b">
        <f t="shared" si="41"/>
        <v>0</v>
      </c>
    </row>
    <row r="2637" spans="1:9" x14ac:dyDescent="0.2">
      <c r="A2637" t="s">
        <v>4366</v>
      </c>
      <c r="B2637" t="s">
        <v>4367</v>
      </c>
      <c r="C2637" t="s">
        <v>2632</v>
      </c>
      <c r="D2637" t="s">
        <v>101</v>
      </c>
      <c r="E2637" t="s">
        <v>4</v>
      </c>
      <c r="F2637">
        <v>84</v>
      </c>
      <c r="G2637">
        <v>57</v>
      </c>
      <c r="H2637" t="s">
        <v>13</v>
      </c>
      <c r="I2637" t="b">
        <f t="shared" si="41"/>
        <v>0</v>
      </c>
    </row>
    <row r="2638" spans="1:9" x14ac:dyDescent="0.2">
      <c r="A2638" t="s">
        <v>4763</v>
      </c>
      <c r="B2638" t="s">
        <v>4764</v>
      </c>
      <c r="C2638" t="s">
        <v>1009</v>
      </c>
      <c r="D2638" t="s">
        <v>4765</v>
      </c>
      <c r="E2638" t="s">
        <v>4</v>
      </c>
      <c r="F2638">
        <v>2142</v>
      </c>
      <c r="G2638">
        <v>2517</v>
      </c>
      <c r="H2638" t="s">
        <v>13</v>
      </c>
      <c r="I2638" t="b">
        <f t="shared" si="41"/>
        <v>0</v>
      </c>
    </row>
    <row r="2639" spans="1:9" x14ac:dyDescent="0.2">
      <c r="A2639" t="s">
        <v>5119</v>
      </c>
      <c r="B2639" t="s">
        <v>5120</v>
      </c>
      <c r="C2639" t="s">
        <v>5121</v>
      </c>
      <c r="D2639" t="s">
        <v>5122</v>
      </c>
      <c r="E2639" t="s">
        <v>4</v>
      </c>
      <c r="F2639">
        <v>1638</v>
      </c>
      <c r="G2639">
        <v>1207</v>
      </c>
      <c r="H2639" t="s">
        <v>13</v>
      </c>
      <c r="I2639" t="b">
        <f t="shared" si="41"/>
        <v>0</v>
      </c>
    </row>
    <row r="2640" spans="1:9" x14ac:dyDescent="0.2">
      <c r="A2640" t="s">
        <v>3099</v>
      </c>
      <c r="B2640" t="s">
        <v>3100</v>
      </c>
      <c r="C2640" t="s">
        <v>1249</v>
      </c>
      <c r="D2640" t="s">
        <v>3101</v>
      </c>
      <c r="E2640" t="s">
        <v>4</v>
      </c>
      <c r="F2640">
        <v>357</v>
      </c>
      <c r="G2640">
        <v>157</v>
      </c>
      <c r="H2640" t="s">
        <v>13</v>
      </c>
      <c r="I2640" t="b">
        <f t="shared" si="41"/>
        <v>0</v>
      </c>
    </row>
    <row r="2641" spans="1:9" x14ac:dyDescent="0.2">
      <c r="A2641" t="s">
        <v>6522</v>
      </c>
      <c r="B2641" t="s">
        <v>6523</v>
      </c>
      <c r="C2641" t="s">
        <v>6524</v>
      </c>
      <c r="D2641" t="s">
        <v>1817</v>
      </c>
      <c r="E2641" t="s">
        <v>4</v>
      </c>
      <c r="F2641">
        <v>104</v>
      </c>
      <c r="G2641">
        <v>493</v>
      </c>
      <c r="H2641" t="s">
        <v>13</v>
      </c>
      <c r="I2641" t="b">
        <f t="shared" si="41"/>
        <v>0</v>
      </c>
    </row>
    <row r="2642" spans="1:9" x14ac:dyDescent="0.2">
      <c r="A2642" t="s">
        <v>3093</v>
      </c>
      <c r="B2642" t="s">
        <v>3094</v>
      </c>
      <c r="C2642" t="s">
        <v>1602</v>
      </c>
      <c r="D2642" t="s">
        <v>1964</v>
      </c>
      <c r="E2642" t="s">
        <v>4</v>
      </c>
      <c r="F2642">
        <v>7051</v>
      </c>
      <c r="G2642">
        <v>4719</v>
      </c>
      <c r="H2642" t="s">
        <v>13</v>
      </c>
      <c r="I2642" t="b">
        <f t="shared" si="41"/>
        <v>0</v>
      </c>
    </row>
    <row r="2643" spans="1:9" x14ac:dyDescent="0.2">
      <c r="A2643" t="s">
        <v>943</v>
      </c>
      <c r="B2643" t="s">
        <v>944</v>
      </c>
      <c r="C2643" t="s">
        <v>945</v>
      </c>
      <c r="D2643" t="s">
        <v>3</v>
      </c>
      <c r="E2643" t="s">
        <v>4</v>
      </c>
      <c r="F2643">
        <v>0</v>
      </c>
      <c r="G2643">
        <v>19</v>
      </c>
      <c r="H2643" t="s">
        <v>13</v>
      </c>
      <c r="I2643" t="b">
        <f t="shared" si="41"/>
        <v>0</v>
      </c>
    </row>
    <row r="2644" spans="1:9" x14ac:dyDescent="0.2">
      <c r="A2644" t="s">
        <v>246</v>
      </c>
      <c r="B2644" t="s">
        <v>247</v>
      </c>
      <c r="C2644" t="s">
        <v>248</v>
      </c>
      <c r="D2644" t="s">
        <v>3</v>
      </c>
      <c r="E2644" t="s">
        <v>4</v>
      </c>
      <c r="F2644">
        <v>155</v>
      </c>
      <c r="G2644">
        <v>401</v>
      </c>
      <c r="H2644" t="s">
        <v>13</v>
      </c>
      <c r="I2644" t="b">
        <f t="shared" si="41"/>
        <v>0</v>
      </c>
    </row>
    <row r="2645" spans="1:9" x14ac:dyDescent="0.2">
      <c r="A2645" t="s">
        <v>3903</v>
      </c>
      <c r="B2645" t="s">
        <v>3904</v>
      </c>
      <c r="C2645" t="s">
        <v>1528</v>
      </c>
      <c r="D2645" t="s">
        <v>3</v>
      </c>
      <c r="E2645" t="s">
        <v>4</v>
      </c>
      <c r="F2645">
        <v>438</v>
      </c>
      <c r="G2645">
        <v>334</v>
      </c>
      <c r="H2645" t="s">
        <v>13</v>
      </c>
      <c r="I2645" t="b">
        <f t="shared" si="41"/>
        <v>0</v>
      </c>
    </row>
    <row r="2646" spans="1:9" x14ac:dyDescent="0.2">
      <c r="A2646" t="s">
        <v>1275</v>
      </c>
      <c r="B2646" t="s">
        <v>1276</v>
      </c>
      <c r="C2646" t="s">
        <v>1162</v>
      </c>
      <c r="D2646" t="s">
        <v>3</v>
      </c>
      <c r="E2646" t="s">
        <v>4</v>
      </c>
      <c r="F2646">
        <v>19</v>
      </c>
      <c r="G2646">
        <v>322</v>
      </c>
      <c r="H2646" t="s">
        <v>13</v>
      </c>
      <c r="I2646" t="b">
        <f t="shared" si="41"/>
        <v>0</v>
      </c>
    </row>
    <row r="2647" spans="1:9" x14ac:dyDescent="0.2">
      <c r="A2647" t="s">
        <v>6735</v>
      </c>
      <c r="B2647" t="s">
        <v>6736</v>
      </c>
      <c r="C2647" t="s">
        <v>4110</v>
      </c>
      <c r="D2647" t="s">
        <v>6737</v>
      </c>
      <c r="E2647" t="s">
        <v>4</v>
      </c>
      <c r="F2647">
        <v>229</v>
      </c>
      <c r="G2647">
        <v>573</v>
      </c>
      <c r="H2647" t="s">
        <v>13</v>
      </c>
      <c r="I2647" t="b">
        <f t="shared" si="41"/>
        <v>0</v>
      </c>
    </row>
    <row r="2648" spans="1:9" x14ac:dyDescent="0.2">
      <c r="A2648" t="s">
        <v>7250</v>
      </c>
      <c r="B2648" t="s">
        <v>7251</v>
      </c>
      <c r="C2648" t="s">
        <v>565</v>
      </c>
      <c r="D2648" t="s">
        <v>7252</v>
      </c>
      <c r="E2648" t="s">
        <v>38</v>
      </c>
      <c r="F2648">
        <v>10698</v>
      </c>
      <c r="G2648">
        <v>905</v>
      </c>
      <c r="H2648" t="s">
        <v>13</v>
      </c>
      <c r="I2648" t="b">
        <f t="shared" si="41"/>
        <v>0</v>
      </c>
    </row>
    <row r="2649" spans="1:9" x14ac:dyDescent="0.2">
      <c r="A2649" t="s">
        <v>3158</v>
      </c>
      <c r="B2649" t="s">
        <v>3159</v>
      </c>
      <c r="C2649" t="s">
        <v>1985</v>
      </c>
      <c r="D2649" t="s">
        <v>3</v>
      </c>
      <c r="E2649" t="s">
        <v>4</v>
      </c>
      <c r="F2649">
        <v>37</v>
      </c>
      <c r="G2649">
        <v>209</v>
      </c>
      <c r="H2649" t="s">
        <v>13</v>
      </c>
      <c r="I2649" t="b">
        <f t="shared" si="41"/>
        <v>0</v>
      </c>
    </row>
    <row r="2650" spans="1:9" x14ac:dyDescent="0.2">
      <c r="A2650" t="s">
        <v>6229</v>
      </c>
      <c r="B2650" t="s">
        <v>6230</v>
      </c>
      <c r="C2650" t="s">
        <v>6231</v>
      </c>
      <c r="D2650" t="s">
        <v>3</v>
      </c>
      <c r="E2650" t="s">
        <v>4</v>
      </c>
      <c r="F2650">
        <v>8</v>
      </c>
      <c r="G2650">
        <v>230</v>
      </c>
      <c r="H2650" t="s">
        <v>13</v>
      </c>
      <c r="I2650" t="b">
        <f t="shared" si="41"/>
        <v>0</v>
      </c>
    </row>
    <row r="2651" spans="1:9" x14ac:dyDescent="0.2">
      <c r="A2651" t="s">
        <v>5246</v>
      </c>
      <c r="B2651" t="s">
        <v>5247</v>
      </c>
      <c r="C2651" t="s">
        <v>5248</v>
      </c>
      <c r="D2651" t="s">
        <v>5249</v>
      </c>
      <c r="E2651" t="s">
        <v>4</v>
      </c>
      <c r="F2651">
        <v>2395</v>
      </c>
      <c r="G2651">
        <v>623</v>
      </c>
      <c r="H2651" t="s">
        <v>13</v>
      </c>
      <c r="I2651" t="b">
        <f t="shared" si="41"/>
        <v>0</v>
      </c>
    </row>
    <row r="2652" spans="1:9" x14ac:dyDescent="0.2">
      <c r="A2652" t="s">
        <v>4182</v>
      </c>
      <c r="B2652" t="s">
        <v>4183</v>
      </c>
      <c r="C2652" t="s">
        <v>2753</v>
      </c>
      <c r="D2652" t="s">
        <v>4184</v>
      </c>
      <c r="E2652" t="s">
        <v>4</v>
      </c>
      <c r="F2652">
        <v>149</v>
      </c>
      <c r="G2652">
        <v>248</v>
      </c>
      <c r="H2652" t="s">
        <v>13</v>
      </c>
      <c r="I2652" t="b">
        <f t="shared" si="41"/>
        <v>0</v>
      </c>
    </row>
    <row r="2653" spans="1:9" x14ac:dyDescent="0.2">
      <c r="A2653" t="s">
        <v>5697</v>
      </c>
      <c r="B2653" t="s">
        <v>5698</v>
      </c>
      <c r="C2653" t="s">
        <v>2543</v>
      </c>
      <c r="D2653" t="s">
        <v>1255</v>
      </c>
      <c r="E2653" t="s">
        <v>4</v>
      </c>
      <c r="F2653">
        <v>1189</v>
      </c>
      <c r="G2653">
        <v>1103</v>
      </c>
      <c r="H2653" t="s">
        <v>13</v>
      </c>
      <c r="I2653" t="b">
        <f t="shared" si="41"/>
        <v>0</v>
      </c>
    </row>
    <row r="2654" spans="1:9" x14ac:dyDescent="0.2">
      <c r="A2654" t="s">
        <v>4176</v>
      </c>
      <c r="B2654" t="s">
        <v>4177</v>
      </c>
      <c r="C2654" t="s">
        <v>1099</v>
      </c>
      <c r="D2654" t="s">
        <v>4178</v>
      </c>
      <c r="E2654" t="s">
        <v>4</v>
      </c>
      <c r="F2654">
        <v>633</v>
      </c>
      <c r="G2654">
        <v>952</v>
      </c>
      <c r="H2654" t="s">
        <v>13</v>
      </c>
      <c r="I2654" t="b">
        <f t="shared" si="41"/>
        <v>0</v>
      </c>
    </row>
    <row r="2655" spans="1:9" x14ac:dyDescent="0.2">
      <c r="A2655" t="s">
        <v>5454</v>
      </c>
      <c r="B2655" t="s">
        <v>5455</v>
      </c>
      <c r="C2655" t="s">
        <v>293</v>
      </c>
      <c r="D2655" t="s">
        <v>3</v>
      </c>
      <c r="E2655" t="s">
        <v>4</v>
      </c>
      <c r="F2655">
        <v>44</v>
      </c>
      <c r="G2655">
        <v>204</v>
      </c>
      <c r="H2655" t="s">
        <v>13</v>
      </c>
      <c r="I2655" t="b">
        <f t="shared" si="41"/>
        <v>0</v>
      </c>
    </row>
    <row r="2656" spans="1:9" x14ac:dyDescent="0.2">
      <c r="A2656" t="s">
        <v>5988</v>
      </c>
      <c r="B2656" t="s">
        <v>5989</v>
      </c>
      <c r="C2656" t="s">
        <v>2679</v>
      </c>
      <c r="D2656" t="s">
        <v>5990</v>
      </c>
      <c r="E2656" t="s">
        <v>4</v>
      </c>
      <c r="F2656">
        <v>366</v>
      </c>
      <c r="G2656">
        <v>502</v>
      </c>
      <c r="H2656" t="s">
        <v>13</v>
      </c>
      <c r="I2656" t="b">
        <f t="shared" si="41"/>
        <v>0</v>
      </c>
    </row>
    <row r="2657" spans="1:9" x14ac:dyDescent="0.2">
      <c r="A2657" t="s">
        <v>6993</v>
      </c>
      <c r="B2657" t="s">
        <v>6994</v>
      </c>
      <c r="C2657" t="s">
        <v>1889</v>
      </c>
      <c r="D2657" t="s">
        <v>1577</v>
      </c>
      <c r="E2657" t="s">
        <v>4</v>
      </c>
      <c r="F2657">
        <v>41</v>
      </c>
      <c r="G2657">
        <v>228</v>
      </c>
      <c r="H2657" t="s">
        <v>13</v>
      </c>
      <c r="I2657" t="b">
        <f t="shared" si="41"/>
        <v>0</v>
      </c>
    </row>
    <row r="2658" spans="1:9" x14ac:dyDescent="0.2">
      <c r="A2658" t="s">
        <v>1769</v>
      </c>
      <c r="B2658" t="s">
        <v>1770</v>
      </c>
      <c r="C2658" t="s">
        <v>1771</v>
      </c>
      <c r="D2658" t="s">
        <v>1772</v>
      </c>
      <c r="E2658" t="s">
        <v>4</v>
      </c>
      <c r="F2658">
        <v>28</v>
      </c>
      <c r="G2658">
        <v>101</v>
      </c>
      <c r="H2658" t="s">
        <v>13</v>
      </c>
      <c r="I2658" t="b">
        <f t="shared" si="41"/>
        <v>0</v>
      </c>
    </row>
    <row r="2659" spans="1:9" x14ac:dyDescent="0.2">
      <c r="A2659" t="s">
        <v>1997</v>
      </c>
      <c r="B2659" t="s">
        <v>1998</v>
      </c>
      <c r="C2659" t="s">
        <v>1510</v>
      </c>
      <c r="D2659" t="s">
        <v>1999</v>
      </c>
      <c r="E2659" t="s">
        <v>38</v>
      </c>
      <c r="F2659">
        <v>32161</v>
      </c>
      <c r="G2659">
        <v>1573</v>
      </c>
      <c r="H2659" t="s">
        <v>13</v>
      </c>
      <c r="I2659" t="b">
        <f t="shared" si="41"/>
        <v>0</v>
      </c>
    </row>
    <row r="2660" spans="1:9" x14ac:dyDescent="0.2">
      <c r="A2660" t="s">
        <v>466</v>
      </c>
      <c r="B2660" t="s">
        <v>467</v>
      </c>
      <c r="C2660" t="s">
        <v>468</v>
      </c>
      <c r="D2660" t="s">
        <v>469</v>
      </c>
      <c r="E2660" t="s">
        <v>4</v>
      </c>
      <c r="F2660">
        <v>3</v>
      </c>
      <c r="G2660">
        <v>13</v>
      </c>
      <c r="H2660" t="s">
        <v>13</v>
      </c>
      <c r="I2660" t="b">
        <f t="shared" si="41"/>
        <v>0</v>
      </c>
    </row>
    <row r="2661" spans="1:9" x14ac:dyDescent="0.2">
      <c r="A2661" t="s">
        <v>1765</v>
      </c>
      <c r="B2661" t="s">
        <v>1766</v>
      </c>
      <c r="C2661" t="s">
        <v>1750</v>
      </c>
      <c r="D2661" t="s">
        <v>1751</v>
      </c>
      <c r="E2661" t="s">
        <v>4</v>
      </c>
      <c r="F2661">
        <v>101</v>
      </c>
      <c r="G2661">
        <v>542</v>
      </c>
      <c r="H2661" t="s">
        <v>13</v>
      </c>
      <c r="I2661" t="b">
        <f t="shared" si="41"/>
        <v>0</v>
      </c>
    </row>
    <row r="2662" spans="1:9" x14ac:dyDescent="0.2">
      <c r="A2662" t="s">
        <v>3047</v>
      </c>
      <c r="B2662" t="s">
        <v>3048</v>
      </c>
      <c r="C2662" t="s">
        <v>24</v>
      </c>
      <c r="D2662" t="s">
        <v>182</v>
      </c>
      <c r="E2662" t="s">
        <v>4</v>
      </c>
      <c r="F2662">
        <v>36</v>
      </c>
      <c r="G2662">
        <v>38</v>
      </c>
      <c r="H2662" t="s">
        <v>13</v>
      </c>
      <c r="I2662" t="b">
        <f t="shared" si="41"/>
        <v>0</v>
      </c>
    </row>
    <row r="2663" spans="1:9" x14ac:dyDescent="0.2">
      <c r="A2663" t="s">
        <v>6449</v>
      </c>
      <c r="B2663" t="s">
        <v>6450</v>
      </c>
      <c r="C2663" t="s">
        <v>226</v>
      </c>
      <c r="D2663" t="s">
        <v>101</v>
      </c>
      <c r="E2663" t="s">
        <v>4</v>
      </c>
      <c r="F2663">
        <v>2363</v>
      </c>
      <c r="G2663">
        <v>2741</v>
      </c>
      <c r="H2663" t="s">
        <v>33</v>
      </c>
      <c r="I2663" t="b">
        <f t="shared" si="41"/>
        <v>0</v>
      </c>
    </row>
    <row r="2664" spans="1:9" x14ac:dyDescent="0.2">
      <c r="A2664" t="s">
        <v>1550</v>
      </c>
      <c r="B2664" t="s">
        <v>1551</v>
      </c>
      <c r="C2664" t="s">
        <v>1552</v>
      </c>
      <c r="D2664" t="s">
        <v>3</v>
      </c>
      <c r="E2664" t="s">
        <v>4</v>
      </c>
      <c r="F2664">
        <v>99</v>
      </c>
      <c r="G2664">
        <v>9</v>
      </c>
      <c r="H2664" t="s">
        <v>13</v>
      </c>
      <c r="I2664" t="b">
        <f t="shared" si="41"/>
        <v>0</v>
      </c>
    </row>
    <row r="2665" spans="1:9" x14ac:dyDescent="0.2">
      <c r="A2665" t="s">
        <v>5507</v>
      </c>
      <c r="B2665" t="s">
        <v>5508</v>
      </c>
      <c r="C2665" t="s">
        <v>5509</v>
      </c>
      <c r="D2665" t="s">
        <v>64</v>
      </c>
      <c r="E2665" t="s">
        <v>4</v>
      </c>
      <c r="F2665">
        <v>26</v>
      </c>
      <c r="G2665">
        <v>285</v>
      </c>
      <c r="H2665" t="s">
        <v>13</v>
      </c>
      <c r="I2665" t="b">
        <f t="shared" si="41"/>
        <v>0</v>
      </c>
    </row>
    <row r="2666" spans="1:9" x14ac:dyDescent="0.2">
      <c r="A2666" t="s">
        <v>2086</v>
      </c>
      <c r="B2666" t="s">
        <v>2087</v>
      </c>
      <c r="C2666" t="s">
        <v>140</v>
      </c>
      <c r="D2666" t="s">
        <v>2088</v>
      </c>
      <c r="E2666" t="s">
        <v>4</v>
      </c>
      <c r="F2666">
        <v>323</v>
      </c>
      <c r="G2666">
        <v>566</v>
      </c>
      <c r="H2666" t="s">
        <v>13</v>
      </c>
      <c r="I2666" t="b">
        <f t="shared" si="41"/>
        <v>0</v>
      </c>
    </row>
    <row r="2667" spans="1:9" x14ac:dyDescent="0.2">
      <c r="A2667" t="s">
        <v>6358</v>
      </c>
      <c r="B2667" t="s">
        <v>6359</v>
      </c>
      <c r="C2667" t="s">
        <v>349</v>
      </c>
      <c r="D2667" t="s">
        <v>3</v>
      </c>
      <c r="E2667" t="s">
        <v>4</v>
      </c>
      <c r="F2667">
        <v>90</v>
      </c>
      <c r="G2667">
        <v>594</v>
      </c>
      <c r="H2667" t="s">
        <v>13</v>
      </c>
      <c r="I2667" t="b">
        <f t="shared" si="41"/>
        <v>0</v>
      </c>
    </row>
    <row r="2668" spans="1:9" x14ac:dyDescent="0.2">
      <c r="A2668" t="s">
        <v>5606</v>
      </c>
      <c r="B2668" t="s">
        <v>5607</v>
      </c>
      <c r="C2668" t="s">
        <v>2028</v>
      </c>
      <c r="D2668" t="s">
        <v>5608</v>
      </c>
      <c r="E2668" t="s">
        <v>4</v>
      </c>
      <c r="F2668">
        <v>37541</v>
      </c>
      <c r="G2668">
        <v>734</v>
      </c>
      <c r="H2668" t="s">
        <v>13</v>
      </c>
      <c r="I2668" t="b">
        <f t="shared" si="41"/>
        <v>0</v>
      </c>
    </row>
    <row r="2669" spans="1:9" x14ac:dyDescent="0.2">
      <c r="A2669" t="s">
        <v>262</v>
      </c>
      <c r="B2669" t="s">
        <v>263</v>
      </c>
      <c r="C2669" t="s">
        <v>264</v>
      </c>
      <c r="D2669" t="s">
        <v>265</v>
      </c>
      <c r="E2669" t="s">
        <v>4</v>
      </c>
      <c r="F2669">
        <v>419</v>
      </c>
      <c r="G2669">
        <v>81</v>
      </c>
      <c r="H2669" t="s">
        <v>266</v>
      </c>
      <c r="I2669" t="b">
        <f t="shared" si="41"/>
        <v>0</v>
      </c>
    </row>
    <row r="2670" spans="1:9" x14ac:dyDescent="0.2">
      <c r="A2670" t="s">
        <v>649</v>
      </c>
      <c r="B2670" t="s">
        <v>650</v>
      </c>
      <c r="C2670" t="s">
        <v>112</v>
      </c>
      <c r="D2670" t="s">
        <v>3</v>
      </c>
      <c r="E2670" t="s">
        <v>4</v>
      </c>
      <c r="F2670">
        <v>2</v>
      </c>
      <c r="G2670">
        <v>75</v>
      </c>
      <c r="H2670" t="s">
        <v>13</v>
      </c>
      <c r="I2670" t="b">
        <f t="shared" si="41"/>
        <v>0</v>
      </c>
    </row>
    <row r="2671" spans="1:9" x14ac:dyDescent="0.2">
      <c r="A2671" t="s">
        <v>6356</v>
      </c>
      <c r="B2671" t="s">
        <v>6357</v>
      </c>
      <c r="C2671" t="s">
        <v>2733</v>
      </c>
      <c r="D2671" t="s">
        <v>3574</v>
      </c>
      <c r="E2671" t="s">
        <v>4</v>
      </c>
      <c r="F2671">
        <v>46</v>
      </c>
      <c r="G2671">
        <v>212</v>
      </c>
      <c r="H2671" t="s">
        <v>13</v>
      </c>
      <c r="I2671" t="b">
        <f t="shared" si="41"/>
        <v>0</v>
      </c>
    </row>
    <row r="2672" spans="1:9" x14ac:dyDescent="0.2">
      <c r="A2672" t="s">
        <v>4447</v>
      </c>
      <c r="B2672" t="s">
        <v>4448</v>
      </c>
      <c r="C2672" t="s">
        <v>85</v>
      </c>
      <c r="D2672" t="s">
        <v>3</v>
      </c>
      <c r="E2672" t="s">
        <v>4</v>
      </c>
      <c r="F2672">
        <v>171</v>
      </c>
      <c r="G2672">
        <v>236</v>
      </c>
      <c r="H2672" t="s">
        <v>13</v>
      </c>
      <c r="I2672" t="b">
        <f t="shared" si="41"/>
        <v>0</v>
      </c>
    </row>
    <row r="2673" spans="1:9" x14ac:dyDescent="0.2">
      <c r="A2673" t="s">
        <v>4950</v>
      </c>
      <c r="B2673" t="s">
        <v>4951</v>
      </c>
      <c r="C2673" t="s">
        <v>275</v>
      </c>
      <c r="D2673" t="s">
        <v>64</v>
      </c>
      <c r="E2673" t="s">
        <v>4</v>
      </c>
      <c r="F2673">
        <v>84</v>
      </c>
      <c r="G2673">
        <v>118</v>
      </c>
      <c r="H2673" t="s">
        <v>13</v>
      </c>
      <c r="I2673" t="b">
        <f t="shared" si="41"/>
        <v>1</v>
      </c>
    </row>
    <row r="2674" spans="1:9" x14ac:dyDescent="0.2">
      <c r="A2674" t="s">
        <v>5088</v>
      </c>
      <c r="B2674" t="s">
        <v>5089</v>
      </c>
      <c r="C2674" t="s">
        <v>3248</v>
      </c>
      <c r="D2674" t="s">
        <v>5090</v>
      </c>
      <c r="E2674" t="s">
        <v>4</v>
      </c>
      <c r="F2674">
        <v>110</v>
      </c>
      <c r="G2674">
        <v>131</v>
      </c>
      <c r="H2674" t="s">
        <v>13</v>
      </c>
      <c r="I2674" t="b">
        <f t="shared" si="41"/>
        <v>0</v>
      </c>
    </row>
    <row r="2675" spans="1:9" x14ac:dyDescent="0.2">
      <c r="A2675" t="s">
        <v>4704</v>
      </c>
      <c r="B2675" t="s">
        <v>4705</v>
      </c>
      <c r="C2675" t="s">
        <v>1152</v>
      </c>
      <c r="D2675" t="s">
        <v>4706</v>
      </c>
      <c r="E2675" t="s">
        <v>4</v>
      </c>
      <c r="F2675">
        <v>104</v>
      </c>
      <c r="G2675">
        <v>87</v>
      </c>
      <c r="H2675" t="s">
        <v>13</v>
      </c>
      <c r="I2675" t="b">
        <f t="shared" si="41"/>
        <v>0</v>
      </c>
    </row>
    <row r="2676" spans="1:9" x14ac:dyDescent="0.2">
      <c r="A2676" t="s">
        <v>2544</v>
      </c>
      <c r="B2676" t="s">
        <v>2545</v>
      </c>
      <c r="C2676" t="s">
        <v>1757</v>
      </c>
      <c r="D2676" t="s">
        <v>2546</v>
      </c>
      <c r="E2676" t="s">
        <v>4</v>
      </c>
      <c r="F2676">
        <v>24</v>
      </c>
      <c r="G2676">
        <v>62</v>
      </c>
      <c r="H2676" t="s">
        <v>13</v>
      </c>
      <c r="I2676" t="b">
        <f t="shared" si="41"/>
        <v>0</v>
      </c>
    </row>
    <row r="2677" spans="1:9" x14ac:dyDescent="0.2">
      <c r="A2677" t="s">
        <v>6084</v>
      </c>
      <c r="B2677" t="s">
        <v>6085</v>
      </c>
      <c r="C2677" t="s">
        <v>112</v>
      </c>
      <c r="D2677" t="s">
        <v>3</v>
      </c>
      <c r="E2677" t="s">
        <v>4</v>
      </c>
      <c r="F2677">
        <v>3</v>
      </c>
      <c r="G2677">
        <v>75</v>
      </c>
      <c r="H2677" t="s">
        <v>13</v>
      </c>
      <c r="I2677" t="b">
        <f t="shared" si="41"/>
        <v>0</v>
      </c>
    </row>
    <row r="2678" spans="1:9" x14ac:dyDescent="0.2">
      <c r="A2678" t="s">
        <v>1526</v>
      </c>
      <c r="B2678" t="s">
        <v>1527</v>
      </c>
      <c r="C2678" t="s">
        <v>1528</v>
      </c>
      <c r="D2678" t="s">
        <v>1529</v>
      </c>
      <c r="E2678" t="s">
        <v>4</v>
      </c>
      <c r="F2678">
        <v>378</v>
      </c>
      <c r="G2678">
        <v>959</v>
      </c>
      <c r="H2678" t="s">
        <v>13</v>
      </c>
      <c r="I2678" t="b">
        <f t="shared" si="41"/>
        <v>0</v>
      </c>
    </row>
    <row r="2679" spans="1:9" x14ac:dyDescent="0.2">
      <c r="A2679" t="s">
        <v>7107</v>
      </c>
      <c r="B2679" t="s">
        <v>7110</v>
      </c>
      <c r="C2679" t="s">
        <v>12</v>
      </c>
      <c r="D2679" t="s">
        <v>3</v>
      </c>
      <c r="E2679" t="s">
        <v>4</v>
      </c>
      <c r="F2679">
        <v>4</v>
      </c>
      <c r="G2679">
        <v>38</v>
      </c>
      <c r="H2679" t="s">
        <v>13</v>
      </c>
      <c r="I2679" t="b">
        <f t="shared" si="41"/>
        <v>0</v>
      </c>
    </row>
    <row r="2680" spans="1:9" x14ac:dyDescent="0.2">
      <c r="A2680" t="s">
        <v>2765</v>
      </c>
      <c r="B2680" t="s">
        <v>2767</v>
      </c>
      <c r="C2680" t="s">
        <v>2768</v>
      </c>
      <c r="D2680" t="s">
        <v>3</v>
      </c>
      <c r="E2680" t="s">
        <v>4</v>
      </c>
      <c r="F2680">
        <v>260</v>
      </c>
      <c r="G2680">
        <v>261</v>
      </c>
      <c r="H2680" t="s">
        <v>13</v>
      </c>
      <c r="I2680" t="b">
        <f t="shared" si="41"/>
        <v>0</v>
      </c>
    </row>
    <row r="2681" spans="1:9" x14ac:dyDescent="0.2">
      <c r="A2681" t="s">
        <v>1810</v>
      </c>
      <c r="B2681" t="s">
        <v>1811</v>
      </c>
      <c r="C2681" t="s">
        <v>1812</v>
      </c>
      <c r="D2681" t="s">
        <v>1813</v>
      </c>
      <c r="E2681" t="s">
        <v>4</v>
      </c>
      <c r="F2681">
        <v>1162</v>
      </c>
      <c r="G2681">
        <v>861</v>
      </c>
      <c r="H2681" t="s">
        <v>13</v>
      </c>
      <c r="I2681" t="b">
        <f t="shared" si="41"/>
        <v>0</v>
      </c>
    </row>
    <row r="2682" spans="1:9" x14ac:dyDescent="0.2">
      <c r="A2682" t="s">
        <v>6023</v>
      </c>
      <c r="B2682" t="s">
        <v>6024</v>
      </c>
      <c r="C2682" t="s">
        <v>1069</v>
      </c>
      <c r="D2682" t="s">
        <v>6025</v>
      </c>
      <c r="E2682" t="s">
        <v>4</v>
      </c>
      <c r="F2682">
        <v>258</v>
      </c>
      <c r="G2682">
        <v>972</v>
      </c>
      <c r="H2682" t="s">
        <v>13</v>
      </c>
      <c r="I2682" t="b">
        <f t="shared" si="41"/>
        <v>0</v>
      </c>
    </row>
    <row r="2683" spans="1:9" x14ac:dyDescent="0.2">
      <c r="A2683" t="s">
        <v>6699</v>
      </c>
      <c r="B2683" t="s">
        <v>6700</v>
      </c>
      <c r="C2683" t="s">
        <v>6701</v>
      </c>
      <c r="D2683" t="s">
        <v>538</v>
      </c>
      <c r="E2683" t="s">
        <v>4</v>
      </c>
      <c r="F2683">
        <v>86</v>
      </c>
      <c r="G2683">
        <v>93</v>
      </c>
      <c r="H2683" t="s">
        <v>13</v>
      </c>
      <c r="I2683" t="b">
        <f t="shared" si="41"/>
        <v>0</v>
      </c>
    </row>
    <row r="2684" spans="1:9" x14ac:dyDescent="0.2">
      <c r="A2684" t="s">
        <v>3784</v>
      </c>
      <c r="B2684" t="s">
        <v>3785</v>
      </c>
      <c r="C2684" t="s">
        <v>3786</v>
      </c>
      <c r="D2684" t="s">
        <v>1347</v>
      </c>
      <c r="E2684" t="s">
        <v>4</v>
      </c>
      <c r="F2684">
        <v>171</v>
      </c>
      <c r="G2684">
        <v>416</v>
      </c>
      <c r="H2684" t="s">
        <v>13</v>
      </c>
      <c r="I2684" t="b">
        <f t="shared" si="41"/>
        <v>0</v>
      </c>
    </row>
    <row r="2685" spans="1:9" x14ac:dyDescent="0.2">
      <c r="A2685" t="s">
        <v>3937</v>
      </c>
      <c r="B2685" t="s">
        <v>3938</v>
      </c>
      <c r="C2685" t="s">
        <v>3286</v>
      </c>
      <c r="D2685" t="s">
        <v>3</v>
      </c>
      <c r="E2685" t="s">
        <v>4</v>
      </c>
      <c r="F2685">
        <v>55</v>
      </c>
      <c r="G2685">
        <v>210</v>
      </c>
      <c r="H2685" t="s">
        <v>13</v>
      </c>
      <c r="I2685" t="b">
        <f t="shared" si="41"/>
        <v>0</v>
      </c>
    </row>
    <row r="2686" spans="1:9" x14ac:dyDescent="0.2">
      <c r="A2686" t="s">
        <v>5354</v>
      </c>
      <c r="B2686" t="s">
        <v>5355</v>
      </c>
      <c r="C2686" t="s">
        <v>406</v>
      </c>
      <c r="D2686" t="s">
        <v>5356</v>
      </c>
      <c r="E2686" t="s">
        <v>4</v>
      </c>
      <c r="F2686">
        <v>374</v>
      </c>
      <c r="G2686">
        <v>410</v>
      </c>
      <c r="H2686" t="s">
        <v>13</v>
      </c>
      <c r="I2686" t="b">
        <f t="shared" si="41"/>
        <v>0</v>
      </c>
    </row>
    <row r="2687" spans="1:9" x14ac:dyDescent="0.2">
      <c r="A2687" t="s">
        <v>3290</v>
      </c>
      <c r="B2687" t="s">
        <v>3291</v>
      </c>
      <c r="C2687" t="s">
        <v>349</v>
      </c>
      <c r="D2687" t="s">
        <v>3</v>
      </c>
      <c r="E2687" t="s">
        <v>4</v>
      </c>
      <c r="F2687">
        <v>137</v>
      </c>
      <c r="G2687">
        <v>676</v>
      </c>
      <c r="H2687" t="s">
        <v>13</v>
      </c>
      <c r="I2687" t="b">
        <f t="shared" si="41"/>
        <v>0</v>
      </c>
    </row>
    <row r="2688" spans="1:9" x14ac:dyDescent="0.2">
      <c r="A2688" t="s">
        <v>457</v>
      </c>
      <c r="B2688" t="s">
        <v>458</v>
      </c>
      <c r="C2688" t="s">
        <v>459</v>
      </c>
      <c r="D2688" t="s">
        <v>3</v>
      </c>
      <c r="E2688" t="s">
        <v>4</v>
      </c>
      <c r="F2688">
        <v>17</v>
      </c>
      <c r="G2688">
        <v>95</v>
      </c>
      <c r="H2688" t="s">
        <v>50</v>
      </c>
      <c r="I2688" t="b">
        <f t="shared" si="41"/>
        <v>0</v>
      </c>
    </row>
    <row r="2689" spans="1:9" x14ac:dyDescent="0.2">
      <c r="A2689" t="s">
        <v>6404</v>
      </c>
      <c r="B2689" t="s">
        <v>6405</v>
      </c>
      <c r="C2689" t="s">
        <v>476</v>
      </c>
      <c r="D2689" t="s">
        <v>477</v>
      </c>
      <c r="E2689" t="s">
        <v>4</v>
      </c>
      <c r="F2689">
        <v>293</v>
      </c>
      <c r="G2689">
        <v>0</v>
      </c>
      <c r="H2689" t="s">
        <v>114</v>
      </c>
      <c r="I2689" t="b">
        <f t="shared" si="41"/>
        <v>0</v>
      </c>
    </row>
    <row r="2690" spans="1:9" x14ac:dyDescent="0.2">
      <c r="A2690" t="s">
        <v>4717</v>
      </c>
      <c r="B2690" t="s">
        <v>4718</v>
      </c>
      <c r="C2690" t="s">
        <v>2340</v>
      </c>
      <c r="D2690" t="s">
        <v>4719</v>
      </c>
      <c r="E2690" t="s">
        <v>4</v>
      </c>
      <c r="F2690">
        <v>464</v>
      </c>
      <c r="G2690">
        <v>862</v>
      </c>
      <c r="H2690" t="s">
        <v>13</v>
      </c>
      <c r="I2690" t="b">
        <f t="shared" si="41"/>
        <v>0</v>
      </c>
    </row>
    <row r="2691" spans="1:9" x14ac:dyDescent="0.2">
      <c r="A2691" t="s">
        <v>3925</v>
      </c>
      <c r="B2691" t="s">
        <v>3926</v>
      </c>
      <c r="C2691" t="s">
        <v>155</v>
      </c>
      <c r="D2691" t="s">
        <v>3</v>
      </c>
      <c r="E2691" t="s">
        <v>4</v>
      </c>
      <c r="F2691">
        <v>650</v>
      </c>
      <c r="G2691">
        <v>2191</v>
      </c>
      <c r="H2691" t="s">
        <v>13</v>
      </c>
      <c r="I2691" t="b">
        <f t="shared" ref="I2691:I2692" si="42">isDup(B2691, B2692, 0.7)</f>
        <v>0</v>
      </c>
    </row>
    <row r="2692" spans="1:9" x14ac:dyDescent="0.2">
      <c r="A2692" t="s">
        <v>539</v>
      </c>
      <c r="B2692" t="s">
        <v>540</v>
      </c>
      <c r="C2692" t="s">
        <v>104</v>
      </c>
      <c r="D2692" t="s">
        <v>3</v>
      </c>
      <c r="E2692" t="s">
        <v>4</v>
      </c>
      <c r="F2692">
        <v>0</v>
      </c>
      <c r="G2692">
        <v>2</v>
      </c>
      <c r="H2692" t="s">
        <v>13</v>
      </c>
      <c r="I2692" t="b">
        <f t="shared" si="42"/>
        <v>0</v>
      </c>
    </row>
  </sheetData>
  <sortState xmlns:xlrd2="http://schemas.microsoft.com/office/spreadsheetml/2017/richdata2" ref="A2:H2844">
    <sortCondition ref="B2"/>
  </sortState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K2322"/>
  <sheetViews>
    <sheetView topLeftCell="D1746" workbookViewId="0">
      <selection activeCell="K58" sqref="K58"/>
    </sheetView>
  </sheetViews>
  <sheetFormatPr baseColWidth="10" defaultColWidth="8.83203125" defaultRowHeight="15" x14ac:dyDescent="0.2"/>
  <cols>
    <col min="1" max="1" width="23.1640625" customWidth="1"/>
    <col min="2" max="2" width="120.1640625" customWidth="1"/>
    <col min="3" max="3" width="15.33203125" customWidth="1"/>
    <col min="4" max="4" width="42.6640625" customWidth="1"/>
    <col min="6" max="6" width="14.83203125" customWidth="1"/>
    <col min="7" max="7" width="15.5" customWidth="1"/>
    <col min="10" max="10" width="14.5" customWidth="1"/>
    <col min="11" max="11" width="17.33203125" customWidth="1"/>
  </cols>
  <sheetData>
    <row r="1" spans="1:11" x14ac:dyDescent="0.2">
      <c r="A1" s="2" t="s">
        <v>7264</v>
      </c>
      <c r="B1" s="2" t="s">
        <v>7265</v>
      </c>
      <c r="C1" s="2" t="s">
        <v>7266</v>
      </c>
      <c r="D1" s="2" t="s">
        <v>7267</v>
      </c>
      <c r="E1" s="2" t="s">
        <v>7268</v>
      </c>
      <c r="F1" s="2" t="s">
        <v>7269</v>
      </c>
      <c r="G1" s="2" t="s">
        <v>7270</v>
      </c>
      <c r="H1" s="2" t="s">
        <v>7271</v>
      </c>
      <c r="I1" s="2" t="s">
        <v>7272</v>
      </c>
      <c r="J1" s="1" t="s">
        <v>7273</v>
      </c>
      <c r="K1" s="1" t="s">
        <v>7382</v>
      </c>
    </row>
    <row r="2" spans="1:11" x14ac:dyDescent="0.2">
      <c r="A2" t="s">
        <v>2653</v>
      </c>
      <c r="B2" t="s">
        <v>2654</v>
      </c>
      <c r="C2" t="s">
        <v>2655</v>
      </c>
      <c r="D2" t="s">
        <v>2656</v>
      </c>
      <c r="E2" t="s">
        <v>4</v>
      </c>
      <c r="F2">
        <v>2580</v>
      </c>
      <c r="G2">
        <v>4107</v>
      </c>
      <c r="H2" t="s">
        <v>13</v>
      </c>
      <c r="I2" t="b">
        <v>0</v>
      </c>
      <c r="J2">
        <f>sentimentCalc(B2)</f>
        <v>0</v>
      </c>
      <c r="K2" t="str">
        <f>sentimentCategory(J2)</f>
        <v>Neutral</v>
      </c>
    </row>
    <row r="3" spans="1:11" x14ac:dyDescent="0.2">
      <c r="A3" t="s">
        <v>5598</v>
      </c>
      <c r="B3" t="s">
        <v>5599</v>
      </c>
      <c r="C3" t="s">
        <v>1230</v>
      </c>
      <c r="D3" t="s">
        <v>3</v>
      </c>
      <c r="E3" t="s">
        <v>4</v>
      </c>
      <c r="F3">
        <v>40</v>
      </c>
      <c r="G3">
        <v>201</v>
      </c>
      <c r="H3" t="s">
        <v>13</v>
      </c>
      <c r="I3" t="b">
        <v>0</v>
      </c>
      <c r="J3">
        <f t="shared" ref="J3:J66" si="0">sentimentCalc(B3)</f>
        <v>0</v>
      </c>
      <c r="K3" t="str">
        <f t="shared" ref="K3:K66" si="1">sentimentCategory(J3)</f>
        <v>Neutral</v>
      </c>
    </row>
    <row r="4" spans="1:11" x14ac:dyDescent="0.2">
      <c r="A4" t="s">
        <v>1637</v>
      </c>
      <c r="B4" t="s">
        <v>1638</v>
      </c>
      <c r="C4" t="s">
        <v>1639</v>
      </c>
      <c r="D4" t="s">
        <v>1640</v>
      </c>
      <c r="E4" t="s">
        <v>4</v>
      </c>
      <c r="F4">
        <v>85</v>
      </c>
      <c r="G4">
        <v>113</v>
      </c>
      <c r="H4" t="s">
        <v>13</v>
      </c>
      <c r="I4" t="b">
        <v>0</v>
      </c>
      <c r="J4">
        <f t="shared" si="0"/>
        <v>0</v>
      </c>
      <c r="K4" t="str">
        <f t="shared" si="1"/>
        <v>Neutral</v>
      </c>
    </row>
    <row r="5" spans="1:11" x14ac:dyDescent="0.2">
      <c r="A5" t="s">
        <v>3555</v>
      </c>
      <c r="B5" t="s">
        <v>3556</v>
      </c>
      <c r="C5" t="s">
        <v>3557</v>
      </c>
      <c r="D5" t="s">
        <v>3</v>
      </c>
      <c r="E5" t="s">
        <v>4</v>
      </c>
      <c r="F5">
        <v>58</v>
      </c>
      <c r="G5">
        <v>32</v>
      </c>
      <c r="H5" t="s">
        <v>13</v>
      </c>
      <c r="I5" t="b">
        <v>0</v>
      </c>
      <c r="J5">
        <f t="shared" si="0"/>
        <v>0</v>
      </c>
      <c r="K5" t="str">
        <f t="shared" si="1"/>
        <v>Neutral</v>
      </c>
    </row>
    <row r="6" spans="1:11" x14ac:dyDescent="0.2">
      <c r="A6" t="s">
        <v>1683</v>
      </c>
      <c r="B6" t="s">
        <v>1684</v>
      </c>
      <c r="C6" t="s">
        <v>1685</v>
      </c>
      <c r="D6" t="s">
        <v>3</v>
      </c>
      <c r="E6" t="s">
        <v>4</v>
      </c>
      <c r="F6">
        <v>10</v>
      </c>
      <c r="G6">
        <v>70</v>
      </c>
      <c r="H6" t="s">
        <v>13</v>
      </c>
      <c r="I6" t="b">
        <v>0</v>
      </c>
      <c r="J6">
        <f t="shared" si="0"/>
        <v>20</v>
      </c>
      <c r="K6" t="str">
        <f t="shared" si="1"/>
        <v>Positive</v>
      </c>
    </row>
    <row r="7" spans="1:11" x14ac:dyDescent="0.2">
      <c r="A7" t="s">
        <v>660</v>
      </c>
      <c r="B7" t="s">
        <v>661</v>
      </c>
      <c r="C7" t="s">
        <v>662</v>
      </c>
      <c r="D7" t="s">
        <v>663</v>
      </c>
      <c r="E7" t="s">
        <v>4</v>
      </c>
      <c r="F7">
        <v>7064</v>
      </c>
      <c r="G7">
        <v>262</v>
      </c>
      <c r="H7" t="s">
        <v>13</v>
      </c>
      <c r="I7" t="b">
        <v>0</v>
      </c>
      <c r="J7">
        <f t="shared" si="0"/>
        <v>0</v>
      </c>
      <c r="K7" t="str">
        <f t="shared" si="1"/>
        <v>Neutral</v>
      </c>
    </row>
    <row r="8" spans="1:11" x14ac:dyDescent="0.2">
      <c r="A8" t="s">
        <v>3411</v>
      </c>
      <c r="B8" t="s">
        <v>3412</v>
      </c>
      <c r="C8" t="s">
        <v>662</v>
      </c>
      <c r="D8" t="s">
        <v>663</v>
      </c>
      <c r="E8" t="s">
        <v>4</v>
      </c>
      <c r="F8">
        <v>7063</v>
      </c>
      <c r="G8">
        <v>262</v>
      </c>
      <c r="H8" t="s">
        <v>13</v>
      </c>
      <c r="I8" t="b">
        <v>0</v>
      </c>
      <c r="J8">
        <f t="shared" si="0"/>
        <v>0</v>
      </c>
      <c r="K8" t="str">
        <f t="shared" si="1"/>
        <v>Neutral</v>
      </c>
    </row>
    <row r="9" spans="1:11" x14ac:dyDescent="0.2">
      <c r="A9" t="s">
        <v>1791</v>
      </c>
      <c r="B9" t="s">
        <v>1792</v>
      </c>
      <c r="C9" t="s">
        <v>662</v>
      </c>
      <c r="D9" t="s">
        <v>663</v>
      </c>
      <c r="E9" t="s">
        <v>4</v>
      </c>
      <c r="F9">
        <v>7063</v>
      </c>
      <c r="G9">
        <v>262</v>
      </c>
      <c r="H9" t="s">
        <v>13</v>
      </c>
      <c r="I9" t="b">
        <v>0</v>
      </c>
      <c r="J9">
        <f t="shared" si="0"/>
        <v>0</v>
      </c>
      <c r="K9" t="str">
        <f t="shared" si="1"/>
        <v>Neutral</v>
      </c>
    </row>
    <row r="10" spans="1:11" x14ac:dyDescent="0.2">
      <c r="A10" t="s">
        <v>4241</v>
      </c>
      <c r="B10" t="s">
        <v>4242</v>
      </c>
      <c r="C10" t="s">
        <v>662</v>
      </c>
      <c r="D10" t="s">
        <v>663</v>
      </c>
      <c r="E10" t="s">
        <v>4</v>
      </c>
      <c r="F10">
        <v>7063</v>
      </c>
      <c r="G10">
        <v>262</v>
      </c>
      <c r="H10" t="s">
        <v>13</v>
      </c>
      <c r="I10" t="b">
        <v>0</v>
      </c>
      <c r="J10">
        <f t="shared" si="0"/>
        <v>0</v>
      </c>
      <c r="K10" t="str">
        <f t="shared" si="1"/>
        <v>Neutral</v>
      </c>
    </row>
    <row r="11" spans="1:11" x14ac:dyDescent="0.2">
      <c r="A11" t="s">
        <v>5788</v>
      </c>
      <c r="B11" t="s">
        <v>5789</v>
      </c>
      <c r="C11" t="s">
        <v>662</v>
      </c>
      <c r="D11" t="s">
        <v>663</v>
      </c>
      <c r="E11" t="s">
        <v>4</v>
      </c>
      <c r="F11">
        <v>7063</v>
      </c>
      <c r="G11">
        <v>262</v>
      </c>
      <c r="H11" t="s">
        <v>13</v>
      </c>
      <c r="I11" t="b">
        <v>0</v>
      </c>
      <c r="J11">
        <f t="shared" si="0"/>
        <v>0</v>
      </c>
      <c r="K11" t="str">
        <f t="shared" si="1"/>
        <v>Neutral</v>
      </c>
    </row>
    <row r="12" spans="1:11" x14ac:dyDescent="0.2">
      <c r="A12" t="s">
        <v>1836</v>
      </c>
      <c r="B12" t="s">
        <v>1837</v>
      </c>
      <c r="C12" t="s">
        <v>1838</v>
      </c>
      <c r="D12" t="s">
        <v>1839</v>
      </c>
      <c r="E12" t="s">
        <v>4</v>
      </c>
      <c r="F12">
        <v>1174</v>
      </c>
      <c r="G12">
        <v>917</v>
      </c>
      <c r="H12" t="s">
        <v>13</v>
      </c>
      <c r="I12" t="b">
        <v>0</v>
      </c>
      <c r="J12">
        <f t="shared" si="0"/>
        <v>0</v>
      </c>
      <c r="K12" t="str">
        <f t="shared" si="1"/>
        <v>Neutral</v>
      </c>
    </row>
    <row r="13" spans="1:11" x14ac:dyDescent="0.2">
      <c r="A13" t="s">
        <v>849</v>
      </c>
      <c r="B13" t="s">
        <v>853</v>
      </c>
      <c r="C13" t="s">
        <v>487</v>
      </c>
      <c r="D13" t="s">
        <v>488</v>
      </c>
      <c r="E13" t="s">
        <v>4</v>
      </c>
      <c r="F13">
        <v>1899</v>
      </c>
      <c r="G13">
        <v>540</v>
      </c>
      <c r="H13" t="s">
        <v>13</v>
      </c>
      <c r="I13" t="b">
        <v>0</v>
      </c>
      <c r="J13">
        <f t="shared" si="0"/>
        <v>0</v>
      </c>
      <c r="K13" t="str">
        <f t="shared" si="1"/>
        <v>Neutral</v>
      </c>
    </row>
    <row r="14" spans="1:11" x14ac:dyDescent="0.2">
      <c r="A14" t="s">
        <v>2205</v>
      </c>
      <c r="B14" t="s">
        <v>2207</v>
      </c>
      <c r="C14" t="s">
        <v>588</v>
      </c>
      <c r="D14" t="s">
        <v>3</v>
      </c>
      <c r="E14" t="s">
        <v>4</v>
      </c>
      <c r="F14">
        <v>338</v>
      </c>
      <c r="G14">
        <v>139</v>
      </c>
      <c r="H14" t="s">
        <v>13</v>
      </c>
      <c r="I14" t="b">
        <v>0</v>
      </c>
      <c r="J14">
        <f t="shared" si="0"/>
        <v>0</v>
      </c>
      <c r="K14" t="str">
        <f t="shared" si="1"/>
        <v>Neutral</v>
      </c>
    </row>
    <row r="15" spans="1:11" x14ac:dyDescent="0.2">
      <c r="A15" t="s">
        <v>2756</v>
      </c>
      <c r="B15" t="s">
        <v>2757</v>
      </c>
      <c r="C15" t="s">
        <v>2758</v>
      </c>
      <c r="D15" t="s">
        <v>3</v>
      </c>
      <c r="E15" t="s">
        <v>4</v>
      </c>
      <c r="F15">
        <v>4</v>
      </c>
      <c r="G15">
        <v>41</v>
      </c>
      <c r="H15" t="s">
        <v>13</v>
      </c>
      <c r="I15" t="b">
        <v>0</v>
      </c>
      <c r="J15">
        <f t="shared" si="0"/>
        <v>0</v>
      </c>
      <c r="K15" t="str">
        <f t="shared" si="1"/>
        <v>Neutral</v>
      </c>
    </row>
    <row r="16" spans="1:11" x14ac:dyDescent="0.2">
      <c r="A16" t="s">
        <v>3767</v>
      </c>
      <c r="B16" t="s">
        <v>3768</v>
      </c>
      <c r="C16" t="s">
        <v>3769</v>
      </c>
      <c r="D16" t="s">
        <v>1000</v>
      </c>
      <c r="E16" t="s">
        <v>4</v>
      </c>
      <c r="F16">
        <v>2446</v>
      </c>
      <c r="G16">
        <v>208</v>
      </c>
      <c r="H16" t="s">
        <v>13</v>
      </c>
      <c r="I16" t="b">
        <v>0</v>
      </c>
      <c r="J16">
        <f t="shared" si="0"/>
        <v>0</v>
      </c>
      <c r="K16" t="str">
        <f t="shared" si="1"/>
        <v>Neutral</v>
      </c>
    </row>
    <row r="17" spans="1:11" x14ac:dyDescent="0.2">
      <c r="A17" t="s">
        <v>4615</v>
      </c>
      <c r="B17" t="s">
        <v>4616</v>
      </c>
      <c r="C17" t="s">
        <v>4617</v>
      </c>
      <c r="D17" t="s">
        <v>1027</v>
      </c>
      <c r="E17" t="s">
        <v>4</v>
      </c>
      <c r="F17">
        <v>22</v>
      </c>
      <c r="G17">
        <v>59</v>
      </c>
      <c r="H17" t="s">
        <v>13</v>
      </c>
      <c r="I17" t="b">
        <v>0</v>
      </c>
      <c r="J17">
        <f t="shared" si="0"/>
        <v>0</v>
      </c>
      <c r="K17" t="str">
        <f t="shared" si="1"/>
        <v>Neutral</v>
      </c>
    </row>
    <row r="18" spans="1:11" x14ac:dyDescent="0.2">
      <c r="A18" t="s">
        <v>7111</v>
      </c>
      <c r="B18" t="s">
        <v>7112</v>
      </c>
      <c r="C18" t="s">
        <v>137</v>
      </c>
      <c r="D18" t="s">
        <v>7113</v>
      </c>
      <c r="E18" t="s">
        <v>4</v>
      </c>
      <c r="F18">
        <v>15</v>
      </c>
      <c r="G18">
        <v>200</v>
      </c>
      <c r="H18" t="s">
        <v>363</v>
      </c>
      <c r="I18" t="b">
        <v>0</v>
      </c>
      <c r="J18">
        <f t="shared" si="0"/>
        <v>0</v>
      </c>
      <c r="K18" t="str">
        <f t="shared" si="1"/>
        <v>Neutral</v>
      </c>
    </row>
    <row r="19" spans="1:11" x14ac:dyDescent="0.2">
      <c r="A19" t="s">
        <v>1671</v>
      </c>
      <c r="B19" t="s">
        <v>1672</v>
      </c>
      <c r="C19" t="s">
        <v>1328</v>
      </c>
      <c r="D19" t="s">
        <v>1673</v>
      </c>
      <c r="E19" t="s">
        <v>4</v>
      </c>
      <c r="F19">
        <v>157</v>
      </c>
      <c r="G19">
        <v>114</v>
      </c>
      <c r="H19" t="s">
        <v>13</v>
      </c>
      <c r="I19" t="b">
        <v>0</v>
      </c>
      <c r="J19">
        <f t="shared" si="0"/>
        <v>0</v>
      </c>
      <c r="K19" t="str">
        <f t="shared" si="1"/>
        <v>Neutral</v>
      </c>
    </row>
    <row r="20" spans="1:11" x14ac:dyDescent="0.2">
      <c r="A20" t="s">
        <v>2648</v>
      </c>
      <c r="B20" t="s">
        <v>2649</v>
      </c>
      <c r="C20" t="s">
        <v>212</v>
      </c>
      <c r="D20" t="s">
        <v>3</v>
      </c>
      <c r="E20" t="s">
        <v>4</v>
      </c>
      <c r="F20">
        <v>12338</v>
      </c>
      <c r="G20">
        <v>138</v>
      </c>
      <c r="H20" t="s">
        <v>13</v>
      </c>
      <c r="I20" t="b">
        <v>0</v>
      </c>
      <c r="J20">
        <f t="shared" si="0"/>
        <v>-10</v>
      </c>
      <c r="K20" t="str">
        <f t="shared" si="1"/>
        <v>Negative</v>
      </c>
    </row>
    <row r="21" spans="1:11" x14ac:dyDescent="0.2">
      <c r="A21" t="s">
        <v>7131</v>
      </c>
      <c r="B21" t="s">
        <v>7132</v>
      </c>
      <c r="C21" t="s">
        <v>5512</v>
      </c>
      <c r="D21" t="s">
        <v>3</v>
      </c>
      <c r="E21" t="s">
        <v>4</v>
      </c>
      <c r="F21">
        <v>81</v>
      </c>
      <c r="G21">
        <v>8</v>
      </c>
      <c r="H21" t="s">
        <v>13</v>
      </c>
      <c r="I21" t="b">
        <v>0</v>
      </c>
      <c r="J21">
        <f t="shared" si="0"/>
        <v>0</v>
      </c>
      <c r="K21" t="str">
        <f t="shared" si="1"/>
        <v>Neutral</v>
      </c>
    </row>
    <row r="22" spans="1:11" x14ac:dyDescent="0.2">
      <c r="A22" t="s">
        <v>4206</v>
      </c>
      <c r="B22" t="s">
        <v>4207</v>
      </c>
      <c r="C22" t="s">
        <v>4158</v>
      </c>
      <c r="D22" t="s">
        <v>3</v>
      </c>
      <c r="E22" t="s">
        <v>4</v>
      </c>
      <c r="F22">
        <v>26</v>
      </c>
      <c r="G22">
        <v>50</v>
      </c>
      <c r="H22" t="s">
        <v>114</v>
      </c>
      <c r="I22" t="b">
        <v>0</v>
      </c>
      <c r="J22">
        <f>sentimentCalc(B22)</f>
        <v>0</v>
      </c>
      <c r="K22" t="str">
        <f t="shared" si="1"/>
        <v>Neutral</v>
      </c>
    </row>
    <row r="23" spans="1:11" x14ac:dyDescent="0.2">
      <c r="A23" t="s">
        <v>3419</v>
      </c>
      <c r="B23" t="s">
        <v>3420</v>
      </c>
      <c r="C23" t="s">
        <v>3421</v>
      </c>
      <c r="D23" t="s">
        <v>109</v>
      </c>
      <c r="E23" t="s">
        <v>4</v>
      </c>
      <c r="F23">
        <v>308</v>
      </c>
      <c r="G23">
        <v>341</v>
      </c>
      <c r="H23" t="s">
        <v>13</v>
      </c>
      <c r="I23" t="b">
        <v>0</v>
      </c>
      <c r="J23">
        <f t="shared" si="0"/>
        <v>0</v>
      </c>
      <c r="K23" t="str">
        <f t="shared" si="1"/>
        <v>Neutral</v>
      </c>
    </row>
    <row r="24" spans="1:11" x14ac:dyDescent="0.2">
      <c r="A24" t="s">
        <v>5895</v>
      </c>
      <c r="B24" t="s">
        <v>5896</v>
      </c>
      <c r="C24" t="s">
        <v>5897</v>
      </c>
      <c r="D24" t="s">
        <v>337</v>
      </c>
      <c r="E24" t="s">
        <v>4</v>
      </c>
      <c r="F24">
        <v>17232</v>
      </c>
      <c r="G24">
        <v>176</v>
      </c>
      <c r="H24" t="s">
        <v>50</v>
      </c>
      <c r="I24" t="b">
        <v>0</v>
      </c>
      <c r="J24">
        <f t="shared" si="0"/>
        <v>0</v>
      </c>
      <c r="K24" t="str">
        <f t="shared" si="1"/>
        <v>Neutral</v>
      </c>
    </row>
    <row r="25" spans="1:11" x14ac:dyDescent="0.2">
      <c r="A25" t="s">
        <v>3850</v>
      </c>
      <c r="B25" t="s">
        <v>3851</v>
      </c>
      <c r="C25" t="s">
        <v>3852</v>
      </c>
      <c r="D25" t="s">
        <v>3</v>
      </c>
      <c r="E25" t="s">
        <v>4</v>
      </c>
      <c r="F25">
        <v>55</v>
      </c>
      <c r="G25">
        <v>238</v>
      </c>
      <c r="H25" t="s">
        <v>13</v>
      </c>
      <c r="I25" t="b">
        <v>0</v>
      </c>
      <c r="J25">
        <f t="shared" si="0"/>
        <v>-10</v>
      </c>
      <c r="K25" t="str">
        <f t="shared" si="1"/>
        <v>Negative</v>
      </c>
    </row>
    <row r="26" spans="1:11" x14ac:dyDescent="0.2">
      <c r="A26" t="s">
        <v>80</v>
      </c>
      <c r="B26" t="s">
        <v>81</v>
      </c>
      <c r="C26" t="s">
        <v>82</v>
      </c>
      <c r="D26" t="s">
        <v>3</v>
      </c>
      <c r="E26" t="s">
        <v>4</v>
      </c>
      <c r="F26">
        <v>44</v>
      </c>
      <c r="G26">
        <v>321</v>
      </c>
      <c r="H26" t="s">
        <v>13</v>
      </c>
      <c r="I26" t="b">
        <v>0</v>
      </c>
      <c r="J26">
        <f t="shared" si="0"/>
        <v>0</v>
      </c>
      <c r="K26" t="str">
        <f t="shared" si="1"/>
        <v>Neutral</v>
      </c>
    </row>
    <row r="27" spans="1:11" x14ac:dyDescent="0.2">
      <c r="A27" t="s">
        <v>2326</v>
      </c>
      <c r="B27" t="s">
        <v>2327</v>
      </c>
      <c r="C27" t="s">
        <v>2328</v>
      </c>
      <c r="D27" t="s">
        <v>2329</v>
      </c>
      <c r="E27" t="s">
        <v>4</v>
      </c>
      <c r="F27">
        <v>5933</v>
      </c>
      <c r="G27">
        <v>6027</v>
      </c>
      <c r="H27" t="s">
        <v>13</v>
      </c>
      <c r="I27" t="b">
        <v>0</v>
      </c>
      <c r="J27">
        <f t="shared" si="0"/>
        <v>0</v>
      </c>
      <c r="K27" t="str">
        <f t="shared" si="1"/>
        <v>Neutral</v>
      </c>
    </row>
    <row r="28" spans="1:11" x14ac:dyDescent="0.2">
      <c r="A28" t="s">
        <v>6419</v>
      </c>
      <c r="B28" t="s">
        <v>6421</v>
      </c>
      <c r="C28" t="s">
        <v>1438</v>
      </c>
      <c r="D28" t="s">
        <v>6422</v>
      </c>
      <c r="E28" t="s">
        <v>4</v>
      </c>
      <c r="F28">
        <v>1233</v>
      </c>
      <c r="G28">
        <v>982</v>
      </c>
      <c r="H28" t="s">
        <v>1092</v>
      </c>
      <c r="I28" t="b">
        <v>0</v>
      </c>
      <c r="J28">
        <f t="shared" si="0"/>
        <v>0</v>
      </c>
      <c r="K28" t="str">
        <f t="shared" si="1"/>
        <v>Neutral</v>
      </c>
    </row>
    <row r="29" spans="1:11" x14ac:dyDescent="0.2">
      <c r="A29" t="s">
        <v>5959</v>
      </c>
      <c r="B29" t="s">
        <v>5960</v>
      </c>
      <c r="C29" t="s">
        <v>4165</v>
      </c>
      <c r="D29" t="s">
        <v>5961</v>
      </c>
      <c r="E29" t="s">
        <v>4</v>
      </c>
      <c r="F29">
        <v>212</v>
      </c>
      <c r="G29">
        <v>798</v>
      </c>
      <c r="H29" t="s">
        <v>13</v>
      </c>
      <c r="I29" t="b">
        <v>0</v>
      </c>
      <c r="J29">
        <f t="shared" si="0"/>
        <v>10</v>
      </c>
      <c r="K29" t="str">
        <f t="shared" si="1"/>
        <v>Positive</v>
      </c>
    </row>
    <row r="30" spans="1:11" x14ac:dyDescent="0.2">
      <c r="A30" t="s">
        <v>6579</v>
      </c>
      <c r="B30" t="s">
        <v>6580</v>
      </c>
      <c r="C30" t="s">
        <v>85</v>
      </c>
      <c r="D30" t="s">
        <v>6581</v>
      </c>
      <c r="E30" t="s">
        <v>4</v>
      </c>
      <c r="F30">
        <v>4286</v>
      </c>
      <c r="G30">
        <v>3819</v>
      </c>
      <c r="H30" t="s">
        <v>374</v>
      </c>
      <c r="I30" t="b">
        <v>0</v>
      </c>
      <c r="J30">
        <f t="shared" si="0"/>
        <v>10</v>
      </c>
      <c r="K30" t="str">
        <f t="shared" si="1"/>
        <v>Positive</v>
      </c>
    </row>
    <row r="31" spans="1:11" x14ac:dyDescent="0.2">
      <c r="A31" t="s">
        <v>6822</v>
      </c>
      <c r="B31" t="s">
        <v>6823</v>
      </c>
      <c r="C31" t="s">
        <v>5032</v>
      </c>
      <c r="D31" t="s">
        <v>6824</v>
      </c>
      <c r="E31" t="s">
        <v>4</v>
      </c>
      <c r="F31">
        <v>380</v>
      </c>
      <c r="G31">
        <v>140</v>
      </c>
      <c r="H31" t="s">
        <v>13</v>
      </c>
      <c r="I31" t="b">
        <v>0</v>
      </c>
      <c r="J31">
        <f t="shared" si="0"/>
        <v>10</v>
      </c>
      <c r="K31" t="str">
        <f t="shared" si="1"/>
        <v>Positive</v>
      </c>
    </row>
    <row r="32" spans="1:11" x14ac:dyDescent="0.2">
      <c r="A32" t="s">
        <v>5736</v>
      </c>
      <c r="B32" t="s">
        <v>5737</v>
      </c>
      <c r="C32" t="s">
        <v>1249</v>
      </c>
      <c r="D32" t="s">
        <v>3</v>
      </c>
      <c r="E32" t="s">
        <v>4</v>
      </c>
      <c r="F32">
        <v>251</v>
      </c>
      <c r="G32">
        <v>9</v>
      </c>
      <c r="H32" t="s">
        <v>13</v>
      </c>
      <c r="I32" t="b">
        <v>0</v>
      </c>
      <c r="J32">
        <f t="shared" si="0"/>
        <v>-10</v>
      </c>
      <c r="K32" t="str">
        <f t="shared" si="1"/>
        <v>Negative</v>
      </c>
    </row>
    <row r="33" spans="1:11" x14ac:dyDescent="0.2">
      <c r="A33" t="s">
        <v>3057</v>
      </c>
      <c r="B33" t="s">
        <v>3058</v>
      </c>
      <c r="C33" t="s">
        <v>1572</v>
      </c>
      <c r="D33" t="s">
        <v>2717</v>
      </c>
      <c r="E33" t="s">
        <v>4</v>
      </c>
      <c r="F33">
        <v>272</v>
      </c>
      <c r="G33">
        <v>39</v>
      </c>
      <c r="H33" t="s">
        <v>13</v>
      </c>
      <c r="I33" t="b">
        <v>0</v>
      </c>
      <c r="J33">
        <f t="shared" si="0"/>
        <v>0</v>
      </c>
      <c r="K33" t="str">
        <f t="shared" si="1"/>
        <v>Neutral</v>
      </c>
    </row>
    <row r="34" spans="1:11" x14ac:dyDescent="0.2">
      <c r="A34" t="s">
        <v>431</v>
      </c>
      <c r="B34" t="s">
        <v>432</v>
      </c>
      <c r="C34" t="s">
        <v>433</v>
      </c>
      <c r="D34" t="s">
        <v>3</v>
      </c>
      <c r="E34" t="s">
        <v>4</v>
      </c>
      <c r="F34">
        <v>8</v>
      </c>
      <c r="G34">
        <v>3</v>
      </c>
      <c r="H34" t="s">
        <v>13</v>
      </c>
      <c r="I34" t="b">
        <v>0</v>
      </c>
      <c r="J34">
        <f t="shared" si="0"/>
        <v>10</v>
      </c>
      <c r="K34" t="str">
        <f t="shared" si="1"/>
        <v>Positive</v>
      </c>
    </row>
    <row r="35" spans="1:11" x14ac:dyDescent="0.2">
      <c r="A35" t="s">
        <v>1464</v>
      </c>
      <c r="B35" t="s">
        <v>1465</v>
      </c>
      <c r="C35" t="s">
        <v>1413</v>
      </c>
      <c r="D35" t="s">
        <v>3</v>
      </c>
      <c r="E35" t="s">
        <v>4</v>
      </c>
      <c r="F35">
        <v>58</v>
      </c>
      <c r="G35">
        <v>778</v>
      </c>
      <c r="H35" t="s">
        <v>1466</v>
      </c>
      <c r="I35" t="b">
        <v>0</v>
      </c>
      <c r="J35">
        <f t="shared" si="0"/>
        <v>0</v>
      </c>
      <c r="K35" t="str">
        <f t="shared" si="1"/>
        <v>Neutral</v>
      </c>
    </row>
    <row r="36" spans="1:11" x14ac:dyDescent="0.2">
      <c r="A36" t="s">
        <v>5591</v>
      </c>
      <c r="B36" t="s">
        <v>5592</v>
      </c>
      <c r="C36" t="s">
        <v>4482</v>
      </c>
      <c r="D36" t="s">
        <v>5593</v>
      </c>
      <c r="E36" t="s">
        <v>4</v>
      </c>
      <c r="F36">
        <v>1650</v>
      </c>
      <c r="G36">
        <v>1570</v>
      </c>
      <c r="H36" t="s">
        <v>13</v>
      </c>
      <c r="I36" t="b">
        <v>0</v>
      </c>
      <c r="J36">
        <f t="shared" si="0"/>
        <v>0</v>
      </c>
      <c r="K36" t="str">
        <f t="shared" si="1"/>
        <v>Neutral</v>
      </c>
    </row>
    <row r="37" spans="1:11" x14ac:dyDescent="0.2">
      <c r="A37" t="s">
        <v>4928</v>
      </c>
      <c r="B37" t="s">
        <v>4929</v>
      </c>
      <c r="C37" t="s">
        <v>4930</v>
      </c>
      <c r="D37" t="s">
        <v>3</v>
      </c>
      <c r="E37" t="s">
        <v>4</v>
      </c>
      <c r="F37">
        <v>1565</v>
      </c>
      <c r="G37">
        <v>130</v>
      </c>
      <c r="H37" t="s">
        <v>13</v>
      </c>
      <c r="I37" t="b">
        <v>0</v>
      </c>
      <c r="J37">
        <f t="shared" si="0"/>
        <v>0</v>
      </c>
      <c r="K37" t="str">
        <f t="shared" si="1"/>
        <v>Neutral</v>
      </c>
    </row>
    <row r="38" spans="1:11" x14ac:dyDescent="0.2">
      <c r="A38" t="s">
        <v>7107</v>
      </c>
      <c r="B38" t="s">
        <v>7108</v>
      </c>
      <c r="C38" t="s">
        <v>7109</v>
      </c>
      <c r="D38" t="s">
        <v>3</v>
      </c>
      <c r="E38" t="s">
        <v>4</v>
      </c>
      <c r="F38">
        <v>614</v>
      </c>
      <c r="G38">
        <v>190</v>
      </c>
      <c r="H38" t="s">
        <v>13</v>
      </c>
      <c r="I38" t="b">
        <v>0</v>
      </c>
      <c r="J38">
        <f t="shared" si="0"/>
        <v>-10</v>
      </c>
      <c r="K38" t="str">
        <f t="shared" si="1"/>
        <v>Negative</v>
      </c>
    </row>
    <row r="39" spans="1:11" x14ac:dyDescent="0.2">
      <c r="A39" t="s">
        <v>3657</v>
      </c>
      <c r="B39" t="s">
        <v>3658</v>
      </c>
      <c r="C39" t="s">
        <v>117</v>
      </c>
      <c r="D39" t="s">
        <v>118</v>
      </c>
      <c r="E39" t="s">
        <v>4</v>
      </c>
      <c r="F39">
        <v>92</v>
      </c>
      <c r="G39">
        <v>202</v>
      </c>
      <c r="H39" t="s">
        <v>13</v>
      </c>
      <c r="I39" t="b">
        <v>0</v>
      </c>
      <c r="J39">
        <f t="shared" si="0"/>
        <v>10</v>
      </c>
      <c r="K39" t="str">
        <f t="shared" si="1"/>
        <v>Positive</v>
      </c>
    </row>
    <row r="40" spans="1:11" x14ac:dyDescent="0.2">
      <c r="A40" t="s">
        <v>2059</v>
      </c>
      <c r="B40" t="s">
        <v>2060</v>
      </c>
      <c r="C40" t="s">
        <v>117</v>
      </c>
      <c r="D40" t="s">
        <v>118</v>
      </c>
      <c r="E40" t="s">
        <v>4</v>
      </c>
      <c r="F40">
        <v>93</v>
      </c>
      <c r="G40">
        <v>202</v>
      </c>
      <c r="H40" t="s">
        <v>13</v>
      </c>
      <c r="I40" t="b">
        <v>0</v>
      </c>
      <c r="J40">
        <f t="shared" si="0"/>
        <v>0</v>
      </c>
      <c r="K40" t="str">
        <f t="shared" si="1"/>
        <v>Neutral</v>
      </c>
    </row>
    <row r="41" spans="1:11" x14ac:dyDescent="0.2">
      <c r="A41" t="s">
        <v>4769</v>
      </c>
      <c r="B41" t="s">
        <v>4770</v>
      </c>
      <c r="C41" t="s">
        <v>117</v>
      </c>
      <c r="D41" t="s">
        <v>118</v>
      </c>
      <c r="E41" t="s">
        <v>4</v>
      </c>
      <c r="F41">
        <v>93</v>
      </c>
      <c r="G41">
        <v>202</v>
      </c>
      <c r="H41" t="s">
        <v>13</v>
      </c>
      <c r="I41" t="b">
        <v>0</v>
      </c>
      <c r="J41">
        <f t="shared" si="0"/>
        <v>0</v>
      </c>
      <c r="K41" t="str">
        <f t="shared" si="1"/>
        <v>Neutral</v>
      </c>
    </row>
    <row r="42" spans="1:11" x14ac:dyDescent="0.2">
      <c r="A42" t="s">
        <v>115</v>
      </c>
      <c r="B42" t="s">
        <v>116</v>
      </c>
      <c r="C42" t="s">
        <v>117</v>
      </c>
      <c r="D42" t="s">
        <v>118</v>
      </c>
      <c r="E42" t="s">
        <v>4</v>
      </c>
      <c r="F42">
        <v>94</v>
      </c>
      <c r="G42">
        <v>202</v>
      </c>
      <c r="H42" t="s">
        <v>13</v>
      </c>
      <c r="I42" t="b">
        <v>0</v>
      </c>
      <c r="J42">
        <f t="shared" si="0"/>
        <v>0</v>
      </c>
      <c r="K42" t="str">
        <f t="shared" si="1"/>
        <v>Neutral</v>
      </c>
    </row>
    <row r="43" spans="1:11" x14ac:dyDescent="0.2">
      <c r="A43" t="s">
        <v>5444</v>
      </c>
      <c r="B43" t="s">
        <v>5445</v>
      </c>
      <c r="C43" t="s">
        <v>117</v>
      </c>
      <c r="D43" t="s">
        <v>118</v>
      </c>
      <c r="E43" t="s">
        <v>4</v>
      </c>
      <c r="F43">
        <v>95</v>
      </c>
      <c r="G43">
        <v>202</v>
      </c>
      <c r="H43" t="s">
        <v>13</v>
      </c>
      <c r="I43" t="b">
        <v>0</v>
      </c>
      <c r="J43">
        <f t="shared" si="0"/>
        <v>0</v>
      </c>
      <c r="K43" t="str">
        <f t="shared" si="1"/>
        <v>Neutral</v>
      </c>
    </row>
    <row r="44" spans="1:11" x14ac:dyDescent="0.2">
      <c r="A44" t="s">
        <v>368</v>
      </c>
      <c r="B44" t="s">
        <v>369</v>
      </c>
      <c r="C44" t="s">
        <v>117</v>
      </c>
      <c r="D44" t="s">
        <v>118</v>
      </c>
      <c r="E44" t="s">
        <v>4</v>
      </c>
      <c r="F44">
        <v>93</v>
      </c>
      <c r="G44">
        <v>202</v>
      </c>
      <c r="H44" t="s">
        <v>13</v>
      </c>
      <c r="I44" t="b">
        <v>0</v>
      </c>
      <c r="J44">
        <f t="shared" si="0"/>
        <v>10</v>
      </c>
      <c r="K44" t="str">
        <f t="shared" si="1"/>
        <v>Positive</v>
      </c>
    </row>
    <row r="45" spans="1:11" x14ac:dyDescent="0.2">
      <c r="A45" t="s">
        <v>5125</v>
      </c>
      <c r="B45" t="s">
        <v>5126</v>
      </c>
      <c r="C45" t="s">
        <v>117</v>
      </c>
      <c r="D45" t="s">
        <v>118</v>
      </c>
      <c r="E45" t="s">
        <v>4</v>
      </c>
      <c r="F45">
        <v>94</v>
      </c>
      <c r="G45">
        <v>202</v>
      </c>
      <c r="H45" t="s">
        <v>13</v>
      </c>
      <c r="I45" t="b">
        <v>0</v>
      </c>
      <c r="J45">
        <f t="shared" si="0"/>
        <v>0</v>
      </c>
      <c r="K45" t="str">
        <f t="shared" si="1"/>
        <v>Neutral</v>
      </c>
    </row>
    <row r="46" spans="1:11" x14ac:dyDescent="0.2">
      <c r="A46" t="s">
        <v>5774</v>
      </c>
      <c r="B46" t="s">
        <v>5775</v>
      </c>
      <c r="C46" t="s">
        <v>117</v>
      </c>
      <c r="D46" t="s">
        <v>118</v>
      </c>
      <c r="E46" t="s">
        <v>4</v>
      </c>
      <c r="F46">
        <v>95</v>
      </c>
      <c r="G46">
        <v>202</v>
      </c>
      <c r="H46" t="s">
        <v>13</v>
      </c>
      <c r="I46" t="b">
        <v>0</v>
      </c>
      <c r="J46">
        <f t="shared" si="0"/>
        <v>0</v>
      </c>
      <c r="K46" t="str">
        <f t="shared" si="1"/>
        <v>Neutral</v>
      </c>
    </row>
    <row r="47" spans="1:11" x14ac:dyDescent="0.2">
      <c r="A47" t="s">
        <v>1337</v>
      </c>
      <c r="B47" t="s">
        <v>1339</v>
      </c>
      <c r="C47" t="s">
        <v>472</v>
      </c>
      <c r="D47" t="s">
        <v>1340</v>
      </c>
      <c r="E47" t="s">
        <v>4</v>
      </c>
      <c r="F47">
        <v>3209</v>
      </c>
      <c r="G47">
        <v>461</v>
      </c>
      <c r="H47" t="s">
        <v>13</v>
      </c>
      <c r="I47" t="b">
        <v>0</v>
      </c>
      <c r="J47">
        <f t="shared" si="0"/>
        <v>0</v>
      </c>
      <c r="K47" t="str">
        <f t="shared" si="1"/>
        <v>Neutral</v>
      </c>
    </row>
    <row r="48" spans="1:11" x14ac:dyDescent="0.2">
      <c r="A48" t="s">
        <v>4310</v>
      </c>
      <c r="B48" t="s">
        <v>4311</v>
      </c>
      <c r="C48" t="s">
        <v>4312</v>
      </c>
      <c r="D48" t="s">
        <v>3</v>
      </c>
      <c r="E48" t="s">
        <v>4</v>
      </c>
      <c r="F48">
        <v>337</v>
      </c>
      <c r="G48">
        <v>669</v>
      </c>
      <c r="H48" t="s">
        <v>13</v>
      </c>
      <c r="I48" t="b">
        <v>0</v>
      </c>
      <c r="J48">
        <f t="shared" si="0"/>
        <v>0</v>
      </c>
      <c r="K48" t="str">
        <f t="shared" si="1"/>
        <v>Neutral</v>
      </c>
    </row>
    <row r="49" spans="1:11" x14ac:dyDescent="0.2">
      <c r="A49" t="s">
        <v>5302</v>
      </c>
      <c r="B49" t="s">
        <v>5303</v>
      </c>
      <c r="C49" t="s">
        <v>4123</v>
      </c>
      <c r="D49" t="s">
        <v>5304</v>
      </c>
      <c r="E49" t="s">
        <v>4</v>
      </c>
      <c r="F49">
        <v>198</v>
      </c>
      <c r="G49">
        <v>191</v>
      </c>
      <c r="H49" t="s">
        <v>13</v>
      </c>
      <c r="I49" t="b">
        <v>0</v>
      </c>
      <c r="J49">
        <f t="shared" si="0"/>
        <v>0</v>
      </c>
      <c r="K49" t="str">
        <f t="shared" si="1"/>
        <v>Neutral</v>
      </c>
    </row>
    <row r="50" spans="1:11" x14ac:dyDescent="0.2">
      <c r="A50" t="s">
        <v>4377</v>
      </c>
      <c r="B50" t="s">
        <v>4378</v>
      </c>
      <c r="C50" t="s">
        <v>4379</v>
      </c>
      <c r="D50" t="s">
        <v>1772</v>
      </c>
      <c r="E50" t="s">
        <v>4</v>
      </c>
      <c r="F50">
        <v>1325</v>
      </c>
      <c r="G50">
        <v>971</v>
      </c>
      <c r="H50" t="s">
        <v>13</v>
      </c>
      <c r="I50" t="b">
        <v>0</v>
      </c>
      <c r="J50">
        <f t="shared" si="0"/>
        <v>0</v>
      </c>
      <c r="K50" t="str">
        <f t="shared" si="1"/>
        <v>Neutral</v>
      </c>
    </row>
    <row r="51" spans="1:11" x14ac:dyDescent="0.2">
      <c r="A51" t="s">
        <v>2963</v>
      </c>
      <c r="B51" t="s">
        <v>2964</v>
      </c>
      <c r="C51" t="s">
        <v>2945</v>
      </c>
      <c r="D51" t="s">
        <v>3</v>
      </c>
      <c r="E51" t="s">
        <v>4</v>
      </c>
      <c r="F51">
        <v>7781</v>
      </c>
      <c r="G51">
        <v>1365</v>
      </c>
      <c r="H51" t="s">
        <v>13</v>
      </c>
      <c r="I51" t="b">
        <v>0</v>
      </c>
      <c r="J51">
        <f t="shared" si="0"/>
        <v>0</v>
      </c>
      <c r="K51" t="str">
        <f t="shared" si="1"/>
        <v>Neutral</v>
      </c>
    </row>
    <row r="52" spans="1:11" x14ac:dyDescent="0.2">
      <c r="A52" t="s">
        <v>4936</v>
      </c>
      <c r="B52" t="s">
        <v>4937</v>
      </c>
      <c r="C52" t="s">
        <v>627</v>
      </c>
      <c r="D52" t="s">
        <v>4938</v>
      </c>
      <c r="E52" t="s">
        <v>4</v>
      </c>
      <c r="F52">
        <v>2280</v>
      </c>
      <c r="G52">
        <v>1389</v>
      </c>
      <c r="H52" t="s">
        <v>13</v>
      </c>
      <c r="I52" t="b">
        <v>0</v>
      </c>
      <c r="J52">
        <f t="shared" si="0"/>
        <v>0</v>
      </c>
      <c r="K52" t="str">
        <f t="shared" si="1"/>
        <v>Neutral</v>
      </c>
    </row>
    <row r="53" spans="1:11" x14ac:dyDescent="0.2">
      <c r="A53" t="s">
        <v>6056</v>
      </c>
      <c r="B53" t="s">
        <v>6057</v>
      </c>
      <c r="C53" t="s">
        <v>740</v>
      </c>
      <c r="D53" t="s">
        <v>64</v>
      </c>
      <c r="E53" t="s">
        <v>4</v>
      </c>
      <c r="F53">
        <v>169</v>
      </c>
      <c r="G53">
        <v>52</v>
      </c>
      <c r="H53" t="s">
        <v>13</v>
      </c>
      <c r="I53" t="b">
        <v>0</v>
      </c>
      <c r="J53">
        <f t="shared" si="0"/>
        <v>0</v>
      </c>
      <c r="K53" t="str">
        <f t="shared" si="1"/>
        <v>Neutral</v>
      </c>
    </row>
    <row r="54" spans="1:11" x14ac:dyDescent="0.2">
      <c r="A54" t="s">
        <v>2667</v>
      </c>
      <c r="B54" t="s">
        <v>2669</v>
      </c>
      <c r="C54" t="s">
        <v>558</v>
      </c>
      <c r="D54" t="s">
        <v>3</v>
      </c>
      <c r="E54" t="s">
        <v>4</v>
      </c>
      <c r="F54">
        <v>236</v>
      </c>
      <c r="G54">
        <v>2</v>
      </c>
      <c r="H54" t="s">
        <v>13</v>
      </c>
      <c r="I54" t="b">
        <v>0</v>
      </c>
      <c r="J54">
        <f t="shared" si="0"/>
        <v>0</v>
      </c>
      <c r="K54" t="str">
        <f t="shared" si="1"/>
        <v>Neutral</v>
      </c>
    </row>
    <row r="55" spans="1:11" x14ac:dyDescent="0.2">
      <c r="A55" t="s">
        <v>1433</v>
      </c>
      <c r="B55" t="s">
        <v>1434</v>
      </c>
      <c r="C55" t="s">
        <v>1435</v>
      </c>
      <c r="D55" t="s">
        <v>101</v>
      </c>
      <c r="E55" t="s">
        <v>4</v>
      </c>
      <c r="F55">
        <v>2470</v>
      </c>
      <c r="G55">
        <v>2387</v>
      </c>
      <c r="H55" t="s">
        <v>5</v>
      </c>
      <c r="I55" t="b">
        <v>0</v>
      </c>
      <c r="J55">
        <f t="shared" si="0"/>
        <v>20</v>
      </c>
      <c r="K55" t="str">
        <f t="shared" si="1"/>
        <v>Positive</v>
      </c>
    </row>
    <row r="56" spans="1:11" x14ac:dyDescent="0.2">
      <c r="A56" t="s">
        <v>2281</v>
      </c>
      <c r="B56" t="s">
        <v>2282</v>
      </c>
      <c r="C56" t="s">
        <v>740</v>
      </c>
      <c r="D56" t="s">
        <v>64</v>
      </c>
      <c r="E56" t="s">
        <v>4</v>
      </c>
      <c r="F56">
        <v>168</v>
      </c>
      <c r="G56">
        <v>52</v>
      </c>
      <c r="H56" t="s">
        <v>13</v>
      </c>
      <c r="I56" t="b">
        <v>0</v>
      </c>
      <c r="J56">
        <f t="shared" si="0"/>
        <v>0</v>
      </c>
      <c r="K56" t="str">
        <f t="shared" si="1"/>
        <v>Neutral</v>
      </c>
    </row>
    <row r="57" spans="1:11" x14ac:dyDescent="0.2">
      <c r="A57" t="s">
        <v>3939</v>
      </c>
      <c r="B57" t="s">
        <v>3940</v>
      </c>
      <c r="C57" t="s">
        <v>740</v>
      </c>
      <c r="D57" t="s">
        <v>64</v>
      </c>
      <c r="E57" t="s">
        <v>4</v>
      </c>
      <c r="F57">
        <v>168</v>
      </c>
      <c r="G57">
        <v>52</v>
      </c>
      <c r="H57" t="s">
        <v>13</v>
      </c>
      <c r="I57" t="b">
        <v>0</v>
      </c>
      <c r="J57">
        <f t="shared" si="0"/>
        <v>0</v>
      </c>
      <c r="K57" t="str">
        <f t="shared" si="1"/>
        <v>Neutral</v>
      </c>
    </row>
    <row r="58" spans="1:11" x14ac:dyDescent="0.2">
      <c r="A58" t="s">
        <v>4007</v>
      </c>
      <c r="B58" t="s">
        <v>4008</v>
      </c>
      <c r="C58" t="s">
        <v>740</v>
      </c>
      <c r="D58" t="s">
        <v>64</v>
      </c>
      <c r="E58" t="s">
        <v>4</v>
      </c>
      <c r="F58">
        <v>168</v>
      </c>
      <c r="G58">
        <v>52</v>
      </c>
      <c r="H58" t="s">
        <v>13</v>
      </c>
      <c r="I58" t="b">
        <v>0</v>
      </c>
      <c r="J58">
        <f t="shared" si="0"/>
        <v>0</v>
      </c>
      <c r="K58" t="str">
        <f t="shared" si="1"/>
        <v>Neutral</v>
      </c>
    </row>
    <row r="59" spans="1:11" x14ac:dyDescent="0.2">
      <c r="A59" t="s">
        <v>2357</v>
      </c>
      <c r="B59" t="s">
        <v>2358</v>
      </c>
      <c r="C59" t="s">
        <v>740</v>
      </c>
      <c r="D59" t="s">
        <v>64</v>
      </c>
      <c r="E59" t="s">
        <v>4</v>
      </c>
      <c r="F59">
        <v>168</v>
      </c>
      <c r="G59">
        <v>52</v>
      </c>
      <c r="H59" t="s">
        <v>13</v>
      </c>
      <c r="I59" t="b">
        <v>0</v>
      </c>
      <c r="J59">
        <f t="shared" si="0"/>
        <v>0</v>
      </c>
      <c r="K59" t="str">
        <f t="shared" si="1"/>
        <v>Neutral</v>
      </c>
    </row>
    <row r="60" spans="1:11" x14ac:dyDescent="0.2">
      <c r="A60" t="s">
        <v>4034</v>
      </c>
      <c r="B60" t="s">
        <v>4035</v>
      </c>
      <c r="C60" t="s">
        <v>740</v>
      </c>
      <c r="D60" t="s">
        <v>64</v>
      </c>
      <c r="E60" t="s">
        <v>4</v>
      </c>
      <c r="F60">
        <v>168</v>
      </c>
      <c r="G60">
        <v>52</v>
      </c>
      <c r="H60" t="s">
        <v>13</v>
      </c>
      <c r="I60" t="b">
        <v>0</v>
      </c>
      <c r="J60">
        <f t="shared" si="0"/>
        <v>10</v>
      </c>
      <c r="K60" t="str">
        <f t="shared" si="1"/>
        <v>Positive</v>
      </c>
    </row>
    <row r="61" spans="1:11" x14ac:dyDescent="0.2">
      <c r="A61" t="s">
        <v>623</v>
      </c>
      <c r="B61" t="s">
        <v>624</v>
      </c>
      <c r="C61" t="s">
        <v>395</v>
      </c>
      <c r="D61" t="s">
        <v>396</v>
      </c>
      <c r="E61" t="s">
        <v>4</v>
      </c>
      <c r="F61">
        <v>48</v>
      </c>
      <c r="G61">
        <v>230</v>
      </c>
      <c r="H61" t="s">
        <v>13</v>
      </c>
      <c r="I61" t="b">
        <v>0</v>
      </c>
      <c r="J61">
        <f t="shared" si="0"/>
        <v>0</v>
      </c>
      <c r="K61" t="str">
        <f t="shared" si="1"/>
        <v>Neutral</v>
      </c>
    </row>
    <row r="62" spans="1:11" x14ac:dyDescent="0.2">
      <c r="A62" t="s">
        <v>6086</v>
      </c>
      <c r="B62" t="s">
        <v>6087</v>
      </c>
      <c r="C62" t="s">
        <v>5636</v>
      </c>
      <c r="D62" t="s">
        <v>3</v>
      </c>
      <c r="E62" t="s">
        <v>4</v>
      </c>
      <c r="F62">
        <v>87054</v>
      </c>
      <c r="G62">
        <v>83388</v>
      </c>
      <c r="H62" t="s">
        <v>13</v>
      </c>
      <c r="I62" t="b">
        <v>0</v>
      </c>
      <c r="J62">
        <f t="shared" si="0"/>
        <v>30</v>
      </c>
      <c r="K62" t="str">
        <f t="shared" si="1"/>
        <v>Positive</v>
      </c>
    </row>
    <row r="63" spans="1:11" x14ac:dyDescent="0.2">
      <c r="A63" t="s">
        <v>7037</v>
      </c>
      <c r="B63" t="s">
        <v>7038</v>
      </c>
      <c r="C63" t="s">
        <v>1862</v>
      </c>
      <c r="D63" t="s">
        <v>7039</v>
      </c>
      <c r="E63" t="s">
        <v>4</v>
      </c>
      <c r="F63">
        <v>21202</v>
      </c>
      <c r="G63">
        <v>399</v>
      </c>
      <c r="H63" t="s">
        <v>13</v>
      </c>
      <c r="I63" t="b">
        <v>0</v>
      </c>
      <c r="J63">
        <f t="shared" si="0"/>
        <v>0</v>
      </c>
      <c r="K63" t="str">
        <f t="shared" si="1"/>
        <v>Neutral</v>
      </c>
    </row>
    <row r="64" spans="1:11" x14ac:dyDescent="0.2">
      <c r="A64" t="s">
        <v>2015</v>
      </c>
      <c r="B64" t="s">
        <v>2016</v>
      </c>
      <c r="C64" t="s">
        <v>1116</v>
      </c>
      <c r="D64" t="s">
        <v>2017</v>
      </c>
      <c r="E64" t="s">
        <v>4</v>
      </c>
      <c r="F64">
        <v>1605</v>
      </c>
      <c r="G64">
        <v>288</v>
      </c>
      <c r="H64" t="s">
        <v>13</v>
      </c>
      <c r="I64" t="b">
        <v>0</v>
      </c>
      <c r="J64">
        <f t="shared" si="0"/>
        <v>0</v>
      </c>
      <c r="K64" t="str">
        <f t="shared" si="1"/>
        <v>Neutral</v>
      </c>
    </row>
    <row r="65" spans="1:11" x14ac:dyDescent="0.2">
      <c r="A65" t="s">
        <v>1789</v>
      </c>
      <c r="B65" t="s">
        <v>1790</v>
      </c>
      <c r="C65" t="s">
        <v>275</v>
      </c>
      <c r="D65" t="s">
        <v>3</v>
      </c>
      <c r="E65" t="s">
        <v>4</v>
      </c>
      <c r="F65">
        <v>30114</v>
      </c>
      <c r="G65">
        <v>981</v>
      </c>
      <c r="H65" t="s">
        <v>50</v>
      </c>
      <c r="I65" t="b">
        <v>0</v>
      </c>
      <c r="J65">
        <f t="shared" si="0"/>
        <v>0</v>
      </c>
      <c r="K65" t="str">
        <f t="shared" si="1"/>
        <v>Neutral</v>
      </c>
    </row>
    <row r="66" spans="1:11" x14ac:dyDescent="0.2">
      <c r="A66" t="s">
        <v>1357</v>
      </c>
      <c r="B66" t="s">
        <v>1358</v>
      </c>
      <c r="C66" t="s">
        <v>1359</v>
      </c>
      <c r="D66" t="s">
        <v>1360</v>
      </c>
      <c r="E66" t="s">
        <v>4</v>
      </c>
      <c r="F66">
        <v>1394</v>
      </c>
      <c r="G66">
        <v>2271</v>
      </c>
      <c r="H66" t="s">
        <v>13</v>
      </c>
      <c r="I66" t="b">
        <v>0</v>
      </c>
      <c r="J66">
        <f t="shared" si="0"/>
        <v>0</v>
      </c>
      <c r="K66" t="str">
        <f t="shared" si="1"/>
        <v>Neutral</v>
      </c>
    </row>
    <row r="67" spans="1:11" x14ac:dyDescent="0.2">
      <c r="A67" t="s">
        <v>3257</v>
      </c>
      <c r="B67" t="s">
        <v>3258</v>
      </c>
      <c r="C67" t="s">
        <v>2646</v>
      </c>
      <c r="D67" t="s">
        <v>2647</v>
      </c>
      <c r="E67" t="s">
        <v>4</v>
      </c>
      <c r="F67">
        <v>313</v>
      </c>
      <c r="G67">
        <v>182</v>
      </c>
      <c r="H67" t="s">
        <v>13</v>
      </c>
      <c r="I67" t="b">
        <v>0</v>
      </c>
      <c r="J67">
        <f t="shared" ref="J67:J130" si="2">sentimentCalc(B67)</f>
        <v>0</v>
      </c>
      <c r="K67" t="str">
        <f t="shared" ref="K67:K130" si="3">sentimentCategory(J67)</f>
        <v>Neutral</v>
      </c>
    </row>
    <row r="68" spans="1:11" x14ac:dyDescent="0.2">
      <c r="A68" t="s">
        <v>5889</v>
      </c>
      <c r="B68" t="s">
        <v>5890</v>
      </c>
      <c r="C68" t="s">
        <v>5891</v>
      </c>
      <c r="D68" t="s">
        <v>5892</v>
      </c>
      <c r="E68" t="s">
        <v>4</v>
      </c>
      <c r="F68">
        <v>169</v>
      </c>
      <c r="G68">
        <v>80</v>
      </c>
      <c r="H68" t="s">
        <v>13</v>
      </c>
      <c r="I68" t="b">
        <v>0</v>
      </c>
      <c r="J68">
        <f t="shared" si="2"/>
        <v>10</v>
      </c>
      <c r="K68" t="str">
        <f t="shared" si="3"/>
        <v>Positive</v>
      </c>
    </row>
    <row r="69" spans="1:11" x14ac:dyDescent="0.2">
      <c r="A69" t="s">
        <v>518</v>
      </c>
      <c r="B69" t="s">
        <v>519</v>
      </c>
      <c r="C69" t="s">
        <v>520</v>
      </c>
      <c r="D69" t="s">
        <v>3</v>
      </c>
      <c r="E69" t="s">
        <v>4</v>
      </c>
      <c r="F69">
        <v>833</v>
      </c>
      <c r="G69">
        <v>1</v>
      </c>
      <c r="H69" t="s">
        <v>13</v>
      </c>
      <c r="I69" t="b">
        <v>0</v>
      </c>
      <c r="J69">
        <f t="shared" si="2"/>
        <v>-10</v>
      </c>
      <c r="K69" t="str">
        <f t="shared" si="3"/>
        <v>Negative</v>
      </c>
    </row>
    <row r="70" spans="1:11" x14ac:dyDescent="0.2">
      <c r="A70" t="s">
        <v>3975</v>
      </c>
      <c r="B70" t="s">
        <v>3976</v>
      </c>
      <c r="C70" t="s">
        <v>2537</v>
      </c>
      <c r="D70" t="s">
        <v>21</v>
      </c>
      <c r="E70" t="s">
        <v>4</v>
      </c>
      <c r="F70">
        <v>227</v>
      </c>
      <c r="G70">
        <v>454</v>
      </c>
      <c r="H70" t="s">
        <v>86</v>
      </c>
      <c r="I70" t="b">
        <v>0</v>
      </c>
      <c r="J70">
        <f t="shared" si="2"/>
        <v>0</v>
      </c>
      <c r="K70" t="str">
        <f t="shared" si="3"/>
        <v>Neutral</v>
      </c>
    </row>
    <row r="71" spans="1:11" x14ac:dyDescent="0.2">
      <c r="A71" t="s">
        <v>750</v>
      </c>
      <c r="B71" t="s">
        <v>751</v>
      </c>
      <c r="C71" t="s">
        <v>752</v>
      </c>
      <c r="D71" t="s">
        <v>753</v>
      </c>
      <c r="E71" t="s">
        <v>4</v>
      </c>
      <c r="F71">
        <v>3058</v>
      </c>
      <c r="G71">
        <v>983</v>
      </c>
      <c r="H71" t="s">
        <v>13</v>
      </c>
      <c r="I71" t="b">
        <v>0</v>
      </c>
      <c r="J71">
        <f t="shared" si="2"/>
        <v>0</v>
      </c>
      <c r="K71" t="str">
        <f t="shared" si="3"/>
        <v>Neutral</v>
      </c>
    </row>
    <row r="72" spans="1:11" x14ac:dyDescent="0.2">
      <c r="A72" t="s">
        <v>5780</v>
      </c>
      <c r="B72" t="s">
        <v>5781</v>
      </c>
      <c r="C72" t="s">
        <v>5782</v>
      </c>
      <c r="D72" t="s">
        <v>1740</v>
      </c>
      <c r="E72" t="s">
        <v>4</v>
      </c>
      <c r="F72">
        <v>60</v>
      </c>
      <c r="G72">
        <v>153</v>
      </c>
      <c r="H72" t="s">
        <v>13</v>
      </c>
      <c r="I72" t="b">
        <v>0</v>
      </c>
      <c r="J72">
        <f t="shared" si="2"/>
        <v>0</v>
      </c>
      <c r="K72" t="str">
        <f t="shared" si="3"/>
        <v>Neutral</v>
      </c>
    </row>
    <row r="73" spans="1:11" x14ac:dyDescent="0.2">
      <c r="A73" t="s">
        <v>4493</v>
      </c>
      <c r="B73" t="s">
        <v>4494</v>
      </c>
      <c r="C73" t="s">
        <v>4495</v>
      </c>
      <c r="D73" t="s">
        <v>3</v>
      </c>
      <c r="E73" t="s">
        <v>4</v>
      </c>
      <c r="F73">
        <v>89</v>
      </c>
      <c r="G73">
        <v>60</v>
      </c>
      <c r="H73" t="s">
        <v>13</v>
      </c>
      <c r="I73" t="b">
        <v>0</v>
      </c>
      <c r="J73">
        <f t="shared" si="2"/>
        <v>0</v>
      </c>
      <c r="K73" t="str">
        <f t="shared" si="3"/>
        <v>Neutral</v>
      </c>
    </row>
    <row r="74" spans="1:11" x14ac:dyDescent="0.2">
      <c r="A74" t="s">
        <v>4532</v>
      </c>
      <c r="B74" t="s">
        <v>4535</v>
      </c>
      <c r="C74" t="s">
        <v>764</v>
      </c>
      <c r="D74" t="s">
        <v>4536</v>
      </c>
      <c r="E74" t="s">
        <v>4</v>
      </c>
      <c r="F74">
        <v>123</v>
      </c>
      <c r="G74">
        <v>0</v>
      </c>
      <c r="H74" t="s">
        <v>13</v>
      </c>
      <c r="I74" t="b">
        <v>0</v>
      </c>
      <c r="J74">
        <f t="shared" si="2"/>
        <v>0</v>
      </c>
      <c r="K74" t="str">
        <f t="shared" si="3"/>
        <v>Neutral</v>
      </c>
    </row>
    <row r="75" spans="1:11" x14ac:dyDescent="0.2">
      <c r="A75" t="s">
        <v>3086</v>
      </c>
      <c r="B75" t="s">
        <v>3087</v>
      </c>
      <c r="C75" t="s">
        <v>3088</v>
      </c>
      <c r="D75" t="s">
        <v>3</v>
      </c>
      <c r="E75" t="s">
        <v>4</v>
      </c>
      <c r="F75">
        <v>22</v>
      </c>
      <c r="G75">
        <v>116</v>
      </c>
      <c r="H75" t="s">
        <v>13</v>
      </c>
      <c r="I75" t="b">
        <v>0</v>
      </c>
      <c r="J75">
        <f t="shared" si="2"/>
        <v>0</v>
      </c>
      <c r="K75" t="str">
        <f t="shared" si="3"/>
        <v>Neutral</v>
      </c>
    </row>
    <row r="76" spans="1:11" x14ac:dyDescent="0.2">
      <c r="A76" t="s">
        <v>4557</v>
      </c>
      <c r="B76" t="s">
        <v>4558</v>
      </c>
      <c r="C76" t="s">
        <v>4559</v>
      </c>
      <c r="D76" t="s">
        <v>4560</v>
      </c>
      <c r="E76" t="s">
        <v>4</v>
      </c>
      <c r="F76">
        <v>2058</v>
      </c>
      <c r="G76">
        <v>503</v>
      </c>
      <c r="H76" t="s">
        <v>13</v>
      </c>
      <c r="I76" t="b">
        <v>0</v>
      </c>
      <c r="J76">
        <f t="shared" si="2"/>
        <v>0</v>
      </c>
      <c r="K76" t="str">
        <f t="shared" si="3"/>
        <v>Neutral</v>
      </c>
    </row>
    <row r="77" spans="1:11" x14ac:dyDescent="0.2">
      <c r="A77" t="s">
        <v>4532</v>
      </c>
      <c r="B77" t="s">
        <v>4533</v>
      </c>
      <c r="C77" t="s">
        <v>4534</v>
      </c>
      <c r="D77" t="s">
        <v>3</v>
      </c>
      <c r="E77" t="s">
        <v>4</v>
      </c>
      <c r="F77">
        <v>104</v>
      </c>
      <c r="G77">
        <v>78</v>
      </c>
      <c r="H77" t="s">
        <v>374</v>
      </c>
      <c r="I77" t="b">
        <v>0</v>
      </c>
      <c r="J77">
        <f t="shared" si="2"/>
        <v>0</v>
      </c>
      <c r="K77" t="str">
        <f t="shared" si="3"/>
        <v>Neutral</v>
      </c>
    </row>
    <row r="78" spans="1:11" x14ac:dyDescent="0.2">
      <c r="A78" t="s">
        <v>4972</v>
      </c>
      <c r="B78" t="s">
        <v>4973</v>
      </c>
      <c r="C78" t="s">
        <v>4974</v>
      </c>
      <c r="D78" t="s">
        <v>4975</v>
      </c>
      <c r="E78" t="s">
        <v>4</v>
      </c>
      <c r="F78">
        <v>1721</v>
      </c>
      <c r="G78">
        <v>1117</v>
      </c>
      <c r="H78" t="s">
        <v>13</v>
      </c>
      <c r="I78" t="b">
        <v>0</v>
      </c>
      <c r="J78">
        <f t="shared" si="2"/>
        <v>0</v>
      </c>
      <c r="K78" t="str">
        <f t="shared" si="3"/>
        <v>Neutral</v>
      </c>
    </row>
    <row r="79" spans="1:11" x14ac:dyDescent="0.2">
      <c r="A79" t="s">
        <v>684</v>
      </c>
      <c r="B79" t="s">
        <v>685</v>
      </c>
      <c r="C79" t="s">
        <v>686</v>
      </c>
      <c r="D79" t="s">
        <v>3</v>
      </c>
      <c r="E79" t="s">
        <v>4</v>
      </c>
      <c r="F79">
        <v>4</v>
      </c>
      <c r="G79">
        <v>19</v>
      </c>
      <c r="H79" t="s">
        <v>5</v>
      </c>
      <c r="I79" t="b">
        <v>0</v>
      </c>
      <c r="J79">
        <f t="shared" si="2"/>
        <v>0</v>
      </c>
      <c r="K79" t="str">
        <f t="shared" si="3"/>
        <v>Neutral</v>
      </c>
    </row>
    <row r="80" spans="1:11" x14ac:dyDescent="0.2">
      <c r="A80" t="s">
        <v>6661</v>
      </c>
      <c r="B80" t="s">
        <v>6662</v>
      </c>
      <c r="C80" t="s">
        <v>581</v>
      </c>
      <c r="D80" t="s">
        <v>582</v>
      </c>
      <c r="E80" t="s">
        <v>4</v>
      </c>
      <c r="F80">
        <v>11598</v>
      </c>
      <c r="G80">
        <v>1533</v>
      </c>
      <c r="H80" t="s">
        <v>50</v>
      </c>
      <c r="I80" t="b">
        <v>0</v>
      </c>
      <c r="J80">
        <f t="shared" si="2"/>
        <v>0</v>
      </c>
      <c r="K80" t="str">
        <f t="shared" si="3"/>
        <v>Neutral</v>
      </c>
    </row>
    <row r="81" spans="1:11" x14ac:dyDescent="0.2">
      <c r="A81" t="s">
        <v>2718</v>
      </c>
      <c r="B81" t="s">
        <v>2719</v>
      </c>
      <c r="C81" t="s">
        <v>962</v>
      </c>
      <c r="D81" t="s">
        <v>2720</v>
      </c>
      <c r="E81" t="s">
        <v>4</v>
      </c>
      <c r="F81">
        <v>87083</v>
      </c>
      <c r="G81">
        <v>386</v>
      </c>
      <c r="H81" t="s">
        <v>363</v>
      </c>
      <c r="I81" t="b">
        <v>0</v>
      </c>
      <c r="J81">
        <f t="shared" si="2"/>
        <v>0</v>
      </c>
      <c r="K81" t="str">
        <f t="shared" si="3"/>
        <v>Neutral</v>
      </c>
    </row>
    <row r="82" spans="1:11" x14ac:dyDescent="0.2">
      <c r="A82" t="s">
        <v>6723</v>
      </c>
      <c r="B82" t="s">
        <v>6724</v>
      </c>
      <c r="C82" t="s">
        <v>487</v>
      </c>
      <c r="D82" t="s">
        <v>488</v>
      </c>
      <c r="E82" t="s">
        <v>4</v>
      </c>
      <c r="F82">
        <v>1896</v>
      </c>
      <c r="G82">
        <v>540</v>
      </c>
      <c r="H82" t="s">
        <v>13</v>
      </c>
      <c r="I82" t="b">
        <v>0</v>
      </c>
      <c r="J82">
        <f t="shared" si="2"/>
        <v>0</v>
      </c>
      <c r="K82" t="str">
        <f t="shared" si="3"/>
        <v>Neutral</v>
      </c>
    </row>
    <row r="83" spans="1:11" x14ac:dyDescent="0.2">
      <c r="A83" t="s">
        <v>1250</v>
      </c>
      <c r="B83" t="s">
        <v>1251</v>
      </c>
      <c r="C83" t="s">
        <v>2</v>
      </c>
      <c r="D83" t="s">
        <v>320</v>
      </c>
      <c r="E83" t="s">
        <v>4</v>
      </c>
      <c r="F83">
        <v>75</v>
      </c>
      <c r="G83">
        <v>163</v>
      </c>
      <c r="H83" t="s">
        <v>13</v>
      </c>
      <c r="I83" t="b">
        <v>0</v>
      </c>
      <c r="J83">
        <f t="shared" si="2"/>
        <v>0</v>
      </c>
      <c r="K83" t="str">
        <f t="shared" si="3"/>
        <v>Neutral</v>
      </c>
    </row>
    <row r="84" spans="1:11" x14ac:dyDescent="0.2">
      <c r="A84" t="s">
        <v>5446</v>
      </c>
      <c r="B84" t="s">
        <v>5447</v>
      </c>
      <c r="C84" t="s">
        <v>581</v>
      </c>
      <c r="D84" t="s">
        <v>582</v>
      </c>
      <c r="E84" t="s">
        <v>4</v>
      </c>
      <c r="F84">
        <v>11599</v>
      </c>
      <c r="G84">
        <v>1534</v>
      </c>
      <c r="H84" t="s">
        <v>50</v>
      </c>
      <c r="I84" t="b">
        <v>0</v>
      </c>
      <c r="J84">
        <f t="shared" si="2"/>
        <v>0</v>
      </c>
      <c r="K84" t="str">
        <f t="shared" si="3"/>
        <v>Neutral</v>
      </c>
    </row>
    <row r="85" spans="1:11" x14ac:dyDescent="0.2">
      <c r="A85" t="s">
        <v>6262</v>
      </c>
      <c r="B85" t="s">
        <v>6263</v>
      </c>
      <c r="C85" t="s">
        <v>2854</v>
      </c>
      <c r="D85" t="s">
        <v>6264</v>
      </c>
      <c r="E85" t="s">
        <v>4</v>
      </c>
      <c r="F85">
        <v>81</v>
      </c>
      <c r="G85">
        <v>256</v>
      </c>
      <c r="H85" t="s">
        <v>13</v>
      </c>
      <c r="I85" t="b">
        <v>0</v>
      </c>
      <c r="J85">
        <f t="shared" si="2"/>
        <v>0</v>
      </c>
      <c r="K85" t="str">
        <f t="shared" si="3"/>
        <v>Neutral</v>
      </c>
    </row>
    <row r="86" spans="1:11" x14ac:dyDescent="0.2">
      <c r="A86" t="s">
        <v>2049</v>
      </c>
      <c r="B86" t="s">
        <v>2050</v>
      </c>
      <c r="C86" t="s">
        <v>1991</v>
      </c>
      <c r="D86" t="s">
        <v>2051</v>
      </c>
      <c r="E86" t="s">
        <v>4</v>
      </c>
      <c r="F86">
        <v>387</v>
      </c>
      <c r="G86">
        <v>187</v>
      </c>
      <c r="H86" t="s">
        <v>13</v>
      </c>
      <c r="I86" t="b">
        <v>0</v>
      </c>
      <c r="J86">
        <f t="shared" si="2"/>
        <v>0</v>
      </c>
      <c r="K86" t="str">
        <f t="shared" si="3"/>
        <v>Neutral</v>
      </c>
    </row>
    <row r="87" spans="1:11" x14ac:dyDescent="0.2">
      <c r="A87" t="s">
        <v>2198</v>
      </c>
      <c r="B87" t="s">
        <v>2199</v>
      </c>
      <c r="C87" t="s">
        <v>2200</v>
      </c>
      <c r="D87" t="s">
        <v>2201</v>
      </c>
      <c r="E87" t="s">
        <v>4</v>
      </c>
      <c r="F87">
        <v>5</v>
      </c>
      <c r="G87">
        <v>46</v>
      </c>
      <c r="H87" t="s">
        <v>13</v>
      </c>
      <c r="I87" t="b">
        <v>0</v>
      </c>
      <c r="J87">
        <f t="shared" si="2"/>
        <v>0</v>
      </c>
      <c r="K87" t="str">
        <f t="shared" si="3"/>
        <v>Neutral</v>
      </c>
    </row>
    <row r="88" spans="1:11" x14ac:dyDescent="0.2">
      <c r="A88" t="s">
        <v>1039</v>
      </c>
      <c r="B88" t="s">
        <v>1040</v>
      </c>
      <c r="C88" t="s">
        <v>1041</v>
      </c>
      <c r="D88" t="s">
        <v>1042</v>
      </c>
      <c r="E88" t="s">
        <v>4</v>
      </c>
      <c r="F88">
        <v>235</v>
      </c>
      <c r="G88">
        <v>259</v>
      </c>
      <c r="H88" t="s">
        <v>13</v>
      </c>
      <c r="I88" t="b">
        <v>0</v>
      </c>
      <c r="J88">
        <f t="shared" si="2"/>
        <v>20</v>
      </c>
      <c r="K88" t="str">
        <f t="shared" si="3"/>
        <v>Positive</v>
      </c>
    </row>
    <row r="89" spans="1:11" x14ac:dyDescent="0.2">
      <c r="A89" t="s">
        <v>5241</v>
      </c>
      <c r="B89" t="s">
        <v>5242</v>
      </c>
      <c r="C89" t="s">
        <v>3890</v>
      </c>
      <c r="D89" t="s">
        <v>3</v>
      </c>
      <c r="E89" t="s">
        <v>4</v>
      </c>
      <c r="F89">
        <v>102</v>
      </c>
      <c r="G89">
        <v>136</v>
      </c>
      <c r="H89" t="s">
        <v>13</v>
      </c>
      <c r="I89" t="b">
        <v>0</v>
      </c>
      <c r="J89">
        <f t="shared" si="2"/>
        <v>-10</v>
      </c>
      <c r="K89" t="str">
        <f t="shared" si="3"/>
        <v>Negative</v>
      </c>
    </row>
    <row r="90" spans="1:11" x14ac:dyDescent="0.2">
      <c r="A90" t="s">
        <v>4842</v>
      </c>
      <c r="B90" t="s">
        <v>4843</v>
      </c>
      <c r="C90" t="s">
        <v>4844</v>
      </c>
      <c r="D90" t="s">
        <v>320</v>
      </c>
      <c r="E90" t="s">
        <v>4</v>
      </c>
      <c r="F90">
        <v>15958</v>
      </c>
      <c r="G90">
        <v>14067</v>
      </c>
      <c r="H90" t="s">
        <v>13</v>
      </c>
      <c r="I90" t="b">
        <v>0</v>
      </c>
      <c r="J90">
        <f t="shared" si="2"/>
        <v>-10</v>
      </c>
      <c r="K90" t="str">
        <f t="shared" si="3"/>
        <v>Negative</v>
      </c>
    </row>
    <row r="91" spans="1:11" x14ac:dyDescent="0.2">
      <c r="A91" t="s">
        <v>5228</v>
      </c>
      <c r="B91" t="s">
        <v>5229</v>
      </c>
      <c r="C91" t="s">
        <v>230</v>
      </c>
      <c r="D91" t="s">
        <v>5230</v>
      </c>
      <c r="E91" t="s">
        <v>4</v>
      </c>
      <c r="F91">
        <v>163</v>
      </c>
      <c r="G91">
        <v>382</v>
      </c>
      <c r="H91" t="s">
        <v>13</v>
      </c>
      <c r="I91" t="b">
        <v>0</v>
      </c>
      <c r="J91">
        <f t="shared" si="2"/>
        <v>0</v>
      </c>
      <c r="K91" t="str">
        <f t="shared" si="3"/>
        <v>Neutral</v>
      </c>
    </row>
    <row r="92" spans="1:11" x14ac:dyDescent="0.2">
      <c r="A92" t="s">
        <v>2185</v>
      </c>
      <c r="B92" t="s">
        <v>2186</v>
      </c>
      <c r="C92" t="s">
        <v>2187</v>
      </c>
      <c r="D92" t="s">
        <v>2188</v>
      </c>
      <c r="E92" t="s">
        <v>4</v>
      </c>
      <c r="F92">
        <v>1792</v>
      </c>
      <c r="G92">
        <v>1251</v>
      </c>
      <c r="H92" t="s">
        <v>13</v>
      </c>
      <c r="I92" t="b">
        <v>0</v>
      </c>
      <c r="J92">
        <f t="shared" si="2"/>
        <v>0</v>
      </c>
      <c r="K92" t="str">
        <f t="shared" si="3"/>
        <v>Neutral</v>
      </c>
    </row>
    <row r="93" spans="1:11" x14ac:dyDescent="0.2">
      <c r="A93" t="s">
        <v>2820</v>
      </c>
      <c r="B93" t="s">
        <v>2821</v>
      </c>
      <c r="C93" t="s">
        <v>611</v>
      </c>
      <c r="D93" t="s">
        <v>1077</v>
      </c>
      <c r="E93" t="s">
        <v>4</v>
      </c>
      <c r="F93">
        <v>4</v>
      </c>
      <c r="G93">
        <v>107</v>
      </c>
      <c r="H93" t="s">
        <v>645</v>
      </c>
      <c r="I93" t="b">
        <v>0</v>
      </c>
      <c r="J93">
        <f t="shared" si="2"/>
        <v>-10</v>
      </c>
      <c r="K93" t="str">
        <f t="shared" si="3"/>
        <v>Negative</v>
      </c>
    </row>
    <row r="94" spans="1:11" x14ac:dyDescent="0.2">
      <c r="A94" t="s">
        <v>664</v>
      </c>
      <c r="B94" t="s">
        <v>665</v>
      </c>
      <c r="C94" t="s">
        <v>579</v>
      </c>
      <c r="D94" t="s">
        <v>3</v>
      </c>
      <c r="E94" t="s">
        <v>4</v>
      </c>
      <c r="F94">
        <v>5570</v>
      </c>
      <c r="G94">
        <v>906</v>
      </c>
      <c r="H94" t="s">
        <v>13</v>
      </c>
      <c r="I94" t="b">
        <v>0</v>
      </c>
      <c r="J94">
        <f t="shared" si="2"/>
        <v>0</v>
      </c>
      <c r="K94" t="str">
        <f t="shared" si="3"/>
        <v>Neutral</v>
      </c>
    </row>
    <row r="95" spans="1:11" x14ac:dyDescent="0.2">
      <c r="A95" t="s">
        <v>5176</v>
      </c>
      <c r="B95" t="s">
        <v>5177</v>
      </c>
      <c r="C95" t="s">
        <v>5178</v>
      </c>
      <c r="D95" t="s">
        <v>98</v>
      </c>
      <c r="E95" t="s">
        <v>4</v>
      </c>
      <c r="F95">
        <v>88</v>
      </c>
      <c r="G95">
        <v>9</v>
      </c>
      <c r="H95" t="s">
        <v>13</v>
      </c>
      <c r="I95" t="b">
        <v>0</v>
      </c>
      <c r="J95">
        <f t="shared" si="2"/>
        <v>0</v>
      </c>
      <c r="K95" t="str">
        <f t="shared" si="3"/>
        <v>Neutral</v>
      </c>
    </row>
    <row r="96" spans="1:11" x14ac:dyDescent="0.2">
      <c r="A96" t="s">
        <v>1517</v>
      </c>
      <c r="B96" t="s">
        <v>1518</v>
      </c>
      <c r="C96" t="s">
        <v>1519</v>
      </c>
      <c r="D96" t="s">
        <v>3</v>
      </c>
      <c r="E96" t="s">
        <v>4</v>
      </c>
      <c r="F96">
        <v>114</v>
      </c>
      <c r="G96">
        <v>433</v>
      </c>
      <c r="H96" t="s">
        <v>13</v>
      </c>
      <c r="I96" t="b">
        <v>0</v>
      </c>
      <c r="J96">
        <f t="shared" si="2"/>
        <v>0</v>
      </c>
      <c r="K96" t="str">
        <f t="shared" si="3"/>
        <v>Neutral</v>
      </c>
    </row>
    <row r="97" spans="1:11" x14ac:dyDescent="0.2">
      <c r="A97" t="s">
        <v>5778</v>
      </c>
      <c r="B97" t="s">
        <v>5779</v>
      </c>
      <c r="C97" t="s">
        <v>4782</v>
      </c>
      <c r="D97" t="s">
        <v>3</v>
      </c>
      <c r="E97" t="s">
        <v>4</v>
      </c>
      <c r="F97">
        <v>113</v>
      </c>
      <c r="G97">
        <v>317</v>
      </c>
      <c r="H97" t="s">
        <v>13</v>
      </c>
      <c r="I97" t="b">
        <v>0</v>
      </c>
      <c r="J97">
        <f t="shared" si="2"/>
        <v>0</v>
      </c>
      <c r="K97" t="str">
        <f t="shared" si="3"/>
        <v>Neutral</v>
      </c>
    </row>
    <row r="98" spans="1:11" x14ac:dyDescent="0.2">
      <c r="A98" t="s">
        <v>2827</v>
      </c>
      <c r="B98" t="s">
        <v>2828</v>
      </c>
      <c r="C98" t="s">
        <v>2829</v>
      </c>
      <c r="D98" t="s">
        <v>101</v>
      </c>
      <c r="E98" t="s">
        <v>4</v>
      </c>
      <c r="F98">
        <v>38</v>
      </c>
      <c r="G98">
        <v>262</v>
      </c>
      <c r="H98" t="s">
        <v>13</v>
      </c>
      <c r="I98" t="b">
        <v>0</v>
      </c>
      <c r="J98">
        <f t="shared" si="2"/>
        <v>0</v>
      </c>
      <c r="K98" t="str">
        <f t="shared" si="3"/>
        <v>Neutral</v>
      </c>
    </row>
    <row r="99" spans="1:11" x14ac:dyDescent="0.2">
      <c r="A99" t="s">
        <v>4278</v>
      </c>
      <c r="B99" t="s">
        <v>4279</v>
      </c>
      <c r="C99" t="s">
        <v>1991</v>
      </c>
      <c r="D99" t="s">
        <v>3</v>
      </c>
      <c r="E99" t="s">
        <v>4</v>
      </c>
      <c r="F99">
        <v>30</v>
      </c>
      <c r="G99">
        <v>11</v>
      </c>
      <c r="H99" t="s">
        <v>13</v>
      </c>
      <c r="I99" t="b">
        <v>0</v>
      </c>
      <c r="J99">
        <f t="shared" si="2"/>
        <v>0</v>
      </c>
      <c r="K99" t="str">
        <f t="shared" si="3"/>
        <v>Neutral</v>
      </c>
    </row>
    <row r="100" spans="1:11" x14ac:dyDescent="0.2">
      <c r="A100" t="s">
        <v>4390</v>
      </c>
      <c r="B100" t="s">
        <v>4391</v>
      </c>
      <c r="C100" t="s">
        <v>171</v>
      </c>
      <c r="D100" t="s">
        <v>4392</v>
      </c>
      <c r="E100" t="s">
        <v>4</v>
      </c>
      <c r="F100">
        <v>980</v>
      </c>
      <c r="G100">
        <v>640</v>
      </c>
      <c r="H100" t="s">
        <v>13</v>
      </c>
      <c r="I100" t="b">
        <v>0</v>
      </c>
      <c r="J100">
        <f t="shared" si="2"/>
        <v>0</v>
      </c>
      <c r="K100" t="str">
        <f t="shared" si="3"/>
        <v>Neutral</v>
      </c>
    </row>
    <row r="101" spans="1:11" x14ac:dyDescent="0.2">
      <c r="A101" t="s">
        <v>2237</v>
      </c>
      <c r="B101" t="s">
        <v>2238</v>
      </c>
      <c r="C101" t="s">
        <v>2239</v>
      </c>
      <c r="D101" t="s">
        <v>2240</v>
      </c>
      <c r="E101" t="s">
        <v>4</v>
      </c>
      <c r="F101">
        <v>511</v>
      </c>
      <c r="G101">
        <v>342</v>
      </c>
      <c r="H101" t="s">
        <v>13</v>
      </c>
      <c r="I101" t="b">
        <v>0</v>
      </c>
      <c r="J101">
        <f t="shared" si="2"/>
        <v>-10</v>
      </c>
      <c r="K101" t="str">
        <f t="shared" si="3"/>
        <v>Negative</v>
      </c>
    </row>
    <row r="102" spans="1:11" x14ac:dyDescent="0.2">
      <c r="A102" t="s">
        <v>2257</v>
      </c>
      <c r="B102" t="s">
        <v>2258</v>
      </c>
      <c r="C102" t="s">
        <v>2259</v>
      </c>
      <c r="D102" t="s">
        <v>2260</v>
      </c>
      <c r="E102" t="s">
        <v>4</v>
      </c>
      <c r="F102">
        <v>397</v>
      </c>
      <c r="G102">
        <v>369</v>
      </c>
      <c r="H102" t="s">
        <v>13</v>
      </c>
      <c r="I102" t="b">
        <v>0</v>
      </c>
      <c r="J102">
        <f t="shared" si="2"/>
        <v>0</v>
      </c>
      <c r="K102" t="str">
        <f t="shared" si="3"/>
        <v>Neutral</v>
      </c>
    </row>
    <row r="103" spans="1:11" x14ac:dyDescent="0.2">
      <c r="A103" t="s">
        <v>1195</v>
      </c>
      <c r="B103" t="s">
        <v>1196</v>
      </c>
      <c r="C103" t="s">
        <v>1197</v>
      </c>
      <c r="D103" t="s">
        <v>1198</v>
      </c>
      <c r="E103" t="s">
        <v>4</v>
      </c>
      <c r="F103">
        <v>41</v>
      </c>
      <c r="G103">
        <v>122</v>
      </c>
      <c r="H103" t="s">
        <v>13</v>
      </c>
      <c r="I103" t="b">
        <v>0</v>
      </c>
      <c r="J103">
        <f t="shared" si="2"/>
        <v>10</v>
      </c>
      <c r="K103" t="str">
        <f t="shared" si="3"/>
        <v>Positive</v>
      </c>
    </row>
    <row r="104" spans="1:11" x14ac:dyDescent="0.2">
      <c r="A104" t="s">
        <v>5623</v>
      </c>
      <c r="B104" t="s">
        <v>5624</v>
      </c>
      <c r="C104" t="s">
        <v>4984</v>
      </c>
      <c r="D104" t="s">
        <v>3</v>
      </c>
      <c r="E104" t="s">
        <v>4</v>
      </c>
      <c r="F104">
        <v>14</v>
      </c>
      <c r="G104">
        <v>15</v>
      </c>
      <c r="H104" t="s">
        <v>13</v>
      </c>
      <c r="I104" t="b">
        <v>0</v>
      </c>
      <c r="J104">
        <f t="shared" si="2"/>
        <v>0</v>
      </c>
      <c r="K104" t="str">
        <f t="shared" si="3"/>
        <v>Neutral</v>
      </c>
    </row>
    <row r="105" spans="1:11" x14ac:dyDescent="0.2">
      <c r="A105" t="s">
        <v>3631</v>
      </c>
      <c r="B105" t="s">
        <v>3632</v>
      </c>
      <c r="C105" t="s">
        <v>1258</v>
      </c>
      <c r="D105" t="s">
        <v>64</v>
      </c>
      <c r="E105" t="s">
        <v>4</v>
      </c>
      <c r="F105">
        <v>36</v>
      </c>
      <c r="G105">
        <v>0</v>
      </c>
      <c r="H105" t="s">
        <v>13</v>
      </c>
      <c r="I105" t="b">
        <v>0</v>
      </c>
      <c r="J105">
        <f t="shared" si="2"/>
        <v>0</v>
      </c>
      <c r="K105" t="str">
        <f t="shared" si="3"/>
        <v>Neutral</v>
      </c>
    </row>
    <row r="106" spans="1:11" x14ac:dyDescent="0.2">
      <c r="A106" t="s">
        <v>6434</v>
      </c>
      <c r="B106" t="s">
        <v>6435</v>
      </c>
      <c r="C106" t="s">
        <v>3675</v>
      </c>
      <c r="D106" t="s">
        <v>3</v>
      </c>
      <c r="E106" t="s">
        <v>4</v>
      </c>
      <c r="F106">
        <v>306</v>
      </c>
      <c r="G106">
        <v>580</v>
      </c>
      <c r="H106" t="s">
        <v>13</v>
      </c>
      <c r="I106" t="b">
        <v>0</v>
      </c>
      <c r="J106">
        <f t="shared" si="2"/>
        <v>0</v>
      </c>
      <c r="K106" t="str">
        <f t="shared" si="3"/>
        <v>Neutral</v>
      </c>
    </row>
    <row r="107" spans="1:11" x14ac:dyDescent="0.2">
      <c r="A107" t="s">
        <v>5431</v>
      </c>
      <c r="B107" t="s">
        <v>5432</v>
      </c>
      <c r="C107" t="s">
        <v>185</v>
      </c>
      <c r="D107" t="s">
        <v>5433</v>
      </c>
      <c r="E107" t="s">
        <v>4</v>
      </c>
      <c r="F107">
        <v>37</v>
      </c>
      <c r="G107">
        <v>347</v>
      </c>
      <c r="H107" t="s">
        <v>645</v>
      </c>
      <c r="I107" t="b">
        <v>0</v>
      </c>
      <c r="J107">
        <f t="shared" si="2"/>
        <v>0</v>
      </c>
      <c r="K107" t="str">
        <f t="shared" si="3"/>
        <v>Neutral</v>
      </c>
    </row>
    <row r="108" spans="1:11" x14ac:dyDescent="0.2">
      <c r="A108" t="s">
        <v>1929</v>
      </c>
      <c r="B108" t="s">
        <v>1930</v>
      </c>
      <c r="C108" t="s">
        <v>28</v>
      </c>
      <c r="D108" t="s">
        <v>3</v>
      </c>
      <c r="E108" t="s">
        <v>4</v>
      </c>
      <c r="F108">
        <v>1</v>
      </c>
      <c r="G108">
        <v>92</v>
      </c>
      <c r="H108" t="s">
        <v>13</v>
      </c>
      <c r="I108" t="b">
        <v>0</v>
      </c>
      <c r="J108">
        <f t="shared" si="2"/>
        <v>0</v>
      </c>
      <c r="K108" t="str">
        <f t="shared" si="3"/>
        <v>Neutral</v>
      </c>
    </row>
    <row r="109" spans="1:11" x14ac:dyDescent="0.2">
      <c r="A109" t="s">
        <v>4088</v>
      </c>
      <c r="B109" t="s">
        <v>4089</v>
      </c>
      <c r="C109" t="s">
        <v>733</v>
      </c>
      <c r="D109" t="s">
        <v>3</v>
      </c>
      <c r="E109" t="s">
        <v>4</v>
      </c>
      <c r="F109">
        <v>14</v>
      </c>
      <c r="G109">
        <v>47</v>
      </c>
      <c r="H109" t="s">
        <v>13</v>
      </c>
      <c r="I109" t="b">
        <v>0</v>
      </c>
      <c r="J109">
        <f t="shared" si="2"/>
        <v>0</v>
      </c>
      <c r="K109" t="str">
        <f t="shared" si="3"/>
        <v>Neutral</v>
      </c>
    </row>
    <row r="110" spans="1:11" x14ac:dyDescent="0.2">
      <c r="A110" t="s">
        <v>3875</v>
      </c>
      <c r="B110" t="s">
        <v>3876</v>
      </c>
      <c r="C110" t="s">
        <v>549</v>
      </c>
      <c r="D110" t="s">
        <v>3877</v>
      </c>
      <c r="E110" t="s">
        <v>4</v>
      </c>
      <c r="F110">
        <v>226</v>
      </c>
      <c r="G110">
        <v>3</v>
      </c>
      <c r="H110" t="s">
        <v>13</v>
      </c>
      <c r="I110" t="b">
        <v>0</v>
      </c>
      <c r="J110">
        <f t="shared" si="2"/>
        <v>0</v>
      </c>
      <c r="K110" t="str">
        <f t="shared" si="3"/>
        <v>Neutral</v>
      </c>
    </row>
    <row r="111" spans="1:11" x14ac:dyDescent="0.2">
      <c r="A111" t="s">
        <v>5659</v>
      </c>
      <c r="B111" t="s">
        <v>5661</v>
      </c>
      <c r="C111" t="s">
        <v>1230</v>
      </c>
      <c r="D111" t="s">
        <v>1231</v>
      </c>
      <c r="E111" t="s">
        <v>4</v>
      </c>
      <c r="F111">
        <v>427</v>
      </c>
      <c r="G111">
        <v>768</v>
      </c>
      <c r="H111" t="s">
        <v>13</v>
      </c>
      <c r="I111" t="b">
        <v>0</v>
      </c>
      <c r="J111">
        <f t="shared" si="2"/>
        <v>0</v>
      </c>
      <c r="K111" t="str">
        <f t="shared" si="3"/>
        <v>Neutral</v>
      </c>
    </row>
    <row r="112" spans="1:11" x14ac:dyDescent="0.2">
      <c r="A112" t="s">
        <v>1436</v>
      </c>
      <c r="B112" t="s">
        <v>1437</v>
      </c>
      <c r="C112" t="s">
        <v>1438</v>
      </c>
      <c r="D112" t="s">
        <v>1439</v>
      </c>
      <c r="E112" t="s">
        <v>4</v>
      </c>
      <c r="F112">
        <v>11</v>
      </c>
      <c r="G112">
        <v>182</v>
      </c>
      <c r="H112" t="s">
        <v>13</v>
      </c>
      <c r="I112" t="b">
        <v>0</v>
      </c>
      <c r="J112">
        <f t="shared" si="2"/>
        <v>0</v>
      </c>
      <c r="K112" t="str">
        <f t="shared" si="3"/>
        <v>Neutral</v>
      </c>
    </row>
    <row r="113" spans="1:11" x14ac:dyDescent="0.2">
      <c r="A113" t="s">
        <v>6</v>
      </c>
      <c r="B113" t="s">
        <v>7</v>
      </c>
      <c r="C113" t="s">
        <v>8</v>
      </c>
      <c r="D113" t="s">
        <v>9</v>
      </c>
      <c r="E113" t="s">
        <v>4</v>
      </c>
      <c r="F113">
        <v>113</v>
      </c>
      <c r="G113">
        <v>110</v>
      </c>
      <c r="H113" t="s">
        <v>5</v>
      </c>
      <c r="I113" t="b">
        <v>0</v>
      </c>
      <c r="J113">
        <f t="shared" si="2"/>
        <v>0</v>
      </c>
      <c r="K113" t="str">
        <f t="shared" si="3"/>
        <v>Neutral</v>
      </c>
    </row>
    <row r="114" spans="1:11" x14ac:dyDescent="0.2">
      <c r="A114" t="s">
        <v>1084</v>
      </c>
      <c r="B114" t="s">
        <v>1085</v>
      </c>
      <c r="C114" t="s">
        <v>1086</v>
      </c>
      <c r="D114" t="s">
        <v>1087</v>
      </c>
      <c r="E114" t="s">
        <v>4</v>
      </c>
      <c r="F114">
        <v>0</v>
      </c>
      <c r="G114">
        <v>31</v>
      </c>
      <c r="H114" t="s">
        <v>13</v>
      </c>
      <c r="I114" t="b">
        <v>0</v>
      </c>
      <c r="J114">
        <f t="shared" si="2"/>
        <v>0</v>
      </c>
      <c r="K114" t="str">
        <f t="shared" si="3"/>
        <v>Neutral</v>
      </c>
    </row>
    <row r="115" spans="1:11" x14ac:dyDescent="0.2">
      <c r="A115" t="s">
        <v>2009</v>
      </c>
      <c r="B115" t="s">
        <v>2010</v>
      </c>
      <c r="C115" t="s">
        <v>2011</v>
      </c>
      <c r="D115" t="s">
        <v>2012</v>
      </c>
      <c r="E115" t="s">
        <v>4</v>
      </c>
      <c r="F115">
        <v>188</v>
      </c>
      <c r="G115">
        <v>541</v>
      </c>
      <c r="H115" t="s">
        <v>13</v>
      </c>
      <c r="I115" t="b">
        <v>0</v>
      </c>
      <c r="J115">
        <f t="shared" si="2"/>
        <v>0</v>
      </c>
      <c r="K115" t="str">
        <f t="shared" si="3"/>
        <v>Neutral</v>
      </c>
    </row>
    <row r="116" spans="1:11" x14ac:dyDescent="0.2">
      <c r="A116" t="s">
        <v>1989</v>
      </c>
      <c r="B116" t="s">
        <v>1990</v>
      </c>
      <c r="C116" t="s">
        <v>1991</v>
      </c>
      <c r="D116" t="s">
        <v>3</v>
      </c>
      <c r="E116" t="s">
        <v>4</v>
      </c>
      <c r="F116">
        <v>30</v>
      </c>
      <c r="G116">
        <v>11</v>
      </c>
      <c r="H116" t="s">
        <v>13</v>
      </c>
      <c r="I116" t="b">
        <v>0</v>
      </c>
      <c r="J116">
        <f t="shared" si="2"/>
        <v>0</v>
      </c>
      <c r="K116" t="str">
        <f t="shared" si="3"/>
        <v>Neutral</v>
      </c>
    </row>
    <row r="117" spans="1:11" x14ac:dyDescent="0.2">
      <c r="A117" t="s">
        <v>5799</v>
      </c>
      <c r="B117" t="s">
        <v>5800</v>
      </c>
      <c r="C117" t="s">
        <v>1816</v>
      </c>
      <c r="D117" t="s">
        <v>3</v>
      </c>
      <c r="E117" t="s">
        <v>4</v>
      </c>
      <c r="F117">
        <v>722</v>
      </c>
      <c r="G117">
        <v>758</v>
      </c>
      <c r="H117" t="s">
        <v>13</v>
      </c>
      <c r="I117" t="b">
        <v>0</v>
      </c>
      <c r="J117">
        <f t="shared" si="2"/>
        <v>0</v>
      </c>
      <c r="K117" t="str">
        <f t="shared" si="3"/>
        <v>Neutral</v>
      </c>
    </row>
    <row r="118" spans="1:11" x14ac:dyDescent="0.2">
      <c r="A118" t="s">
        <v>3367</v>
      </c>
      <c r="B118" t="s">
        <v>3368</v>
      </c>
      <c r="C118" t="s">
        <v>3369</v>
      </c>
      <c r="D118" t="s">
        <v>3370</v>
      </c>
      <c r="E118" t="s">
        <v>4</v>
      </c>
      <c r="F118">
        <v>43</v>
      </c>
      <c r="G118">
        <v>38</v>
      </c>
      <c r="H118" t="s">
        <v>13</v>
      </c>
      <c r="I118" t="b">
        <v>0</v>
      </c>
      <c r="J118">
        <f t="shared" si="2"/>
        <v>0</v>
      </c>
      <c r="K118" t="str">
        <f t="shared" si="3"/>
        <v>Neutral</v>
      </c>
    </row>
    <row r="119" spans="1:11" x14ac:dyDescent="0.2">
      <c r="A119" t="s">
        <v>2621</v>
      </c>
      <c r="B119" t="s">
        <v>2622</v>
      </c>
      <c r="C119" t="s">
        <v>2623</v>
      </c>
      <c r="D119" t="s">
        <v>2624</v>
      </c>
      <c r="E119" t="s">
        <v>4</v>
      </c>
      <c r="F119">
        <v>3032</v>
      </c>
      <c r="G119">
        <v>939</v>
      </c>
      <c r="H119" t="s">
        <v>13</v>
      </c>
      <c r="I119" t="b">
        <v>0</v>
      </c>
      <c r="J119">
        <f t="shared" si="2"/>
        <v>0</v>
      </c>
      <c r="K119" t="str">
        <f t="shared" si="3"/>
        <v>Neutral</v>
      </c>
    </row>
    <row r="120" spans="1:11" x14ac:dyDescent="0.2">
      <c r="A120" t="s">
        <v>3723</v>
      </c>
      <c r="B120" t="s">
        <v>3724</v>
      </c>
      <c r="C120" t="s">
        <v>3725</v>
      </c>
      <c r="D120" t="s">
        <v>3726</v>
      </c>
      <c r="E120" t="s">
        <v>4</v>
      </c>
      <c r="F120">
        <v>704</v>
      </c>
      <c r="G120">
        <v>525</v>
      </c>
      <c r="H120" t="s">
        <v>114</v>
      </c>
      <c r="I120" t="b">
        <v>0</v>
      </c>
      <c r="J120">
        <f t="shared" si="2"/>
        <v>10</v>
      </c>
      <c r="K120" t="str">
        <f t="shared" si="3"/>
        <v>Positive</v>
      </c>
    </row>
    <row r="121" spans="1:11" x14ac:dyDescent="0.2">
      <c r="A121" t="s">
        <v>5766</v>
      </c>
      <c r="B121" t="s">
        <v>5767</v>
      </c>
      <c r="C121" t="s">
        <v>3337</v>
      </c>
      <c r="D121" t="s">
        <v>2565</v>
      </c>
      <c r="E121" t="s">
        <v>4</v>
      </c>
      <c r="F121">
        <v>2205</v>
      </c>
      <c r="G121">
        <v>1080</v>
      </c>
      <c r="H121" t="s">
        <v>13</v>
      </c>
      <c r="I121" t="b">
        <v>0</v>
      </c>
      <c r="J121">
        <f t="shared" si="2"/>
        <v>0</v>
      </c>
      <c r="K121" t="str">
        <f t="shared" si="3"/>
        <v>Neutral</v>
      </c>
    </row>
    <row r="122" spans="1:11" x14ac:dyDescent="0.2">
      <c r="A122" t="s">
        <v>1476</v>
      </c>
      <c r="B122" t="s">
        <v>1477</v>
      </c>
      <c r="C122" t="s">
        <v>1478</v>
      </c>
      <c r="D122" t="s">
        <v>3</v>
      </c>
      <c r="E122" t="s">
        <v>4</v>
      </c>
      <c r="F122">
        <v>14</v>
      </c>
      <c r="G122">
        <v>175</v>
      </c>
      <c r="H122" t="s">
        <v>13</v>
      </c>
      <c r="I122" t="b">
        <v>0</v>
      </c>
      <c r="J122">
        <f t="shared" si="2"/>
        <v>-10</v>
      </c>
      <c r="K122" t="str">
        <f t="shared" si="3"/>
        <v>Negative</v>
      </c>
    </row>
    <row r="123" spans="1:11" x14ac:dyDescent="0.2">
      <c r="A123" t="s">
        <v>4866</v>
      </c>
      <c r="B123" t="s">
        <v>4867</v>
      </c>
      <c r="C123" t="s">
        <v>3164</v>
      </c>
      <c r="D123" t="s">
        <v>3</v>
      </c>
      <c r="E123" t="s">
        <v>4</v>
      </c>
      <c r="F123">
        <v>39</v>
      </c>
      <c r="G123">
        <v>256</v>
      </c>
      <c r="H123" t="s">
        <v>13</v>
      </c>
      <c r="I123" t="b">
        <v>0</v>
      </c>
      <c r="J123">
        <f t="shared" si="2"/>
        <v>0</v>
      </c>
      <c r="K123" t="str">
        <f t="shared" si="3"/>
        <v>Neutral</v>
      </c>
    </row>
    <row r="124" spans="1:11" x14ac:dyDescent="0.2">
      <c r="A124" t="s">
        <v>5103</v>
      </c>
      <c r="B124" t="s">
        <v>5104</v>
      </c>
      <c r="C124" t="s">
        <v>5105</v>
      </c>
      <c r="D124" t="s">
        <v>5106</v>
      </c>
      <c r="E124" t="s">
        <v>4</v>
      </c>
      <c r="F124">
        <v>40</v>
      </c>
      <c r="G124">
        <v>101</v>
      </c>
      <c r="H124" t="s">
        <v>13</v>
      </c>
      <c r="I124" t="b">
        <v>0</v>
      </c>
      <c r="J124">
        <f t="shared" si="2"/>
        <v>10</v>
      </c>
      <c r="K124" t="str">
        <f t="shared" si="3"/>
        <v>Positive</v>
      </c>
    </row>
    <row r="125" spans="1:11" x14ac:dyDescent="0.2">
      <c r="A125" t="s">
        <v>511</v>
      </c>
      <c r="B125" t="s">
        <v>512</v>
      </c>
      <c r="C125" t="s">
        <v>513</v>
      </c>
      <c r="D125" t="s">
        <v>514</v>
      </c>
      <c r="E125" t="s">
        <v>4</v>
      </c>
      <c r="F125">
        <v>586</v>
      </c>
      <c r="G125">
        <v>483</v>
      </c>
      <c r="H125" t="s">
        <v>13</v>
      </c>
      <c r="I125" t="b">
        <v>0</v>
      </c>
      <c r="J125">
        <f t="shared" si="2"/>
        <v>10</v>
      </c>
      <c r="K125" t="str">
        <f t="shared" si="3"/>
        <v>Positive</v>
      </c>
    </row>
    <row r="126" spans="1:11" x14ac:dyDescent="0.2">
      <c r="A126" t="s">
        <v>2898</v>
      </c>
      <c r="B126" t="s">
        <v>2899</v>
      </c>
      <c r="C126" t="s">
        <v>2900</v>
      </c>
      <c r="D126" t="s">
        <v>2901</v>
      </c>
      <c r="E126" t="s">
        <v>4</v>
      </c>
      <c r="F126">
        <v>218</v>
      </c>
      <c r="G126">
        <v>551</v>
      </c>
      <c r="H126" t="s">
        <v>13</v>
      </c>
      <c r="I126" t="b">
        <v>0</v>
      </c>
      <c r="J126">
        <f t="shared" si="2"/>
        <v>0</v>
      </c>
      <c r="K126" t="str">
        <f t="shared" si="3"/>
        <v>Neutral</v>
      </c>
    </row>
    <row r="127" spans="1:11" x14ac:dyDescent="0.2">
      <c r="A127" t="s">
        <v>5602</v>
      </c>
      <c r="B127" t="s">
        <v>5603</v>
      </c>
      <c r="C127" t="s">
        <v>185</v>
      </c>
      <c r="D127" t="s">
        <v>668</v>
      </c>
      <c r="E127" t="s">
        <v>38</v>
      </c>
      <c r="F127">
        <v>46484</v>
      </c>
      <c r="G127">
        <v>2125</v>
      </c>
      <c r="H127" t="s">
        <v>13</v>
      </c>
      <c r="I127" t="b">
        <v>0</v>
      </c>
      <c r="J127">
        <f t="shared" si="2"/>
        <v>0</v>
      </c>
      <c r="K127" t="str">
        <f t="shared" si="3"/>
        <v>Neutral</v>
      </c>
    </row>
    <row r="128" spans="1:11" x14ac:dyDescent="0.2">
      <c r="A128" t="s">
        <v>1737</v>
      </c>
      <c r="B128" t="s">
        <v>1738</v>
      </c>
      <c r="C128" t="s">
        <v>1739</v>
      </c>
      <c r="D128" t="s">
        <v>1740</v>
      </c>
      <c r="E128" t="s">
        <v>4</v>
      </c>
      <c r="F128">
        <v>74</v>
      </c>
      <c r="G128">
        <v>398</v>
      </c>
      <c r="H128" t="s">
        <v>13</v>
      </c>
      <c r="I128" t="b">
        <v>0</v>
      </c>
      <c r="J128">
        <f t="shared" si="2"/>
        <v>0</v>
      </c>
      <c r="K128" t="str">
        <f t="shared" si="3"/>
        <v>Neutral</v>
      </c>
    </row>
    <row r="129" spans="1:11" x14ac:dyDescent="0.2">
      <c r="A129" t="s">
        <v>4506</v>
      </c>
      <c r="B129" t="s">
        <v>4507</v>
      </c>
      <c r="C129" t="s">
        <v>4508</v>
      </c>
      <c r="D129" t="s">
        <v>833</v>
      </c>
      <c r="E129" t="s">
        <v>4</v>
      </c>
      <c r="F129">
        <v>579</v>
      </c>
      <c r="G129">
        <v>940</v>
      </c>
      <c r="H129" t="s">
        <v>13</v>
      </c>
      <c r="I129" t="b">
        <v>0</v>
      </c>
      <c r="J129">
        <f t="shared" si="2"/>
        <v>0</v>
      </c>
      <c r="K129" t="str">
        <f t="shared" si="3"/>
        <v>Neutral</v>
      </c>
    </row>
    <row r="130" spans="1:11" x14ac:dyDescent="0.2">
      <c r="A130" t="s">
        <v>756</v>
      </c>
      <c r="B130" t="s">
        <v>757</v>
      </c>
      <c r="C130" t="s">
        <v>758</v>
      </c>
      <c r="D130" t="s">
        <v>759</v>
      </c>
      <c r="E130" t="s">
        <v>4</v>
      </c>
      <c r="F130">
        <v>87</v>
      </c>
      <c r="G130">
        <v>51</v>
      </c>
      <c r="H130" t="s">
        <v>13</v>
      </c>
      <c r="I130" t="b">
        <v>0</v>
      </c>
      <c r="J130">
        <f t="shared" si="2"/>
        <v>-10</v>
      </c>
      <c r="K130" t="str">
        <f t="shared" si="3"/>
        <v>Negative</v>
      </c>
    </row>
    <row r="131" spans="1:11" x14ac:dyDescent="0.2">
      <c r="A131" t="s">
        <v>1664</v>
      </c>
      <c r="B131" t="s">
        <v>1665</v>
      </c>
      <c r="C131" t="s">
        <v>1069</v>
      </c>
      <c r="D131" t="s">
        <v>1666</v>
      </c>
      <c r="E131" t="s">
        <v>4</v>
      </c>
      <c r="F131">
        <v>1224</v>
      </c>
      <c r="G131">
        <v>99</v>
      </c>
      <c r="H131" t="s">
        <v>13</v>
      </c>
      <c r="I131" t="b">
        <v>0</v>
      </c>
      <c r="J131">
        <f t="shared" ref="J131:J194" si="4">sentimentCalc(B131)</f>
        <v>0</v>
      </c>
      <c r="K131" t="str">
        <f t="shared" ref="K131:K194" si="5">sentimentCategory(J131)</f>
        <v>Neutral</v>
      </c>
    </row>
    <row r="132" spans="1:11" x14ac:dyDescent="0.2">
      <c r="A132" t="s">
        <v>5341</v>
      </c>
      <c r="B132" t="s">
        <v>5342</v>
      </c>
      <c r="C132" t="s">
        <v>3675</v>
      </c>
      <c r="D132" t="s">
        <v>5343</v>
      </c>
      <c r="E132" t="s">
        <v>4</v>
      </c>
      <c r="F132">
        <v>8530</v>
      </c>
      <c r="G132">
        <v>3284</v>
      </c>
      <c r="H132" t="s">
        <v>13</v>
      </c>
      <c r="I132" t="b">
        <v>0</v>
      </c>
      <c r="J132">
        <f t="shared" si="4"/>
        <v>0</v>
      </c>
      <c r="K132" t="str">
        <f t="shared" si="5"/>
        <v>Neutral</v>
      </c>
    </row>
    <row r="133" spans="1:11" x14ac:dyDescent="0.2">
      <c r="A133" t="s">
        <v>5196</v>
      </c>
      <c r="B133" t="s">
        <v>5197</v>
      </c>
      <c r="C133" t="s">
        <v>3248</v>
      </c>
      <c r="D133" t="s">
        <v>4105</v>
      </c>
      <c r="E133" t="s">
        <v>4</v>
      </c>
      <c r="F133">
        <v>555</v>
      </c>
      <c r="G133">
        <v>327</v>
      </c>
      <c r="H133" t="s">
        <v>13</v>
      </c>
      <c r="I133" t="b">
        <v>0</v>
      </c>
      <c r="J133">
        <f t="shared" si="4"/>
        <v>0</v>
      </c>
      <c r="K133" t="str">
        <f t="shared" si="5"/>
        <v>Neutral</v>
      </c>
    </row>
    <row r="134" spans="1:11" x14ac:dyDescent="0.2">
      <c r="A134" t="s">
        <v>6899</v>
      </c>
      <c r="B134" t="s">
        <v>6900</v>
      </c>
      <c r="C134" t="s">
        <v>6408</v>
      </c>
      <c r="D134" t="s">
        <v>3</v>
      </c>
      <c r="E134" t="s">
        <v>4</v>
      </c>
      <c r="F134">
        <v>11</v>
      </c>
      <c r="G134">
        <v>425</v>
      </c>
      <c r="H134" t="s">
        <v>13</v>
      </c>
      <c r="I134" t="b">
        <v>0</v>
      </c>
      <c r="J134">
        <f t="shared" si="4"/>
        <v>0</v>
      </c>
      <c r="K134" t="str">
        <f t="shared" si="5"/>
        <v>Neutral</v>
      </c>
    </row>
    <row r="135" spans="1:11" x14ac:dyDescent="0.2">
      <c r="A135" t="s">
        <v>6640</v>
      </c>
      <c r="B135" t="s">
        <v>6641</v>
      </c>
      <c r="C135" t="s">
        <v>48</v>
      </c>
      <c r="D135" t="s">
        <v>3</v>
      </c>
      <c r="E135" t="s">
        <v>4</v>
      </c>
      <c r="F135">
        <v>23</v>
      </c>
      <c r="G135">
        <v>47</v>
      </c>
      <c r="H135" t="s">
        <v>13</v>
      </c>
      <c r="I135" t="b">
        <v>0</v>
      </c>
      <c r="J135">
        <f t="shared" si="4"/>
        <v>0</v>
      </c>
      <c r="K135" t="str">
        <f t="shared" si="5"/>
        <v>Neutral</v>
      </c>
    </row>
    <row r="136" spans="1:11" x14ac:dyDescent="0.2">
      <c r="A136" t="s">
        <v>4226</v>
      </c>
      <c r="B136" t="s">
        <v>4227</v>
      </c>
      <c r="C136" t="s">
        <v>1691</v>
      </c>
      <c r="D136" t="s">
        <v>3</v>
      </c>
      <c r="E136" t="s">
        <v>4</v>
      </c>
      <c r="F136">
        <v>201</v>
      </c>
      <c r="G136">
        <v>687</v>
      </c>
      <c r="H136" t="s">
        <v>33</v>
      </c>
      <c r="I136" t="b">
        <v>0</v>
      </c>
      <c r="J136">
        <f t="shared" si="4"/>
        <v>0</v>
      </c>
      <c r="K136" t="str">
        <f t="shared" si="5"/>
        <v>Neutral</v>
      </c>
    </row>
    <row r="137" spans="1:11" x14ac:dyDescent="0.2">
      <c r="A137" t="s">
        <v>1520</v>
      </c>
      <c r="B137" t="s">
        <v>1521</v>
      </c>
      <c r="C137" t="s">
        <v>1522</v>
      </c>
      <c r="D137" t="s">
        <v>3</v>
      </c>
      <c r="E137" t="s">
        <v>4</v>
      </c>
      <c r="F137">
        <v>763</v>
      </c>
      <c r="G137">
        <v>30</v>
      </c>
      <c r="H137" t="s">
        <v>13</v>
      </c>
      <c r="I137" t="b">
        <v>0</v>
      </c>
      <c r="J137">
        <f t="shared" si="4"/>
        <v>0</v>
      </c>
      <c r="K137" t="str">
        <f t="shared" si="5"/>
        <v>Neutral</v>
      </c>
    </row>
    <row r="138" spans="1:11" x14ac:dyDescent="0.2">
      <c r="A138" t="s">
        <v>2872</v>
      </c>
      <c r="B138" t="s">
        <v>2873</v>
      </c>
      <c r="C138" t="s">
        <v>323</v>
      </c>
      <c r="D138" t="s">
        <v>2874</v>
      </c>
      <c r="E138" t="s">
        <v>4</v>
      </c>
      <c r="F138">
        <v>248</v>
      </c>
      <c r="G138">
        <v>689</v>
      </c>
      <c r="H138" t="s">
        <v>13</v>
      </c>
      <c r="I138" t="b">
        <v>0</v>
      </c>
      <c r="J138">
        <f t="shared" si="4"/>
        <v>-10</v>
      </c>
      <c r="K138" t="str">
        <f t="shared" si="5"/>
        <v>Negative</v>
      </c>
    </row>
    <row r="139" spans="1:11" x14ac:dyDescent="0.2">
      <c r="A139" t="s">
        <v>5716</v>
      </c>
      <c r="B139" t="s">
        <v>5717</v>
      </c>
      <c r="C139" t="s">
        <v>653</v>
      </c>
      <c r="D139" t="s">
        <v>3</v>
      </c>
      <c r="E139" t="s">
        <v>4</v>
      </c>
      <c r="F139">
        <v>38</v>
      </c>
      <c r="G139">
        <v>14</v>
      </c>
      <c r="H139" t="s">
        <v>33</v>
      </c>
      <c r="I139" t="b">
        <v>0</v>
      </c>
      <c r="J139">
        <f t="shared" si="4"/>
        <v>0</v>
      </c>
      <c r="K139" t="str">
        <f t="shared" si="5"/>
        <v>Neutral</v>
      </c>
    </row>
    <row r="140" spans="1:11" x14ac:dyDescent="0.2">
      <c r="A140" t="s">
        <v>4882</v>
      </c>
      <c r="B140" t="s">
        <v>4883</v>
      </c>
      <c r="C140" t="s">
        <v>3164</v>
      </c>
      <c r="D140" t="s">
        <v>3165</v>
      </c>
      <c r="E140" t="s">
        <v>4</v>
      </c>
      <c r="F140">
        <v>67</v>
      </c>
      <c r="G140">
        <v>96</v>
      </c>
      <c r="H140" t="s">
        <v>13</v>
      </c>
      <c r="I140" t="b">
        <v>0</v>
      </c>
      <c r="J140">
        <f t="shared" si="4"/>
        <v>0</v>
      </c>
      <c r="K140" t="str">
        <f t="shared" si="5"/>
        <v>Neutral</v>
      </c>
    </row>
    <row r="141" spans="1:11" x14ac:dyDescent="0.2">
      <c r="A141" t="s">
        <v>6811</v>
      </c>
      <c r="B141" t="s">
        <v>6812</v>
      </c>
      <c r="C141" t="s">
        <v>999</v>
      </c>
      <c r="D141" t="s">
        <v>3</v>
      </c>
      <c r="E141" t="s">
        <v>4</v>
      </c>
      <c r="F141">
        <v>162</v>
      </c>
      <c r="G141">
        <v>516</v>
      </c>
      <c r="H141" t="s">
        <v>13</v>
      </c>
      <c r="I141" t="b">
        <v>0</v>
      </c>
      <c r="J141">
        <f t="shared" si="4"/>
        <v>0</v>
      </c>
      <c r="K141" t="str">
        <f t="shared" si="5"/>
        <v>Neutral</v>
      </c>
    </row>
    <row r="142" spans="1:11" x14ac:dyDescent="0.2">
      <c r="A142" t="s">
        <v>762</v>
      </c>
      <c r="B142" t="s">
        <v>763</v>
      </c>
      <c r="C142" t="s">
        <v>764</v>
      </c>
      <c r="D142" t="s">
        <v>3</v>
      </c>
      <c r="E142" t="s">
        <v>4</v>
      </c>
      <c r="F142">
        <v>142</v>
      </c>
      <c r="G142">
        <v>133</v>
      </c>
      <c r="H142" t="s">
        <v>645</v>
      </c>
      <c r="I142" t="b">
        <v>0</v>
      </c>
      <c r="J142">
        <f t="shared" si="4"/>
        <v>20</v>
      </c>
      <c r="K142" t="str">
        <f t="shared" si="5"/>
        <v>Positive</v>
      </c>
    </row>
    <row r="143" spans="1:11" x14ac:dyDescent="0.2">
      <c r="A143" t="s">
        <v>2494</v>
      </c>
      <c r="B143" t="s">
        <v>2495</v>
      </c>
      <c r="C143" t="s">
        <v>588</v>
      </c>
      <c r="D143" t="s">
        <v>2487</v>
      </c>
      <c r="E143" t="s">
        <v>4</v>
      </c>
      <c r="F143">
        <v>894</v>
      </c>
      <c r="G143">
        <v>1968</v>
      </c>
      <c r="H143" t="s">
        <v>13</v>
      </c>
      <c r="I143" t="b">
        <v>0</v>
      </c>
      <c r="J143">
        <f t="shared" si="4"/>
        <v>0</v>
      </c>
      <c r="K143" t="str">
        <f t="shared" si="5"/>
        <v>Neutral</v>
      </c>
    </row>
    <row r="144" spans="1:11" x14ac:dyDescent="0.2">
      <c r="A144" t="s">
        <v>6629</v>
      </c>
      <c r="B144" t="s">
        <v>6630</v>
      </c>
      <c r="C144" t="s">
        <v>591</v>
      </c>
      <c r="D144" t="s">
        <v>6631</v>
      </c>
      <c r="E144" t="s">
        <v>4</v>
      </c>
      <c r="F144">
        <v>492</v>
      </c>
      <c r="G144">
        <v>153</v>
      </c>
      <c r="H144" t="s">
        <v>13</v>
      </c>
      <c r="I144" t="b">
        <v>0</v>
      </c>
      <c r="J144">
        <f t="shared" si="4"/>
        <v>0</v>
      </c>
      <c r="K144" t="str">
        <f t="shared" si="5"/>
        <v>Neutral</v>
      </c>
    </row>
    <row r="145" spans="1:11" x14ac:dyDescent="0.2">
      <c r="A145" t="s">
        <v>127</v>
      </c>
      <c r="B145" t="s">
        <v>128</v>
      </c>
      <c r="C145" t="s">
        <v>129</v>
      </c>
      <c r="D145" t="s">
        <v>130</v>
      </c>
      <c r="E145" t="s">
        <v>4</v>
      </c>
      <c r="F145">
        <v>40</v>
      </c>
      <c r="G145">
        <v>145</v>
      </c>
      <c r="H145" t="s">
        <v>13</v>
      </c>
      <c r="I145" t="b">
        <v>0</v>
      </c>
      <c r="J145">
        <f t="shared" si="4"/>
        <v>-20</v>
      </c>
      <c r="K145" t="str">
        <f t="shared" si="5"/>
        <v>Negative</v>
      </c>
    </row>
    <row r="146" spans="1:11" x14ac:dyDescent="0.2">
      <c r="A146" t="s">
        <v>1055</v>
      </c>
      <c r="B146" t="s">
        <v>1056</v>
      </c>
      <c r="C146" t="s">
        <v>1057</v>
      </c>
      <c r="D146" t="s">
        <v>3</v>
      </c>
      <c r="E146" t="s">
        <v>4</v>
      </c>
      <c r="F146">
        <v>2</v>
      </c>
      <c r="G146">
        <v>23</v>
      </c>
      <c r="H146" t="s">
        <v>13</v>
      </c>
      <c r="I146" t="b">
        <v>0</v>
      </c>
      <c r="J146">
        <f t="shared" si="4"/>
        <v>0</v>
      </c>
      <c r="K146" t="str">
        <f t="shared" si="5"/>
        <v>Neutral</v>
      </c>
    </row>
    <row r="147" spans="1:11" x14ac:dyDescent="0.2">
      <c r="A147" t="s">
        <v>5749</v>
      </c>
      <c r="B147" t="s">
        <v>5750</v>
      </c>
      <c r="C147" t="s">
        <v>898</v>
      </c>
      <c r="D147" t="s">
        <v>3</v>
      </c>
      <c r="E147" t="s">
        <v>4</v>
      </c>
      <c r="F147">
        <v>81108</v>
      </c>
      <c r="G147">
        <v>872</v>
      </c>
      <c r="H147" t="s">
        <v>13</v>
      </c>
      <c r="I147" t="b">
        <v>0</v>
      </c>
      <c r="J147">
        <f t="shared" si="4"/>
        <v>0</v>
      </c>
      <c r="K147" t="str">
        <f t="shared" si="5"/>
        <v>Neutral</v>
      </c>
    </row>
    <row r="148" spans="1:11" x14ac:dyDescent="0.2">
      <c r="A148" t="s">
        <v>6181</v>
      </c>
      <c r="B148" t="s">
        <v>6182</v>
      </c>
      <c r="C148" t="s">
        <v>2537</v>
      </c>
      <c r="D148" t="s">
        <v>2280</v>
      </c>
      <c r="E148" t="s">
        <v>4</v>
      </c>
      <c r="F148">
        <v>272</v>
      </c>
      <c r="G148">
        <v>475</v>
      </c>
      <c r="H148" t="s">
        <v>13</v>
      </c>
      <c r="I148" t="b">
        <v>0</v>
      </c>
      <c r="J148">
        <f t="shared" si="4"/>
        <v>0</v>
      </c>
      <c r="K148" t="str">
        <f t="shared" si="5"/>
        <v>Neutral</v>
      </c>
    </row>
    <row r="149" spans="1:11" x14ac:dyDescent="0.2">
      <c r="A149" t="s">
        <v>1001</v>
      </c>
      <c r="B149" t="s">
        <v>1002</v>
      </c>
      <c r="C149" t="s">
        <v>410</v>
      </c>
      <c r="D149" t="s">
        <v>1003</v>
      </c>
      <c r="E149" t="s">
        <v>4</v>
      </c>
      <c r="F149">
        <v>489</v>
      </c>
      <c r="G149">
        <v>528</v>
      </c>
      <c r="H149" t="s">
        <v>13</v>
      </c>
      <c r="I149" t="b">
        <v>0</v>
      </c>
      <c r="J149">
        <f t="shared" si="4"/>
        <v>0</v>
      </c>
      <c r="K149" t="str">
        <f t="shared" si="5"/>
        <v>Neutral</v>
      </c>
    </row>
    <row r="150" spans="1:11" x14ac:dyDescent="0.2">
      <c r="A150" t="s">
        <v>5263</v>
      </c>
      <c r="B150" t="s">
        <v>5264</v>
      </c>
      <c r="C150" t="s">
        <v>5265</v>
      </c>
      <c r="D150" t="s">
        <v>566</v>
      </c>
      <c r="E150" t="s">
        <v>4</v>
      </c>
      <c r="F150">
        <v>6</v>
      </c>
      <c r="G150">
        <v>172</v>
      </c>
      <c r="H150" t="s">
        <v>13</v>
      </c>
      <c r="I150" t="b">
        <v>0</v>
      </c>
      <c r="J150">
        <f t="shared" si="4"/>
        <v>0</v>
      </c>
      <c r="K150" t="str">
        <f t="shared" si="5"/>
        <v>Neutral</v>
      </c>
    </row>
    <row r="151" spans="1:11" x14ac:dyDescent="0.2">
      <c r="A151" t="s">
        <v>5549</v>
      </c>
      <c r="B151" t="s">
        <v>5550</v>
      </c>
      <c r="C151" t="s">
        <v>912</v>
      </c>
      <c r="D151" t="s">
        <v>5551</v>
      </c>
      <c r="E151" t="s">
        <v>4</v>
      </c>
      <c r="F151">
        <v>177</v>
      </c>
      <c r="G151">
        <v>284</v>
      </c>
      <c r="H151" t="s">
        <v>13</v>
      </c>
      <c r="I151" t="b">
        <v>0</v>
      </c>
      <c r="J151">
        <f t="shared" si="4"/>
        <v>0</v>
      </c>
      <c r="K151" t="str">
        <f t="shared" si="5"/>
        <v>Neutral</v>
      </c>
    </row>
    <row r="152" spans="1:11" x14ac:dyDescent="0.2">
      <c r="A152" t="s">
        <v>6904</v>
      </c>
      <c r="B152" t="s">
        <v>6905</v>
      </c>
      <c r="C152" t="s">
        <v>4967</v>
      </c>
      <c r="D152" t="s">
        <v>6906</v>
      </c>
      <c r="E152" t="s">
        <v>4</v>
      </c>
      <c r="F152">
        <v>2835</v>
      </c>
      <c r="G152">
        <v>3547</v>
      </c>
      <c r="H152" t="s">
        <v>13</v>
      </c>
      <c r="I152" t="b">
        <v>0</v>
      </c>
      <c r="J152">
        <f t="shared" si="4"/>
        <v>0</v>
      </c>
      <c r="K152" t="str">
        <f t="shared" si="5"/>
        <v>Neutral</v>
      </c>
    </row>
    <row r="153" spans="1:11" x14ac:dyDescent="0.2">
      <c r="A153" t="s">
        <v>651</v>
      </c>
      <c r="B153" t="s">
        <v>652</v>
      </c>
      <c r="C153" t="s">
        <v>653</v>
      </c>
      <c r="D153" t="s">
        <v>3</v>
      </c>
      <c r="E153" t="s">
        <v>4</v>
      </c>
      <c r="F153">
        <v>37</v>
      </c>
      <c r="G153">
        <v>14</v>
      </c>
      <c r="H153" t="s">
        <v>33</v>
      </c>
      <c r="I153" t="b">
        <v>0</v>
      </c>
      <c r="J153">
        <f t="shared" si="4"/>
        <v>0</v>
      </c>
      <c r="K153" t="str">
        <f t="shared" si="5"/>
        <v>Neutral</v>
      </c>
    </row>
    <row r="154" spans="1:11" x14ac:dyDescent="0.2">
      <c r="A154" t="s">
        <v>6104</v>
      </c>
      <c r="B154" t="s">
        <v>6105</v>
      </c>
      <c r="C154" t="s">
        <v>3349</v>
      </c>
      <c r="D154" t="s">
        <v>6106</v>
      </c>
      <c r="E154" t="s">
        <v>4</v>
      </c>
      <c r="F154">
        <v>20</v>
      </c>
      <c r="G154">
        <v>63</v>
      </c>
      <c r="H154" t="s">
        <v>13</v>
      </c>
      <c r="I154" t="b">
        <v>0</v>
      </c>
      <c r="J154">
        <f t="shared" si="4"/>
        <v>0</v>
      </c>
      <c r="K154" t="str">
        <f t="shared" si="5"/>
        <v>Neutral</v>
      </c>
    </row>
    <row r="155" spans="1:11" x14ac:dyDescent="0.2">
      <c r="A155" t="s">
        <v>6311</v>
      </c>
      <c r="B155" t="s">
        <v>6312</v>
      </c>
      <c r="C155" t="s">
        <v>85</v>
      </c>
      <c r="D155" t="s">
        <v>3</v>
      </c>
      <c r="E155" t="s">
        <v>4</v>
      </c>
      <c r="F155">
        <v>766</v>
      </c>
      <c r="G155">
        <v>823</v>
      </c>
      <c r="H155" t="s">
        <v>13</v>
      </c>
      <c r="I155" t="b">
        <v>0</v>
      </c>
      <c r="J155">
        <f t="shared" si="4"/>
        <v>0</v>
      </c>
      <c r="K155" t="str">
        <f t="shared" si="5"/>
        <v>Neutral</v>
      </c>
    </row>
    <row r="156" spans="1:11" x14ac:dyDescent="0.2">
      <c r="A156" t="s">
        <v>167</v>
      </c>
      <c r="B156" t="s">
        <v>168</v>
      </c>
      <c r="C156" t="s">
        <v>161</v>
      </c>
      <c r="D156" t="s">
        <v>162</v>
      </c>
      <c r="E156" t="s">
        <v>4</v>
      </c>
      <c r="F156">
        <v>134</v>
      </c>
      <c r="G156">
        <v>57</v>
      </c>
      <c r="H156" t="s">
        <v>13</v>
      </c>
      <c r="I156" t="b">
        <v>0</v>
      </c>
      <c r="J156">
        <f t="shared" si="4"/>
        <v>0</v>
      </c>
      <c r="K156" t="str">
        <f t="shared" si="5"/>
        <v>Neutral</v>
      </c>
    </row>
    <row r="157" spans="1:11" x14ac:dyDescent="0.2">
      <c r="A157" t="s">
        <v>1497</v>
      </c>
      <c r="B157" t="s">
        <v>1498</v>
      </c>
      <c r="C157" t="s">
        <v>1499</v>
      </c>
      <c r="D157" t="s">
        <v>1500</v>
      </c>
      <c r="E157" t="s">
        <v>4</v>
      </c>
      <c r="F157">
        <v>654</v>
      </c>
      <c r="G157">
        <v>162</v>
      </c>
      <c r="H157" t="s">
        <v>13</v>
      </c>
      <c r="I157" t="b">
        <v>0</v>
      </c>
      <c r="J157">
        <f t="shared" si="4"/>
        <v>0</v>
      </c>
      <c r="K157" t="str">
        <f t="shared" si="5"/>
        <v>Neutral</v>
      </c>
    </row>
    <row r="158" spans="1:11" x14ac:dyDescent="0.2">
      <c r="A158" t="s">
        <v>2208</v>
      </c>
      <c r="B158" t="s">
        <v>2209</v>
      </c>
      <c r="C158" t="s">
        <v>939</v>
      </c>
      <c r="D158" t="s">
        <v>172</v>
      </c>
      <c r="E158" t="s">
        <v>4</v>
      </c>
      <c r="F158">
        <v>596</v>
      </c>
      <c r="G158">
        <v>1244</v>
      </c>
      <c r="H158" t="s">
        <v>13</v>
      </c>
      <c r="I158" t="b">
        <v>0</v>
      </c>
      <c r="J158">
        <f t="shared" si="4"/>
        <v>0</v>
      </c>
      <c r="K158" t="str">
        <f t="shared" si="5"/>
        <v>Neutral</v>
      </c>
    </row>
    <row r="159" spans="1:11" x14ac:dyDescent="0.2">
      <c r="A159" t="s">
        <v>6542</v>
      </c>
      <c r="B159" t="s">
        <v>6543</v>
      </c>
      <c r="C159" t="s">
        <v>1870</v>
      </c>
      <c r="D159" t="s">
        <v>6544</v>
      </c>
      <c r="E159" t="s">
        <v>4</v>
      </c>
      <c r="F159">
        <v>23</v>
      </c>
      <c r="G159">
        <v>18</v>
      </c>
      <c r="H159" t="s">
        <v>114</v>
      </c>
      <c r="I159" t="b">
        <v>0</v>
      </c>
      <c r="J159">
        <f t="shared" si="4"/>
        <v>0</v>
      </c>
      <c r="K159" t="str">
        <f t="shared" si="5"/>
        <v>Neutral</v>
      </c>
    </row>
    <row r="160" spans="1:11" x14ac:dyDescent="0.2">
      <c r="A160" t="s">
        <v>281</v>
      </c>
      <c r="B160" t="s">
        <v>282</v>
      </c>
      <c r="C160" t="s">
        <v>283</v>
      </c>
      <c r="D160" t="s">
        <v>3</v>
      </c>
      <c r="E160" t="s">
        <v>4</v>
      </c>
      <c r="F160">
        <v>189</v>
      </c>
      <c r="G160">
        <v>91</v>
      </c>
      <c r="H160" t="s">
        <v>13</v>
      </c>
      <c r="I160" t="b">
        <v>0</v>
      </c>
      <c r="J160">
        <f t="shared" si="4"/>
        <v>0</v>
      </c>
      <c r="K160" t="str">
        <f t="shared" si="5"/>
        <v>Neutral</v>
      </c>
    </row>
    <row r="161" spans="1:11" x14ac:dyDescent="0.2">
      <c r="A161" t="s">
        <v>6270</v>
      </c>
      <c r="B161" t="s">
        <v>6272</v>
      </c>
      <c r="C161" t="s">
        <v>6231</v>
      </c>
      <c r="D161" t="s">
        <v>3</v>
      </c>
      <c r="E161" t="s">
        <v>4</v>
      </c>
      <c r="F161">
        <v>8</v>
      </c>
      <c r="G161">
        <v>230</v>
      </c>
      <c r="H161" t="s">
        <v>13</v>
      </c>
      <c r="I161" t="b">
        <v>0</v>
      </c>
      <c r="J161">
        <f t="shared" si="4"/>
        <v>0</v>
      </c>
      <c r="K161" t="str">
        <f t="shared" si="5"/>
        <v>Neutral</v>
      </c>
    </row>
    <row r="162" spans="1:11" x14ac:dyDescent="0.2">
      <c r="A162" t="s">
        <v>221</v>
      </c>
      <c r="B162" t="s">
        <v>222</v>
      </c>
      <c r="C162" t="s">
        <v>223</v>
      </c>
      <c r="D162" t="s">
        <v>3</v>
      </c>
      <c r="E162" t="s">
        <v>4</v>
      </c>
      <c r="F162">
        <v>20</v>
      </c>
      <c r="G162">
        <v>147</v>
      </c>
      <c r="H162" t="s">
        <v>13</v>
      </c>
      <c r="I162" t="b">
        <v>0</v>
      </c>
      <c r="J162">
        <f t="shared" si="4"/>
        <v>0</v>
      </c>
      <c r="K162" t="str">
        <f t="shared" si="5"/>
        <v>Neutral</v>
      </c>
    </row>
    <row r="163" spans="1:11" x14ac:dyDescent="0.2">
      <c r="A163" t="s">
        <v>4773</v>
      </c>
      <c r="B163" t="s">
        <v>4774</v>
      </c>
      <c r="C163" t="s">
        <v>2753</v>
      </c>
      <c r="D163" t="s">
        <v>1268</v>
      </c>
      <c r="E163" t="s">
        <v>4</v>
      </c>
      <c r="F163">
        <v>0</v>
      </c>
      <c r="G163">
        <v>33</v>
      </c>
      <c r="H163" t="s">
        <v>363</v>
      </c>
      <c r="I163" t="b">
        <v>0</v>
      </c>
      <c r="J163">
        <f t="shared" si="4"/>
        <v>0</v>
      </c>
      <c r="K163" t="str">
        <f t="shared" si="5"/>
        <v>Neutral</v>
      </c>
    </row>
    <row r="164" spans="1:11" x14ac:dyDescent="0.2">
      <c r="A164" t="s">
        <v>46</v>
      </c>
      <c r="B164" t="s">
        <v>47</v>
      </c>
      <c r="C164" t="s">
        <v>48</v>
      </c>
      <c r="D164" t="s">
        <v>49</v>
      </c>
      <c r="E164" t="s">
        <v>4</v>
      </c>
      <c r="F164">
        <v>1373</v>
      </c>
      <c r="G164">
        <v>312</v>
      </c>
      <c r="H164" t="s">
        <v>50</v>
      </c>
      <c r="I164" t="b">
        <v>0</v>
      </c>
      <c r="J164">
        <f t="shared" si="4"/>
        <v>0</v>
      </c>
      <c r="K164" t="str">
        <f t="shared" si="5"/>
        <v>Neutral</v>
      </c>
    </row>
    <row r="165" spans="1:11" x14ac:dyDescent="0.2">
      <c r="A165" t="s">
        <v>5131</v>
      </c>
      <c r="B165" t="s">
        <v>5132</v>
      </c>
      <c r="C165" t="s">
        <v>223</v>
      </c>
      <c r="D165" t="s">
        <v>3</v>
      </c>
      <c r="E165" t="s">
        <v>4</v>
      </c>
      <c r="F165">
        <v>9</v>
      </c>
      <c r="G165">
        <v>41</v>
      </c>
      <c r="H165" t="s">
        <v>13</v>
      </c>
      <c r="I165" t="b">
        <v>0</v>
      </c>
      <c r="J165">
        <f t="shared" si="4"/>
        <v>0</v>
      </c>
      <c r="K165" t="str">
        <f t="shared" si="5"/>
        <v>Neutral</v>
      </c>
    </row>
    <row r="166" spans="1:11" x14ac:dyDescent="0.2">
      <c r="A166" t="s">
        <v>7133</v>
      </c>
      <c r="B166" t="s">
        <v>7134</v>
      </c>
      <c r="C166" t="s">
        <v>7135</v>
      </c>
      <c r="D166" t="s">
        <v>7136</v>
      </c>
      <c r="E166" t="s">
        <v>4</v>
      </c>
      <c r="F166">
        <v>726</v>
      </c>
      <c r="G166">
        <v>715</v>
      </c>
      <c r="H166" t="s">
        <v>13</v>
      </c>
      <c r="I166" t="b">
        <v>0</v>
      </c>
      <c r="J166">
        <f t="shared" si="4"/>
        <v>0</v>
      </c>
      <c r="K166" t="str">
        <f t="shared" si="5"/>
        <v>Neutral</v>
      </c>
    </row>
    <row r="167" spans="1:11" x14ac:dyDescent="0.2">
      <c r="A167" t="s">
        <v>72</v>
      </c>
      <c r="B167" t="s">
        <v>73</v>
      </c>
      <c r="C167" t="s">
        <v>74</v>
      </c>
      <c r="D167" t="s">
        <v>75</v>
      </c>
      <c r="E167" t="s">
        <v>4</v>
      </c>
      <c r="F167">
        <v>24</v>
      </c>
      <c r="G167">
        <v>118</v>
      </c>
      <c r="H167" t="s">
        <v>76</v>
      </c>
      <c r="I167" t="b">
        <v>0</v>
      </c>
      <c r="J167">
        <f t="shared" si="4"/>
        <v>0</v>
      </c>
      <c r="K167" t="str">
        <f t="shared" si="5"/>
        <v>Neutral</v>
      </c>
    </row>
    <row r="168" spans="1:11" x14ac:dyDescent="0.2">
      <c r="A168" t="s">
        <v>5713</v>
      </c>
      <c r="B168" t="s">
        <v>5714</v>
      </c>
      <c r="C168" t="s">
        <v>1328</v>
      </c>
      <c r="D168" t="s">
        <v>5715</v>
      </c>
      <c r="E168" t="s">
        <v>4</v>
      </c>
      <c r="F168">
        <v>48</v>
      </c>
      <c r="G168">
        <v>122</v>
      </c>
      <c r="H168" t="s">
        <v>13</v>
      </c>
      <c r="I168" t="b">
        <v>0</v>
      </c>
      <c r="J168">
        <f t="shared" si="4"/>
        <v>0</v>
      </c>
      <c r="K168" t="str">
        <f t="shared" si="5"/>
        <v>Neutral</v>
      </c>
    </row>
    <row r="169" spans="1:11" x14ac:dyDescent="0.2">
      <c r="A169" t="s">
        <v>2202</v>
      </c>
      <c r="B169" t="s">
        <v>2203</v>
      </c>
      <c r="C169" t="s">
        <v>2204</v>
      </c>
      <c r="D169" t="s">
        <v>3</v>
      </c>
      <c r="E169" t="s">
        <v>4</v>
      </c>
      <c r="F169">
        <v>2620</v>
      </c>
      <c r="G169">
        <v>3041</v>
      </c>
      <c r="H169" t="s">
        <v>5</v>
      </c>
      <c r="I169" t="b">
        <v>0</v>
      </c>
      <c r="J169">
        <f t="shared" si="4"/>
        <v>0</v>
      </c>
      <c r="K169" t="str">
        <f t="shared" si="5"/>
        <v>Neutral</v>
      </c>
    </row>
    <row r="170" spans="1:11" x14ac:dyDescent="0.2">
      <c r="A170" t="s">
        <v>1348</v>
      </c>
      <c r="B170" t="s">
        <v>1349</v>
      </c>
      <c r="C170" t="s">
        <v>895</v>
      </c>
      <c r="D170" t="s">
        <v>3</v>
      </c>
      <c r="E170" t="s">
        <v>4</v>
      </c>
      <c r="F170">
        <v>1565</v>
      </c>
      <c r="G170">
        <v>5001</v>
      </c>
      <c r="H170" t="s">
        <v>13</v>
      </c>
      <c r="I170" t="b">
        <v>0</v>
      </c>
      <c r="J170">
        <f t="shared" si="4"/>
        <v>0</v>
      </c>
      <c r="K170" t="str">
        <f t="shared" si="5"/>
        <v>Neutral</v>
      </c>
    </row>
    <row r="171" spans="1:11" x14ac:dyDescent="0.2">
      <c r="A171" t="s">
        <v>1322</v>
      </c>
      <c r="B171" t="s">
        <v>1323</v>
      </c>
      <c r="C171" t="s">
        <v>1324</v>
      </c>
      <c r="D171" t="s">
        <v>1325</v>
      </c>
      <c r="E171" t="s">
        <v>4</v>
      </c>
      <c r="F171">
        <v>25</v>
      </c>
      <c r="G171">
        <v>191</v>
      </c>
      <c r="H171" t="s">
        <v>76</v>
      </c>
      <c r="I171" t="b">
        <v>0</v>
      </c>
      <c r="J171">
        <f t="shared" si="4"/>
        <v>10</v>
      </c>
      <c r="K171" t="str">
        <f t="shared" si="5"/>
        <v>Positive</v>
      </c>
    </row>
    <row r="172" spans="1:11" x14ac:dyDescent="0.2">
      <c r="A172" t="s">
        <v>3014</v>
      </c>
      <c r="B172" t="s">
        <v>3015</v>
      </c>
      <c r="C172" t="s">
        <v>1099</v>
      </c>
      <c r="D172" t="s">
        <v>3016</v>
      </c>
      <c r="E172" t="s">
        <v>4</v>
      </c>
      <c r="F172">
        <v>2766</v>
      </c>
      <c r="G172">
        <v>3889</v>
      </c>
      <c r="H172" t="s">
        <v>13</v>
      </c>
      <c r="I172" t="b">
        <v>0</v>
      </c>
      <c r="J172">
        <f t="shared" si="4"/>
        <v>0</v>
      </c>
      <c r="K172" t="str">
        <f t="shared" si="5"/>
        <v>Neutral</v>
      </c>
    </row>
    <row r="173" spans="1:11" x14ac:dyDescent="0.2">
      <c r="A173" t="s">
        <v>6752</v>
      </c>
      <c r="B173" t="s">
        <v>6753</v>
      </c>
      <c r="C173" t="s">
        <v>3369</v>
      </c>
      <c r="D173" t="s">
        <v>3370</v>
      </c>
      <c r="E173" t="s">
        <v>4</v>
      </c>
      <c r="F173">
        <v>43</v>
      </c>
      <c r="G173">
        <v>38</v>
      </c>
      <c r="H173" t="s">
        <v>13</v>
      </c>
      <c r="I173" t="b">
        <v>0</v>
      </c>
      <c r="J173">
        <f t="shared" si="4"/>
        <v>0</v>
      </c>
      <c r="K173" t="str">
        <f t="shared" si="5"/>
        <v>Neutral</v>
      </c>
    </row>
    <row r="174" spans="1:11" x14ac:dyDescent="0.2">
      <c r="A174" t="s">
        <v>4524</v>
      </c>
      <c r="B174" t="s">
        <v>4525</v>
      </c>
      <c r="C174" t="s">
        <v>996</v>
      </c>
      <c r="D174" t="s">
        <v>3</v>
      </c>
      <c r="E174" t="s">
        <v>4</v>
      </c>
      <c r="F174">
        <v>73</v>
      </c>
      <c r="G174">
        <v>419</v>
      </c>
      <c r="H174" t="s">
        <v>13</v>
      </c>
      <c r="I174" t="b">
        <v>0</v>
      </c>
      <c r="J174">
        <f t="shared" si="4"/>
        <v>0</v>
      </c>
      <c r="K174" t="str">
        <f t="shared" si="5"/>
        <v>Neutral</v>
      </c>
    </row>
    <row r="175" spans="1:11" x14ac:dyDescent="0.2">
      <c r="A175" t="s">
        <v>4144</v>
      </c>
      <c r="B175" t="s">
        <v>4145</v>
      </c>
      <c r="C175" t="s">
        <v>4146</v>
      </c>
      <c r="D175" t="s">
        <v>4147</v>
      </c>
      <c r="E175" t="s">
        <v>4</v>
      </c>
      <c r="F175">
        <v>106</v>
      </c>
      <c r="G175">
        <v>330</v>
      </c>
      <c r="H175" t="s">
        <v>13</v>
      </c>
      <c r="I175" t="b">
        <v>0</v>
      </c>
      <c r="J175">
        <f t="shared" si="4"/>
        <v>0</v>
      </c>
      <c r="K175" t="str">
        <f t="shared" si="5"/>
        <v>Neutral</v>
      </c>
    </row>
    <row r="176" spans="1:11" x14ac:dyDescent="0.2">
      <c r="A176" t="s">
        <v>6674</v>
      </c>
      <c r="B176" t="s">
        <v>6675</v>
      </c>
      <c r="C176" t="s">
        <v>193</v>
      </c>
      <c r="D176" t="s">
        <v>194</v>
      </c>
      <c r="E176" t="s">
        <v>4</v>
      </c>
      <c r="F176">
        <v>1181</v>
      </c>
      <c r="G176">
        <v>767</v>
      </c>
      <c r="H176" t="s">
        <v>13</v>
      </c>
      <c r="I176" t="b">
        <v>0</v>
      </c>
      <c r="J176">
        <f t="shared" si="4"/>
        <v>0</v>
      </c>
      <c r="K176" t="str">
        <f t="shared" si="5"/>
        <v>Neutral</v>
      </c>
    </row>
    <row r="177" spans="1:11" x14ac:dyDescent="0.2">
      <c r="A177" t="s">
        <v>5046</v>
      </c>
      <c r="B177" t="s">
        <v>5047</v>
      </c>
      <c r="C177" t="s">
        <v>730</v>
      </c>
      <c r="D177" t="s">
        <v>5048</v>
      </c>
      <c r="E177" t="s">
        <v>4</v>
      </c>
      <c r="F177">
        <v>590</v>
      </c>
      <c r="G177">
        <v>1051</v>
      </c>
      <c r="H177" t="s">
        <v>13</v>
      </c>
      <c r="I177" t="b">
        <v>0</v>
      </c>
      <c r="J177">
        <f t="shared" si="4"/>
        <v>0</v>
      </c>
      <c r="K177" t="str">
        <f t="shared" si="5"/>
        <v>Neutral</v>
      </c>
    </row>
    <row r="178" spans="1:11" x14ac:dyDescent="0.2">
      <c r="A178" t="s">
        <v>5510</v>
      </c>
      <c r="B178" t="s">
        <v>5511</v>
      </c>
      <c r="C178" t="s">
        <v>5512</v>
      </c>
      <c r="D178" t="s">
        <v>3</v>
      </c>
      <c r="E178" t="s">
        <v>4</v>
      </c>
      <c r="F178">
        <v>7</v>
      </c>
      <c r="G178">
        <v>56</v>
      </c>
      <c r="H178" t="s">
        <v>13</v>
      </c>
      <c r="I178" t="b">
        <v>0</v>
      </c>
      <c r="J178">
        <f t="shared" si="4"/>
        <v>0</v>
      </c>
      <c r="K178" t="str">
        <f t="shared" si="5"/>
        <v>Neutral</v>
      </c>
    </row>
    <row r="179" spans="1:11" x14ac:dyDescent="0.2">
      <c r="A179" t="s">
        <v>2589</v>
      </c>
      <c r="B179" t="s">
        <v>2590</v>
      </c>
      <c r="C179" t="s">
        <v>1090</v>
      </c>
      <c r="D179" t="s">
        <v>2276</v>
      </c>
      <c r="E179" t="s">
        <v>4</v>
      </c>
      <c r="F179">
        <v>54</v>
      </c>
      <c r="G179">
        <v>150</v>
      </c>
      <c r="H179" t="s">
        <v>13</v>
      </c>
      <c r="I179" t="b">
        <v>0</v>
      </c>
      <c r="J179">
        <f t="shared" si="4"/>
        <v>-10</v>
      </c>
      <c r="K179" t="str">
        <f t="shared" si="5"/>
        <v>Negative</v>
      </c>
    </row>
    <row r="180" spans="1:11" x14ac:dyDescent="0.2">
      <c r="A180" t="s">
        <v>3651</v>
      </c>
      <c r="B180" t="s">
        <v>3652</v>
      </c>
      <c r="C180" t="s">
        <v>884</v>
      </c>
      <c r="D180" t="s">
        <v>109</v>
      </c>
      <c r="E180" t="s">
        <v>4</v>
      </c>
      <c r="F180">
        <v>774</v>
      </c>
      <c r="G180">
        <v>626</v>
      </c>
      <c r="H180" t="s">
        <v>13</v>
      </c>
      <c r="I180" t="b">
        <v>0</v>
      </c>
      <c r="J180">
        <f t="shared" si="4"/>
        <v>0</v>
      </c>
      <c r="K180" t="str">
        <f t="shared" si="5"/>
        <v>Neutral</v>
      </c>
    </row>
    <row r="181" spans="1:11" x14ac:dyDescent="0.2">
      <c r="A181" t="s">
        <v>6254</v>
      </c>
      <c r="B181" t="s">
        <v>6255</v>
      </c>
      <c r="C181" t="s">
        <v>5812</v>
      </c>
      <c r="D181" t="s">
        <v>3</v>
      </c>
      <c r="E181" t="s">
        <v>4</v>
      </c>
      <c r="F181">
        <v>19</v>
      </c>
      <c r="G181">
        <v>60</v>
      </c>
      <c r="H181" t="s">
        <v>13</v>
      </c>
      <c r="I181" t="b">
        <v>0</v>
      </c>
      <c r="J181">
        <f t="shared" si="4"/>
        <v>0</v>
      </c>
      <c r="K181" t="str">
        <f t="shared" si="5"/>
        <v>Neutral</v>
      </c>
    </row>
    <row r="182" spans="1:11" x14ac:dyDescent="0.2">
      <c r="A182" t="s">
        <v>2713</v>
      </c>
      <c r="B182" t="s">
        <v>2714</v>
      </c>
      <c r="C182" t="s">
        <v>323</v>
      </c>
      <c r="D182" t="s">
        <v>3</v>
      </c>
      <c r="E182" t="s">
        <v>4</v>
      </c>
      <c r="F182">
        <v>160</v>
      </c>
      <c r="G182">
        <v>980</v>
      </c>
      <c r="H182" t="s">
        <v>13</v>
      </c>
      <c r="I182" t="b">
        <v>0</v>
      </c>
      <c r="J182">
        <f t="shared" si="4"/>
        <v>0</v>
      </c>
      <c r="K182" t="str">
        <f t="shared" si="5"/>
        <v>Neutral</v>
      </c>
    </row>
    <row r="183" spans="1:11" x14ac:dyDescent="0.2">
      <c r="A183" t="s">
        <v>5634</v>
      </c>
      <c r="B183" t="s">
        <v>5635</v>
      </c>
      <c r="C183" t="s">
        <v>5636</v>
      </c>
      <c r="D183" t="s">
        <v>5637</v>
      </c>
      <c r="E183" t="s">
        <v>4</v>
      </c>
      <c r="F183">
        <v>110</v>
      </c>
      <c r="G183">
        <v>170</v>
      </c>
      <c r="H183" t="s">
        <v>13</v>
      </c>
      <c r="I183" t="b">
        <v>0</v>
      </c>
      <c r="J183">
        <f t="shared" si="4"/>
        <v>0</v>
      </c>
      <c r="K183" t="str">
        <f t="shared" si="5"/>
        <v>Neutral</v>
      </c>
    </row>
    <row r="184" spans="1:11" x14ac:dyDescent="0.2">
      <c r="A184" t="s">
        <v>5386</v>
      </c>
      <c r="B184" t="s">
        <v>5387</v>
      </c>
      <c r="C184" t="s">
        <v>1991</v>
      </c>
      <c r="D184" t="s">
        <v>3</v>
      </c>
      <c r="E184" t="s">
        <v>4</v>
      </c>
      <c r="F184">
        <v>474</v>
      </c>
      <c r="G184">
        <v>913</v>
      </c>
      <c r="H184" t="s">
        <v>13</v>
      </c>
      <c r="I184" t="b">
        <v>0</v>
      </c>
      <c r="J184">
        <f t="shared" si="4"/>
        <v>0</v>
      </c>
      <c r="K184" t="str">
        <f t="shared" si="5"/>
        <v>Neutral</v>
      </c>
    </row>
    <row r="185" spans="1:11" x14ac:dyDescent="0.2">
      <c r="A185" t="s">
        <v>1832</v>
      </c>
      <c r="B185" t="s">
        <v>1833</v>
      </c>
      <c r="C185" t="s">
        <v>1035</v>
      </c>
      <c r="D185" t="s">
        <v>3</v>
      </c>
      <c r="E185" t="s">
        <v>4</v>
      </c>
      <c r="F185">
        <v>24</v>
      </c>
      <c r="G185">
        <v>41</v>
      </c>
      <c r="H185" t="s">
        <v>13</v>
      </c>
      <c r="I185" t="b">
        <v>0</v>
      </c>
      <c r="J185">
        <f t="shared" si="4"/>
        <v>10</v>
      </c>
      <c r="K185" t="str">
        <f t="shared" si="5"/>
        <v>Positive</v>
      </c>
    </row>
    <row r="186" spans="1:11" x14ac:dyDescent="0.2">
      <c r="A186" t="s">
        <v>3664</v>
      </c>
      <c r="B186" t="s">
        <v>3665</v>
      </c>
      <c r="C186" t="s">
        <v>1009</v>
      </c>
      <c r="D186" t="s">
        <v>3</v>
      </c>
      <c r="E186" t="s">
        <v>4</v>
      </c>
      <c r="F186">
        <v>594</v>
      </c>
      <c r="G186">
        <v>236</v>
      </c>
      <c r="H186" t="s">
        <v>13</v>
      </c>
      <c r="I186" t="b">
        <v>0</v>
      </c>
      <c r="J186">
        <f t="shared" si="4"/>
        <v>10</v>
      </c>
      <c r="K186" t="str">
        <f t="shared" si="5"/>
        <v>Positive</v>
      </c>
    </row>
    <row r="187" spans="1:11" x14ac:dyDescent="0.2">
      <c r="A187" t="s">
        <v>2777</v>
      </c>
      <c r="B187" t="s">
        <v>2778</v>
      </c>
      <c r="C187" t="s">
        <v>942</v>
      </c>
      <c r="D187" t="s">
        <v>2779</v>
      </c>
      <c r="E187" t="s">
        <v>4</v>
      </c>
      <c r="F187">
        <v>1210</v>
      </c>
      <c r="G187">
        <v>2424</v>
      </c>
      <c r="H187" t="s">
        <v>13</v>
      </c>
      <c r="I187" t="b">
        <v>0</v>
      </c>
      <c r="J187">
        <f t="shared" si="4"/>
        <v>20</v>
      </c>
      <c r="K187" t="str">
        <f t="shared" si="5"/>
        <v>Positive</v>
      </c>
    </row>
    <row r="188" spans="1:11" x14ac:dyDescent="0.2">
      <c r="A188" t="s">
        <v>3490</v>
      </c>
      <c r="B188" t="s">
        <v>3491</v>
      </c>
      <c r="C188" t="s">
        <v>494</v>
      </c>
      <c r="D188" t="s">
        <v>3</v>
      </c>
      <c r="E188" t="s">
        <v>4</v>
      </c>
      <c r="F188">
        <v>10901</v>
      </c>
      <c r="G188">
        <v>566</v>
      </c>
      <c r="H188" t="s">
        <v>13</v>
      </c>
      <c r="I188" t="b">
        <v>0</v>
      </c>
      <c r="J188">
        <f t="shared" si="4"/>
        <v>0</v>
      </c>
      <c r="K188" t="str">
        <f t="shared" si="5"/>
        <v>Neutral</v>
      </c>
    </row>
    <row r="189" spans="1:11" x14ac:dyDescent="0.2">
      <c r="A189" t="s">
        <v>4461</v>
      </c>
      <c r="B189" t="s">
        <v>4462</v>
      </c>
      <c r="C189" t="s">
        <v>4463</v>
      </c>
      <c r="D189" t="s">
        <v>4464</v>
      </c>
      <c r="E189" t="s">
        <v>4</v>
      </c>
      <c r="F189">
        <v>17</v>
      </c>
      <c r="G189">
        <v>109</v>
      </c>
      <c r="H189" t="s">
        <v>13</v>
      </c>
      <c r="I189" t="b">
        <v>0</v>
      </c>
      <c r="J189">
        <f t="shared" si="4"/>
        <v>-10</v>
      </c>
      <c r="K189" t="str">
        <f t="shared" si="5"/>
        <v>Negative</v>
      </c>
    </row>
    <row r="190" spans="1:11" x14ac:dyDescent="0.2">
      <c r="A190" t="s">
        <v>1605</v>
      </c>
      <c r="B190" t="s">
        <v>1606</v>
      </c>
      <c r="C190" t="s">
        <v>238</v>
      </c>
      <c r="D190" t="s">
        <v>3</v>
      </c>
      <c r="E190" t="s">
        <v>4</v>
      </c>
      <c r="F190">
        <v>4336</v>
      </c>
      <c r="G190">
        <v>3251</v>
      </c>
      <c r="H190" t="s">
        <v>5</v>
      </c>
      <c r="I190" t="b">
        <v>0</v>
      </c>
      <c r="J190">
        <f t="shared" si="4"/>
        <v>0</v>
      </c>
      <c r="K190" t="str">
        <f t="shared" si="5"/>
        <v>Neutral</v>
      </c>
    </row>
    <row r="191" spans="1:11" x14ac:dyDescent="0.2">
      <c r="A191" t="s">
        <v>1228</v>
      </c>
      <c r="B191" t="s">
        <v>1232</v>
      </c>
      <c r="C191" t="s">
        <v>1230</v>
      </c>
      <c r="D191" t="s">
        <v>1231</v>
      </c>
      <c r="E191" t="s">
        <v>4</v>
      </c>
      <c r="F191">
        <v>425</v>
      </c>
      <c r="G191">
        <v>768</v>
      </c>
      <c r="H191" t="s">
        <v>13</v>
      </c>
      <c r="I191" t="b">
        <v>0</v>
      </c>
      <c r="J191">
        <f t="shared" si="4"/>
        <v>0</v>
      </c>
      <c r="K191" t="str">
        <f t="shared" si="5"/>
        <v>Neutral</v>
      </c>
    </row>
    <row r="192" spans="1:11" x14ac:dyDescent="0.2">
      <c r="A192" t="s">
        <v>5954</v>
      </c>
      <c r="B192" t="s">
        <v>5955</v>
      </c>
      <c r="C192" t="s">
        <v>5956</v>
      </c>
      <c r="D192" t="s">
        <v>566</v>
      </c>
      <c r="E192" t="s">
        <v>4</v>
      </c>
      <c r="F192">
        <v>38</v>
      </c>
      <c r="G192">
        <v>23</v>
      </c>
      <c r="H192" t="s">
        <v>13</v>
      </c>
      <c r="I192" t="b">
        <v>0</v>
      </c>
      <c r="J192">
        <f t="shared" si="4"/>
        <v>-10</v>
      </c>
      <c r="K192" t="str">
        <f t="shared" si="5"/>
        <v>Negative</v>
      </c>
    </row>
    <row r="193" spans="1:11" x14ac:dyDescent="0.2">
      <c r="A193" t="s">
        <v>3382</v>
      </c>
      <c r="B193" t="s">
        <v>3383</v>
      </c>
      <c r="C193" t="s">
        <v>3384</v>
      </c>
      <c r="D193" t="s">
        <v>3385</v>
      </c>
      <c r="E193" t="s">
        <v>4</v>
      </c>
      <c r="F193">
        <v>22</v>
      </c>
      <c r="G193">
        <v>35</v>
      </c>
      <c r="H193" t="s">
        <v>13</v>
      </c>
      <c r="I193" t="b">
        <v>0</v>
      </c>
      <c r="J193">
        <f t="shared" si="4"/>
        <v>0</v>
      </c>
      <c r="K193" t="str">
        <f t="shared" si="5"/>
        <v>Neutral</v>
      </c>
    </row>
    <row r="194" spans="1:11" x14ac:dyDescent="0.2">
      <c r="A194" t="s">
        <v>6368</v>
      </c>
      <c r="B194" t="s">
        <v>6369</v>
      </c>
      <c r="C194" t="s">
        <v>2116</v>
      </c>
      <c r="D194" t="s">
        <v>3</v>
      </c>
      <c r="E194" t="s">
        <v>4</v>
      </c>
      <c r="F194">
        <v>11</v>
      </c>
      <c r="G194">
        <v>144</v>
      </c>
      <c r="H194" t="s">
        <v>13</v>
      </c>
      <c r="I194" t="b">
        <v>0</v>
      </c>
      <c r="J194">
        <f t="shared" si="4"/>
        <v>0</v>
      </c>
      <c r="K194" t="str">
        <f t="shared" si="5"/>
        <v>Neutral</v>
      </c>
    </row>
    <row r="195" spans="1:11" x14ac:dyDescent="0.2">
      <c r="A195" t="s">
        <v>3898</v>
      </c>
      <c r="B195" t="s">
        <v>3899</v>
      </c>
      <c r="C195" t="s">
        <v>3461</v>
      </c>
      <c r="D195" t="s">
        <v>3900</v>
      </c>
      <c r="E195" t="s">
        <v>4</v>
      </c>
      <c r="F195">
        <v>32</v>
      </c>
      <c r="G195">
        <v>174</v>
      </c>
      <c r="H195" t="s">
        <v>645</v>
      </c>
      <c r="I195" t="b">
        <v>0</v>
      </c>
      <c r="J195">
        <f t="shared" ref="J195:J258" si="6">sentimentCalc(B195)</f>
        <v>0</v>
      </c>
      <c r="K195" t="str">
        <f t="shared" ref="K195:K258" si="7">sentimentCategory(J195)</f>
        <v>Neutral</v>
      </c>
    </row>
    <row r="196" spans="1:11" x14ac:dyDescent="0.2">
      <c r="A196" t="s">
        <v>6889</v>
      </c>
      <c r="B196" t="s">
        <v>6890</v>
      </c>
      <c r="C196" t="s">
        <v>1438</v>
      </c>
      <c r="D196" t="s">
        <v>1982</v>
      </c>
      <c r="E196" t="s">
        <v>4</v>
      </c>
      <c r="F196">
        <v>635</v>
      </c>
      <c r="G196">
        <v>3924</v>
      </c>
      <c r="H196" t="s">
        <v>645</v>
      </c>
      <c r="I196" t="b">
        <v>0</v>
      </c>
      <c r="J196">
        <f t="shared" si="6"/>
        <v>0</v>
      </c>
      <c r="K196" t="str">
        <f t="shared" si="7"/>
        <v>Neutral</v>
      </c>
    </row>
    <row r="197" spans="1:11" x14ac:dyDescent="0.2">
      <c r="A197" t="s">
        <v>3132</v>
      </c>
      <c r="B197" t="s">
        <v>3133</v>
      </c>
      <c r="C197" t="s">
        <v>97</v>
      </c>
      <c r="D197" t="s">
        <v>3134</v>
      </c>
      <c r="E197" t="s">
        <v>4</v>
      </c>
      <c r="F197">
        <v>107</v>
      </c>
      <c r="G197">
        <v>218</v>
      </c>
      <c r="H197" t="s">
        <v>13</v>
      </c>
      <c r="I197" t="b">
        <v>0</v>
      </c>
      <c r="J197">
        <f t="shared" si="6"/>
        <v>0</v>
      </c>
      <c r="K197" t="str">
        <f t="shared" si="7"/>
        <v>Neutral</v>
      </c>
    </row>
    <row r="198" spans="1:11" x14ac:dyDescent="0.2">
      <c r="A198" t="s">
        <v>2107</v>
      </c>
      <c r="B198" t="s">
        <v>2108</v>
      </c>
      <c r="C198" t="s">
        <v>2109</v>
      </c>
      <c r="D198" t="s">
        <v>2110</v>
      </c>
      <c r="E198" t="s">
        <v>4</v>
      </c>
      <c r="F198">
        <v>3</v>
      </c>
      <c r="G198">
        <v>17</v>
      </c>
      <c r="H198" t="s">
        <v>13</v>
      </c>
      <c r="I198" t="b">
        <v>0</v>
      </c>
      <c r="J198">
        <f t="shared" si="6"/>
        <v>0</v>
      </c>
      <c r="K198" t="str">
        <f t="shared" si="7"/>
        <v>Neutral</v>
      </c>
    </row>
    <row r="199" spans="1:11" x14ac:dyDescent="0.2">
      <c r="A199" t="s">
        <v>2247</v>
      </c>
      <c r="B199" t="s">
        <v>2248</v>
      </c>
      <c r="C199" t="s">
        <v>2249</v>
      </c>
      <c r="D199" t="s">
        <v>3</v>
      </c>
      <c r="E199" t="s">
        <v>4</v>
      </c>
      <c r="F199">
        <v>37</v>
      </c>
      <c r="G199">
        <v>78</v>
      </c>
      <c r="H199" t="s">
        <v>13</v>
      </c>
      <c r="I199" t="b">
        <v>0</v>
      </c>
      <c r="J199">
        <f t="shared" si="6"/>
        <v>10</v>
      </c>
      <c r="K199" t="str">
        <f t="shared" si="7"/>
        <v>Positive</v>
      </c>
    </row>
    <row r="200" spans="1:11" x14ac:dyDescent="0.2">
      <c r="A200" t="s">
        <v>6827</v>
      </c>
      <c r="B200" t="s">
        <v>6828</v>
      </c>
      <c r="C200" t="s">
        <v>3663</v>
      </c>
      <c r="D200" t="s">
        <v>64</v>
      </c>
      <c r="E200" t="s">
        <v>4</v>
      </c>
      <c r="F200">
        <v>13712</v>
      </c>
      <c r="G200">
        <v>1730</v>
      </c>
      <c r="H200" t="s">
        <v>13</v>
      </c>
      <c r="I200" t="b">
        <v>0</v>
      </c>
      <c r="J200">
        <f t="shared" si="6"/>
        <v>0</v>
      </c>
      <c r="K200" t="str">
        <f t="shared" si="7"/>
        <v>Neutral</v>
      </c>
    </row>
    <row r="201" spans="1:11" x14ac:dyDescent="0.2">
      <c r="A201" t="s">
        <v>5900</v>
      </c>
      <c r="B201" t="s">
        <v>5901</v>
      </c>
      <c r="C201" t="s">
        <v>2094</v>
      </c>
      <c r="D201" t="s">
        <v>5902</v>
      </c>
      <c r="E201" t="s">
        <v>4</v>
      </c>
      <c r="F201">
        <v>107</v>
      </c>
      <c r="G201">
        <v>54</v>
      </c>
      <c r="H201" t="s">
        <v>13</v>
      </c>
      <c r="I201" t="b">
        <v>0</v>
      </c>
      <c r="J201">
        <f t="shared" si="6"/>
        <v>10</v>
      </c>
      <c r="K201" t="str">
        <f t="shared" si="7"/>
        <v>Positive</v>
      </c>
    </row>
    <row r="202" spans="1:11" x14ac:dyDescent="0.2">
      <c r="A202" t="s">
        <v>419</v>
      </c>
      <c r="B202" t="s">
        <v>420</v>
      </c>
      <c r="C202" t="s">
        <v>421</v>
      </c>
      <c r="D202" t="s">
        <v>422</v>
      </c>
      <c r="E202" t="s">
        <v>4</v>
      </c>
      <c r="F202">
        <v>663</v>
      </c>
      <c r="G202">
        <v>879</v>
      </c>
      <c r="H202" t="s">
        <v>13</v>
      </c>
      <c r="I202" t="b">
        <v>0</v>
      </c>
      <c r="J202">
        <f t="shared" si="6"/>
        <v>0</v>
      </c>
      <c r="K202" t="str">
        <f t="shared" si="7"/>
        <v>Neutral</v>
      </c>
    </row>
    <row r="203" spans="1:11" x14ac:dyDescent="0.2">
      <c r="A203" t="s">
        <v>3888</v>
      </c>
      <c r="B203" t="s">
        <v>3889</v>
      </c>
      <c r="C203" t="s">
        <v>3890</v>
      </c>
      <c r="D203" t="s">
        <v>3891</v>
      </c>
      <c r="E203" t="s">
        <v>4</v>
      </c>
      <c r="F203">
        <v>4001</v>
      </c>
      <c r="G203">
        <v>755</v>
      </c>
      <c r="H203" t="s">
        <v>13</v>
      </c>
      <c r="I203" t="b">
        <v>0</v>
      </c>
      <c r="J203">
        <f t="shared" si="6"/>
        <v>0</v>
      </c>
      <c r="K203" t="str">
        <f t="shared" si="7"/>
        <v>Neutral</v>
      </c>
    </row>
    <row r="204" spans="1:11" x14ac:dyDescent="0.2">
      <c r="A204" t="s">
        <v>4082</v>
      </c>
      <c r="B204" t="s">
        <v>4083</v>
      </c>
      <c r="C204" t="s">
        <v>806</v>
      </c>
      <c r="D204" t="s">
        <v>3</v>
      </c>
      <c r="E204" t="s">
        <v>4</v>
      </c>
      <c r="F204">
        <v>7</v>
      </c>
      <c r="G204">
        <v>25</v>
      </c>
      <c r="H204" t="s">
        <v>13</v>
      </c>
      <c r="I204" t="b">
        <v>0</v>
      </c>
      <c r="J204">
        <f t="shared" si="6"/>
        <v>0</v>
      </c>
      <c r="K204" t="str">
        <f t="shared" si="7"/>
        <v>Neutral</v>
      </c>
    </row>
    <row r="205" spans="1:11" x14ac:dyDescent="0.2">
      <c r="A205" t="s">
        <v>4185</v>
      </c>
      <c r="B205" t="s">
        <v>4186</v>
      </c>
      <c r="C205" t="s">
        <v>4187</v>
      </c>
      <c r="D205" t="s">
        <v>4188</v>
      </c>
      <c r="E205" t="s">
        <v>38</v>
      </c>
      <c r="F205">
        <v>26870</v>
      </c>
      <c r="G205">
        <v>2617</v>
      </c>
      <c r="H205" t="s">
        <v>13</v>
      </c>
      <c r="I205" t="b">
        <v>0</v>
      </c>
      <c r="J205">
        <f t="shared" si="6"/>
        <v>0</v>
      </c>
      <c r="K205" t="str">
        <f t="shared" si="7"/>
        <v>Neutral</v>
      </c>
    </row>
    <row r="206" spans="1:11" x14ac:dyDescent="0.2">
      <c r="A206" t="s">
        <v>3138</v>
      </c>
      <c r="B206" t="s">
        <v>3139</v>
      </c>
      <c r="C206" t="s">
        <v>3140</v>
      </c>
      <c r="D206" t="s">
        <v>3141</v>
      </c>
      <c r="E206" t="s">
        <v>4</v>
      </c>
      <c r="F206">
        <v>230</v>
      </c>
      <c r="G206">
        <v>518</v>
      </c>
      <c r="H206" t="s">
        <v>13</v>
      </c>
      <c r="I206" t="b">
        <v>0</v>
      </c>
      <c r="J206">
        <f t="shared" si="6"/>
        <v>0</v>
      </c>
      <c r="K206" t="str">
        <f t="shared" si="7"/>
        <v>Neutral</v>
      </c>
    </row>
    <row r="207" spans="1:11" x14ac:dyDescent="0.2">
      <c r="A207" t="s">
        <v>913</v>
      </c>
      <c r="B207" t="s">
        <v>914</v>
      </c>
      <c r="C207" t="s">
        <v>915</v>
      </c>
      <c r="D207" t="s">
        <v>3</v>
      </c>
      <c r="E207" t="s">
        <v>4</v>
      </c>
      <c r="F207">
        <v>30</v>
      </c>
      <c r="G207">
        <v>23</v>
      </c>
      <c r="H207" t="s">
        <v>13</v>
      </c>
      <c r="I207" t="b">
        <v>0</v>
      </c>
      <c r="J207">
        <f t="shared" si="6"/>
        <v>10</v>
      </c>
      <c r="K207" t="str">
        <f t="shared" si="7"/>
        <v>Positive</v>
      </c>
    </row>
    <row r="208" spans="1:11" x14ac:dyDescent="0.2">
      <c r="A208" t="s">
        <v>2745</v>
      </c>
      <c r="B208" t="s">
        <v>2746</v>
      </c>
      <c r="C208" t="s">
        <v>2747</v>
      </c>
      <c r="D208" t="s">
        <v>3</v>
      </c>
      <c r="E208" t="s">
        <v>4</v>
      </c>
      <c r="F208">
        <v>344</v>
      </c>
      <c r="G208">
        <v>232</v>
      </c>
      <c r="H208" t="s">
        <v>13</v>
      </c>
      <c r="I208" t="b">
        <v>0</v>
      </c>
      <c r="J208">
        <f t="shared" si="6"/>
        <v>0</v>
      </c>
      <c r="K208" t="str">
        <f t="shared" si="7"/>
        <v>Neutral</v>
      </c>
    </row>
    <row r="209" spans="1:11" x14ac:dyDescent="0.2">
      <c r="A209" t="s">
        <v>2021</v>
      </c>
      <c r="B209" t="s">
        <v>2022</v>
      </c>
      <c r="C209" t="s">
        <v>323</v>
      </c>
      <c r="D209" t="s">
        <v>2023</v>
      </c>
      <c r="E209" t="s">
        <v>4</v>
      </c>
      <c r="F209">
        <v>1003</v>
      </c>
      <c r="G209">
        <v>147</v>
      </c>
      <c r="H209" t="s">
        <v>13</v>
      </c>
      <c r="I209" t="b">
        <v>0</v>
      </c>
      <c r="J209">
        <f t="shared" si="6"/>
        <v>0</v>
      </c>
      <c r="K209" t="str">
        <f t="shared" si="7"/>
        <v>Neutral</v>
      </c>
    </row>
    <row r="210" spans="1:11" x14ac:dyDescent="0.2">
      <c r="A210" t="s">
        <v>2268</v>
      </c>
      <c r="B210" t="s">
        <v>2269</v>
      </c>
      <c r="C210" t="s">
        <v>1317</v>
      </c>
      <c r="D210" t="s">
        <v>3</v>
      </c>
      <c r="E210" t="s">
        <v>4</v>
      </c>
      <c r="F210">
        <v>24</v>
      </c>
      <c r="G210">
        <v>16</v>
      </c>
      <c r="H210" t="s">
        <v>13</v>
      </c>
      <c r="I210" t="b">
        <v>0</v>
      </c>
      <c r="J210">
        <f t="shared" si="6"/>
        <v>20</v>
      </c>
      <c r="K210" t="str">
        <f t="shared" si="7"/>
        <v>Positive</v>
      </c>
    </row>
    <row r="211" spans="1:11" x14ac:dyDescent="0.2">
      <c r="A211" t="s">
        <v>5871</v>
      </c>
      <c r="B211" t="s">
        <v>5872</v>
      </c>
      <c r="C211" t="s">
        <v>1947</v>
      </c>
      <c r="D211" t="s">
        <v>5873</v>
      </c>
      <c r="E211" t="s">
        <v>4</v>
      </c>
      <c r="F211">
        <v>393</v>
      </c>
      <c r="G211">
        <v>401</v>
      </c>
      <c r="H211" t="s">
        <v>13</v>
      </c>
      <c r="I211" t="b">
        <v>0</v>
      </c>
      <c r="J211">
        <f t="shared" si="6"/>
        <v>0</v>
      </c>
      <c r="K211" t="str">
        <f t="shared" si="7"/>
        <v>Neutral</v>
      </c>
    </row>
    <row r="212" spans="1:11" x14ac:dyDescent="0.2">
      <c r="A212" t="s">
        <v>2866</v>
      </c>
      <c r="B212" t="s">
        <v>2867</v>
      </c>
      <c r="C212" t="s">
        <v>675</v>
      </c>
      <c r="D212" t="s">
        <v>2868</v>
      </c>
      <c r="E212" t="s">
        <v>4</v>
      </c>
      <c r="F212">
        <v>327</v>
      </c>
      <c r="G212">
        <v>594</v>
      </c>
      <c r="H212" t="s">
        <v>13</v>
      </c>
      <c r="I212" t="b">
        <v>0</v>
      </c>
      <c r="J212">
        <f t="shared" si="6"/>
        <v>0</v>
      </c>
      <c r="K212" t="str">
        <f t="shared" si="7"/>
        <v>Neutral</v>
      </c>
    </row>
    <row r="213" spans="1:11" x14ac:dyDescent="0.2">
      <c r="A213" t="s">
        <v>905</v>
      </c>
      <c r="B213" t="s">
        <v>906</v>
      </c>
      <c r="C213" t="s">
        <v>907</v>
      </c>
      <c r="D213" t="s">
        <v>3</v>
      </c>
      <c r="E213" t="s">
        <v>4</v>
      </c>
      <c r="F213">
        <v>4071</v>
      </c>
      <c r="G213">
        <v>423</v>
      </c>
      <c r="H213" t="s">
        <v>13</v>
      </c>
      <c r="I213" t="b">
        <v>0</v>
      </c>
      <c r="J213">
        <f t="shared" si="6"/>
        <v>0</v>
      </c>
      <c r="K213" t="str">
        <f t="shared" si="7"/>
        <v>Neutral</v>
      </c>
    </row>
    <row r="214" spans="1:11" x14ac:dyDescent="0.2">
      <c r="A214" t="s">
        <v>5363</v>
      </c>
      <c r="B214" t="s">
        <v>5364</v>
      </c>
      <c r="C214" t="s">
        <v>948</v>
      </c>
      <c r="D214" t="s">
        <v>3</v>
      </c>
      <c r="E214" t="s">
        <v>4</v>
      </c>
      <c r="F214">
        <v>42</v>
      </c>
      <c r="G214">
        <v>82</v>
      </c>
      <c r="H214" t="s">
        <v>76</v>
      </c>
      <c r="I214" t="b">
        <v>0</v>
      </c>
      <c r="J214">
        <f t="shared" si="6"/>
        <v>-10</v>
      </c>
      <c r="K214" t="str">
        <f t="shared" si="7"/>
        <v>Negative</v>
      </c>
    </row>
    <row r="215" spans="1:11" x14ac:dyDescent="0.2">
      <c r="A215" t="s">
        <v>4697</v>
      </c>
      <c r="B215" t="s">
        <v>4698</v>
      </c>
      <c r="C215" t="s">
        <v>4699</v>
      </c>
      <c r="D215" t="s">
        <v>4700</v>
      </c>
      <c r="E215" t="s">
        <v>4</v>
      </c>
      <c r="F215">
        <v>25</v>
      </c>
      <c r="G215">
        <v>73</v>
      </c>
      <c r="H215" t="s">
        <v>13</v>
      </c>
      <c r="I215" t="b">
        <v>0</v>
      </c>
      <c r="J215">
        <f t="shared" si="6"/>
        <v>0</v>
      </c>
      <c r="K215" t="str">
        <f t="shared" si="7"/>
        <v>Neutral</v>
      </c>
    </row>
    <row r="216" spans="1:11" x14ac:dyDescent="0.2">
      <c r="A216" t="s">
        <v>1875</v>
      </c>
      <c r="B216" t="s">
        <v>1876</v>
      </c>
      <c r="C216" t="s">
        <v>1877</v>
      </c>
      <c r="D216" t="s">
        <v>3</v>
      </c>
      <c r="E216" t="s">
        <v>4</v>
      </c>
      <c r="F216">
        <v>664</v>
      </c>
      <c r="G216">
        <v>897</v>
      </c>
      <c r="H216" t="s">
        <v>13</v>
      </c>
      <c r="I216" t="b">
        <v>0</v>
      </c>
      <c r="J216">
        <f t="shared" si="6"/>
        <v>0</v>
      </c>
      <c r="K216" t="str">
        <f t="shared" si="7"/>
        <v>Neutral</v>
      </c>
    </row>
    <row r="217" spans="1:11" x14ac:dyDescent="0.2">
      <c r="A217" t="s">
        <v>3901</v>
      </c>
      <c r="B217" t="s">
        <v>3902</v>
      </c>
      <c r="C217" t="s">
        <v>2102</v>
      </c>
      <c r="D217" t="s">
        <v>984</v>
      </c>
      <c r="E217" t="s">
        <v>4</v>
      </c>
      <c r="F217">
        <v>266</v>
      </c>
      <c r="G217">
        <v>621</v>
      </c>
      <c r="H217" t="s">
        <v>13</v>
      </c>
      <c r="I217" t="b">
        <v>0</v>
      </c>
      <c r="J217">
        <f t="shared" si="6"/>
        <v>10</v>
      </c>
      <c r="K217" t="str">
        <f t="shared" si="7"/>
        <v>Positive</v>
      </c>
    </row>
    <row r="218" spans="1:11" x14ac:dyDescent="0.2">
      <c r="A218" t="s">
        <v>3188</v>
      </c>
      <c r="B218" t="s">
        <v>3189</v>
      </c>
      <c r="C218" t="s">
        <v>3190</v>
      </c>
      <c r="D218" t="s">
        <v>3</v>
      </c>
      <c r="E218" t="s">
        <v>4</v>
      </c>
      <c r="F218">
        <v>307</v>
      </c>
      <c r="G218">
        <v>849</v>
      </c>
      <c r="H218" t="s">
        <v>13</v>
      </c>
      <c r="I218" t="b">
        <v>0</v>
      </c>
      <c r="J218">
        <f t="shared" si="6"/>
        <v>0</v>
      </c>
      <c r="K218" t="str">
        <f t="shared" si="7"/>
        <v>Neutral</v>
      </c>
    </row>
    <row r="219" spans="1:11" x14ac:dyDescent="0.2">
      <c r="A219" t="s">
        <v>1050</v>
      </c>
      <c r="B219" t="s">
        <v>1051</v>
      </c>
      <c r="C219" t="s">
        <v>1052</v>
      </c>
      <c r="D219" t="s">
        <v>3</v>
      </c>
      <c r="E219" t="s">
        <v>4</v>
      </c>
      <c r="F219">
        <v>38</v>
      </c>
      <c r="G219">
        <v>106</v>
      </c>
      <c r="H219" t="s">
        <v>13</v>
      </c>
      <c r="I219" t="b">
        <v>0</v>
      </c>
      <c r="J219">
        <f t="shared" si="6"/>
        <v>10</v>
      </c>
      <c r="K219" t="str">
        <f t="shared" si="7"/>
        <v>Positive</v>
      </c>
    </row>
    <row r="220" spans="1:11" x14ac:dyDescent="0.2">
      <c r="A220" t="s">
        <v>5016</v>
      </c>
      <c r="B220" t="s">
        <v>5017</v>
      </c>
      <c r="C220" t="s">
        <v>1812</v>
      </c>
      <c r="D220" t="s">
        <v>5018</v>
      </c>
      <c r="E220" t="s">
        <v>4</v>
      </c>
      <c r="F220">
        <v>498</v>
      </c>
      <c r="G220">
        <v>2922</v>
      </c>
      <c r="H220" t="s">
        <v>13</v>
      </c>
      <c r="I220" t="b">
        <v>0</v>
      </c>
      <c r="J220">
        <f t="shared" si="6"/>
        <v>0</v>
      </c>
      <c r="K220" t="str">
        <f t="shared" si="7"/>
        <v>Neutral</v>
      </c>
    </row>
    <row r="221" spans="1:11" x14ac:dyDescent="0.2">
      <c r="A221" t="s">
        <v>2427</v>
      </c>
      <c r="B221" t="s">
        <v>2428</v>
      </c>
      <c r="C221" t="s">
        <v>2429</v>
      </c>
      <c r="D221" t="s">
        <v>2430</v>
      </c>
      <c r="E221" t="s">
        <v>4</v>
      </c>
      <c r="F221">
        <v>16</v>
      </c>
      <c r="G221">
        <v>57</v>
      </c>
      <c r="H221" t="s">
        <v>13</v>
      </c>
      <c r="I221" t="b">
        <v>0</v>
      </c>
      <c r="J221">
        <f t="shared" si="6"/>
        <v>-10</v>
      </c>
      <c r="K221" t="str">
        <f t="shared" si="7"/>
        <v>Negative</v>
      </c>
    </row>
    <row r="222" spans="1:11" x14ac:dyDescent="0.2">
      <c r="A222" t="s">
        <v>4572</v>
      </c>
      <c r="B222" t="s">
        <v>4573</v>
      </c>
      <c r="C222" t="s">
        <v>730</v>
      </c>
      <c r="D222" t="s">
        <v>3</v>
      </c>
      <c r="E222" t="s">
        <v>4</v>
      </c>
      <c r="F222">
        <v>49</v>
      </c>
      <c r="G222">
        <v>146</v>
      </c>
      <c r="H222" t="s">
        <v>13</v>
      </c>
      <c r="I222" t="b">
        <v>0</v>
      </c>
      <c r="J222">
        <f t="shared" si="6"/>
        <v>0</v>
      </c>
      <c r="K222" t="str">
        <f t="shared" si="7"/>
        <v>Neutral</v>
      </c>
    </row>
    <row r="223" spans="1:11" x14ac:dyDescent="0.2">
      <c r="A223" t="s">
        <v>4909</v>
      </c>
      <c r="B223" t="s">
        <v>4910</v>
      </c>
      <c r="C223" t="s">
        <v>4911</v>
      </c>
      <c r="D223" t="s">
        <v>4912</v>
      </c>
      <c r="E223" t="s">
        <v>4</v>
      </c>
      <c r="F223">
        <v>1000</v>
      </c>
      <c r="G223">
        <v>1394</v>
      </c>
      <c r="H223" t="s">
        <v>13</v>
      </c>
      <c r="I223" t="b">
        <v>0</v>
      </c>
      <c r="J223">
        <f t="shared" si="6"/>
        <v>0</v>
      </c>
      <c r="K223" t="str">
        <f t="shared" si="7"/>
        <v>Neutral</v>
      </c>
    </row>
    <row r="224" spans="1:11" x14ac:dyDescent="0.2">
      <c r="A224" t="s">
        <v>175</v>
      </c>
      <c r="B224" t="s">
        <v>176</v>
      </c>
      <c r="C224" t="s">
        <v>177</v>
      </c>
      <c r="D224" t="s">
        <v>178</v>
      </c>
      <c r="E224" t="s">
        <v>4</v>
      </c>
      <c r="F224">
        <v>44</v>
      </c>
      <c r="G224">
        <v>163</v>
      </c>
      <c r="H224" t="s">
        <v>13</v>
      </c>
      <c r="I224" t="b">
        <v>0</v>
      </c>
      <c r="J224">
        <f t="shared" si="6"/>
        <v>0</v>
      </c>
      <c r="K224" t="str">
        <f t="shared" si="7"/>
        <v>Neutral</v>
      </c>
    </row>
    <row r="225" spans="1:11" x14ac:dyDescent="0.2">
      <c r="A225" t="s">
        <v>3805</v>
      </c>
      <c r="B225" t="s">
        <v>3806</v>
      </c>
      <c r="C225" t="s">
        <v>1095</v>
      </c>
      <c r="D225" t="s">
        <v>1347</v>
      </c>
      <c r="E225" t="s">
        <v>4</v>
      </c>
      <c r="F225">
        <v>148</v>
      </c>
      <c r="G225">
        <v>814</v>
      </c>
      <c r="H225" t="s">
        <v>13</v>
      </c>
      <c r="I225" t="b">
        <v>0</v>
      </c>
      <c r="J225">
        <f t="shared" si="6"/>
        <v>0</v>
      </c>
      <c r="K225" t="str">
        <f t="shared" si="7"/>
        <v>Neutral</v>
      </c>
    </row>
    <row r="226" spans="1:11" x14ac:dyDescent="0.2">
      <c r="A226" t="s">
        <v>330</v>
      </c>
      <c r="B226" t="s">
        <v>331</v>
      </c>
      <c r="C226" t="s">
        <v>332</v>
      </c>
      <c r="D226" t="s">
        <v>333</v>
      </c>
      <c r="E226" t="s">
        <v>4</v>
      </c>
      <c r="F226">
        <v>5053</v>
      </c>
      <c r="G226">
        <v>958</v>
      </c>
      <c r="H226" t="s">
        <v>50</v>
      </c>
      <c r="I226" t="b">
        <v>0</v>
      </c>
      <c r="J226">
        <f t="shared" si="6"/>
        <v>0</v>
      </c>
      <c r="K226" t="str">
        <f t="shared" si="7"/>
        <v>Neutral</v>
      </c>
    </row>
    <row r="227" spans="1:11" x14ac:dyDescent="0.2">
      <c r="A227" t="s">
        <v>813</v>
      </c>
      <c r="B227" t="s">
        <v>814</v>
      </c>
      <c r="C227" t="s">
        <v>815</v>
      </c>
      <c r="D227" t="s">
        <v>3</v>
      </c>
      <c r="E227" t="s">
        <v>4</v>
      </c>
      <c r="F227">
        <v>919</v>
      </c>
      <c r="G227">
        <v>354</v>
      </c>
      <c r="H227" t="s">
        <v>13</v>
      </c>
      <c r="I227" t="b">
        <v>0</v>
      </c>
      <c r="J227">
        <f t="shared" si="6"/>
        <v>0</v>
      </c>
      <c r="K227" t="str">
        <f t="shared" si="7"/>
        <v>Neutral</v>
      </c>
    </row>
    <row r="228" spans="1:11" x14ac:dyDescent="0.2">
      <c r="A228" t="s">
        <v>3747</v>
      </c>
      <c r="B228" t="s">
        <v>3748</v>
      </c>
      <c r="C228" t="s">
        <v>3715</v>
      </c>
      <c r="D228" t="s">
        <v>3</v>
      </c>
      <c r="E228" t="s">
        <v>4</v>
      </c>
      <c r="F228">
        <v>25</v>
      </c>
      <c r="G228">
        <v>20</v>
      </c>
      <c r="H228" t="s">
        <v>13</v>
      </c>
      <c r="I228" t="b">
        <v>0</v>
      </c>
      <c r="J228">
        <f t="shared" si="6"/>
        <v>20</v>
      </c>
      <c r="K228" t="str">
        <f t="shared" si="7"/>
        <v>Positive</v>
      </c>
    </row>
    <row r="229" spans="1:11" x14ac:dyDescent="0.2">
      <c r="A229" t="s">
        <v>6493</v>
      </c>
      <c r="B229" t="s">
        <v>6494</v>
      </c>
      <c r="C229" t="s">
        <v>6495</v>
      </c>
      <c r="D229" t="s">
        <v>3</v>
      </c>
      <c r="E229" t="s">
        <v>4</v>
      </c>
      <c r="F229">
        <v>1</v>
      </c>
      <c r="G229">
        <v>21</v>
      </c>
      <c r="H229" t="s">
        <v>13</v>
      </c>
      <c r="I229" t="b">
        <v>0</v>
      </c>
      <c r="J229">
        <f t="shared" si="6"/>
        <v>0</v>
      </c>
      <c r="K229" t="str">
        <f t="shared" si="7"/>
        <v>Neutral</v>
      </c>
    </row>
    <row r="230" spans="1:11" x14ac:dyDescent="0.2">
      <c r="A230" t="s">
        <v>5611</v>
      </c>
      <c r="B230" t="s">
        <v>5613</v>
      </c>
      <c r="C230" t="s">
        <v>561</v>
      </c>
      <c r="D230" t="s">
        <v>562</v>
      </c>
      <c r="E230" t="s">
        <v>4</v>
      </c>
      <c r="F230">
        <v>385</v>
      </c>
      <c r="G230">
        <v>72</v>
      </c>
      <c r="H230" t="s">
        <v>13</v>
      </c>
      <c r="I230" t="b">
        <v>0</v>
      </c>
      <c r="J230">
        <f t="shared" si="6"/>
        <v>0</v>
      </c>
      <c r="K230" t="str">
        <f t="shared" si="7"/>
        <v>Neutral</v>
      </c>
    </row>
    <row r="231" spans="1:11" x14ac:dyDescent="0.2">
      <c r="A231" t="s">
        <v>2628</v>
      </c>
      <c r="B231" t="s">
        <v>2629</v>
      </c>
      <c r="C231" t="s">
        <v>884</v>
      </c>
      <c r="D231" t="s">
        <v>3</v>
      </c>
      <c r="E231" t="s">
        <v>4</v>
      </c>
      <c r="F231">
        <v>14552</v>
      </c>
      <c r="G231">
        <v>552</v>
      </c>
      <c r="H231" t="s">
        <v>13</v>
      </c>
      <c r="I231" t="b">
        <v>0</v>
      </c>
      <c r="J231">
        <f t="shared" si="6"/>
        <v>0</v>
      </c>
      <c r="K231" t="str">
        <f t="shared" si="7"/>
        <v>Neutral</v>
      </c>
    </row>
    <row r="232" spans="1:11" x14ac:dyDescent="0.2">
      <c r="A232" t="s">
        <v>1627</v>
      </c>
      <c r="B232" t="s">
        <v>1628</v>
      </c>
      <c r="C232" t="s">
        <v>293</v>
      </c>
      <c r="D232" t="s">
        <v>3</v>
      </c>
      <c r="E232" t="s">
        <v>4</v>
      </c>
      <c r="F232">
        <v>19</v>
      </c>
      <c r="G232">
        <v>28</v>
      </c>
      <c r="H232" t="s">
        <v>13</v>
      </c>
      <c r="I232" t="b">
        <v>0</v>
      </c>
      <c r="J232">
        <f t="shared" si="6"/>
        <v>0</v>
      </c>
      <c r="K232" t="str">
        <f t="shared" si="7"/>
        <v>Neutral</v>
      </c>
    </row>
    <row r="233" spans="1:11" x14ac:dyDescent="0.2">
      <c r="A233" t="s">
        <v>780</v>
      </c>
      <c r="B233" t="s">
        <v>781</v>
      </c>
      <c r="C233" t="s">
        <v>712</v>
      </c>
      <c r="D233" t="s">
        <v>3</v>
      </c>
      <c r="E233" t="s">
        <v>4</v>
      </c>
      <c r="F233">
        <v>316</v>
      </c>
      <c r="G233">
        <v>201</v>
      </c>
      <c r="H233" t="s">
        <v>13</v>
      </c>
      <c r="I233" t="b">
        <v>0</v>
      </c>
      <c r="J233">
        <f t="shared" si="6"/>
        <v>0</v>
      </c>
      <c r="K233" t="str">
        <f t="shared" si="7"/>
        <v>Neutral</v>
      </c>
    </row>
    <row r="234" spans="1:11" x14ac:dyDescent="0.2">
      <c r="A234" t="s">
        <v>2969</v>
      </c>
      <c r="B234" t="s">
        <v>2970</v>
      </c>
      <c r="C234" t="s">
        <v>1842</v>
      </c>
      <c r="D234" t="s">
        <v>2971</v>
      </c>
      <c r="E234" t="s">
        <v>4</v>
      </c>
      <c r="F234">
        <v>554</v>
      </c>
      <c r="G234">
        <v>445</v>
      </c>
      <c r="H234" t="s">
        <v>13</v>
      </c>
      <c r="I234" t="b">
        <v>0</v>
      </c>
      <c r="J234">
        <f t="shared" si="6"/>
        <v>-10</v>
      </c>
      <c r="K234" t="str">
        <f t="shared" si="7"/>
        <v>Negative</v>
      </c>
    </row>
    <row r="235" spans="1:11" x14ac:dyDescent="0.2">
      <c r="A235" t="s">
        <v>5107</v>
      </c>
      <c r="B235" t="s">
        <v>5108</v>
      </c>
      <c r="C235" t="s">
        <v>5109</v>
      </c>
      <c r="D235" t="s">
        <v>3</v>
      </c>
      <c r="E235" t="s">
        <v>4</v>
      </c>
      <c r="F235">
        <v>2544</v>
      </c>
      <c r="G235">
        <v>150</v>
      </c>
      <c r="H235" t="s">
        <v>13</v>
      </c>
      <c r="I235" t="b">
        <v>0</v>
      </c>
      <c r="J235">
        <f t="shared" si="6"/>
        <v>0</v>
      </c>
      <c r="K235" t="str">
        <f t="shared" si="7"/>
        <v>Neutral</v>
      </c>
    </row>
    <row r="236" spans="1:11" x14ac:dyDescent="0.2">
      <c r="A236" t="s">
        <v>6881</v>
      </c>
      <c r="B236" t="s">
        <v>6882</v>
      </c>
      <c r="C236" t="s">
        <v>450</v>
      </c>
      <c r="D236" t="s">
        <v>3426</v>
      </c>
      <c r="E236" t="s">
        <v>4</v>
      </c>
      <c r="F236">
        <v>160</v>
      </c>
      <c r="G236">
        <v>171</v>
      </c>
      <c r="H236" t="s">
        <v>13</v>
      </c>
      <c r="I236" t="b">
        <v>0</v>
      </c>
      <c r="J236">
        <f t="shared" si="6"/>
        <v>0</v>
      </c>
      <c r="K236" t="str">
        <f t="shared" si="7"/>
        <v>Neutral</v>
      </c>
    </row>
    <row r="237" spans="1:11" x14ac:dyDescent="0.2">
      <c r="A237" t="s">
        <v>6689</v>
      </c>
      <c r="B237" t="s">
        <v>6690</v>
      </c>
      <c r="C237" t="s">
        <v>1359</v>
      </c>
      <c r="D237" t="s">
        <v>1340</v>
      </c>
      <c r="E237" t="s">
        <v>4</v>
      </c>
      <c r="F237">
        <v>17</v>
      </c>
      <c r="G237">
        <v>112</v>
      </c>
      <c r="H237" t="s">
        <v>13</v>
      </c>
      <c r="I237" t="b">
        <v>0</v>
      </c>
      <c r="J237">
        <f t="shared" si="6"/>
        <v>0</v>
      </c>
      <c r="K237" t="str">
        <f t="shared" si="7"/>
        <v>Neutral</v>
      </c>
    </row>
    <row r="238" spans="1:11" x14ac:dyDescent="0.2">
      <c r="A238" t="s">
        <v>5893</v>
      </c>
      <c r="B238" t="s">
        <v>5894</v>
      </c>
      <c r="C238" t="s">
        <v>197</v>
      </c>
      <c r="D238" t="s">
        <v>1740</v>
      </c>
      <c r="E238" t="s">
        <v>4</v>
      </c>
      <c r="F238">
        <v>66</v>
      </c>
      <c r="G238">
        <v>149</v>
      </c>
      <c r="H238" t="s">
        <v>13</v>
      </c>
      <c r="I238" t="b">
        <v>0</v>
      </c>
      <c r="J238">
        <f t="shared" si="6"/>
        <v>-10</v>
      </c>
      <c r="K238" t="str">
        <f t="shared" si="7"/>
        <v>Negative</v>
      </c>
    </row>
    <row r="239" spans="1:11" x14ac:dyDescent="0.2">
      <c r="A239" t="s">
        <v>6719</v>
      </c>
      <c r="B239" t="s">
        <v>6720</v>
      </c>
      <c r="C239" t="s">
        <v>6701</v>
      </c>
      <c r="D239" t="s">
        <v>538</v>
      </c>
      <c r="E239" t="s">
        <v>4</v>
      </c>
      <c r="F239">
        <v>86</v>
      </c>
      <c r="G239">
        <v>93</v>
      </c>
      <c r="H239" t="s">
        <v>13</v>
      </c>
      <c r="I239" t="b">
        <v>0</v>
      </c>
      <c r="J239">
        <f t="shared" si="6"/>
        <v>0</v>
      </c>
      <c r="K239" t="str">
        <f t="shared" si="7"/>
        <v>Neutral</v>
      </c>
    </row>
    <row r="240" spans="1:11" x14ac:dyDescent="0.2">
      <c r="A240" t="s">
        <v>6020</v>
      </c>
      <c r="B240" t="s">
        <v>6021</v>
      </c>
      <c r="C240" t="s">
        <v>6022</v>
      </c>
      <c r="D240" t="s">
        <v>3</v>
      </c>
      <c r="E240" t="s">
        <v>4</v>
      </c>
      <c r="F240">
        <v>2</v>
      </c>
      <c r="G240">
        <v>20</v>
      </c>
      <c r="H240" t="s">
        <v>13</v>
      </c>
      <c r="I240" t="b">
        <v>0</v>
      </c>
      <c r="J240">
        <f t="shared" si="6"/>
        <v>0</v>
      </c>
      <c r="K240" t="str">
        <f t="shared" si="7"/>
        <v>Neutral</v>
      </c>
    </row>
    <row r="241" spans="1:11" x14ac:dyDescent="0.2">
      <c r="A241" t="s">
        <v>4518</v>
      </c>
      <c r="B241" t="s">
        <v>4519</v>
      </c>
      <c r="C241" t="s">
        <v>4520</v>
      </c>
      <c r="D241" t="s">
        <v>4521</v>
      </c>
      <c r="E241" t="s">
        <v>4</v>
      </c>
      <c r="F241">
        <v>4041</v>
      </c>
      <c r="G241">
        <v>155</v>
      </c>
      <c r="H241" t="s">
        <v>13</v>
      </c>
      <c r="I241" t="b">
        <v>0</v>
      </c>
      <c r="J241">
        <f t="shared" si="6"/>
        <v>0</v>
      </c>
      <c r="K241" t="str">
        <f t="shared" si="7"/>
        <v>Neutral</v>
      </c>
    </row>
    <row r="242" spans="1:11" x14ac:dyDescent="0.2">
      <c r="A242" t="s">
        <v>338</v>
      </c>
      <c r="B242" t="s">
        <v>339</v>
      </c>
      <c r="C242" t="s">
        <v>340</v>
      </c>
      <c r="D242" t="s">
        <v>341</v>
      </c>
      <c r="E242" t="s">
        <v>4</v>
      </c>
      <c r="F242">
        <v>125</v>
      </c>
      <c r="G242">
        <v>438</v>
      </c>
      <c r="H242" t="s">
        <v>342</v>
      </c>
      <c r="I242" t="b">
        <v>0</v>
      </c>
      <c r="J242">
        <f t="shared" si="6"/>
        <v>0</v>
      </c>
      <c r="K242" t="str">
        <f t="shared" si="7"/>
        <v>Neutral</v>
      </c>
    </row>
    <row r="243" spans="1:11" x14ac:dyDescent="0.2">
      <c r="A243" t="s">
        <v>4121</v>
      </c>
      <c r="B243" t="s">
        <v>4122</v>
      </c>
      <c r="C243" t="s">
        <v>4123</v>
      </c>
      <c r="D243" t="s">
        <v>4124</v>
      </c>
      <c r="E243" t="s">
        <v>4</v>
      </c>
      <c r="F243">
        <v>10306</v>
      </c>
      <c r="G243">
        <v>1088</v>
      </c>
      <c r="H243" t="s">
        <v>13</v>
      </c>
      <c r="I243" t="b">
        <v>0</v>
      </c>
      <c r="J243">
        <f t="shared" si="6"/>
        <v>10</v>
      </c>
      <c r="K243" t="str">
        <f t="shared" si="7"/>
        <v>Positive</v>
      </c>
    </row>
    <row r="244" spans="1:11" x14ac:dyDescent="0.2">
      <c r="A244" t="s">
        <v>6107</v>
      </c>
      <c r="B244" t="s">
        <v>6108</v>
      </c>
      <c r="C244" t="s">
        <v>6109</v>
      </c>
      <c r="D244" t="s">
        <v>6110</v>
      </c>
      <c r="E244" t="s">
        <v>4</v>
      </c>
      <c r="F244">
        <v>168</v>
      </c>
      <c r="G244">
        <v>174</v>
      </c>
      <c r="H244" t="s">
        <v>50</v>
      </c>
      <c r="I244" t="b">
        <v>0</v>
      </c>
      <c r="J244">
        <f t="shared" si="6"/>
        <v>0</v>
      </c>
      <c r="K244" t="str">
        <f t="shared" si="7"/>
        <v>Neutral</v>
      </c>
    </row>
    <row r="245" spans="1:11" x14ac:dyDescent="0.2">
      <c r="A245" t="s">
        <v>3691</v>
      </c>
      <c r="B245" t="s">
        <v>3692</v>
      </c>
      <c r="C245" t="s">
        <v>2233</v>
      </c>
      <c r="D245" t="s">
        <v>3574</v>
      </c>
      <c r="E245" t="s">
        <v>4</v>
      </c>
      <c r="F245">
        <v>78</v>
      </c>
      <c r="G245">
        <v>124</v>
      </c>
      <c r="H245" t="s">
        <v>13</v>
      </c>
      <c r="I245" t="b">
        <v>0</v>
      </c>
      <c r="J245">
        <f t="shared" si="6"/>
        <v>0</v>
      </c>
      <c r="K245" t="str">
        <f t="shared" si="7"/>
        <v>Neutral</v>
      </c>
    </row>
    <row r="246" spans="1:11" x14ac:dyDescent="0.2">
      <c r="A246" t="s">
        <v>4422</v>
      </c>
      <c r="B246" t="s">
        <v>4423</v>
      </c>
      <c r="C246" t="s">
        <v>752</v>
      </c>
      <c r="D246" t="s">
        <v>753</v>
      </c>
      <c r="E246" t="s">
        <v>4</v>
      </c>
      <c r="F246">
        <v>3059</v>
      </c>
      <c r="G246">
        <v>983</v>
      </c>
      <c r="H246" t="s">
        <v>13</v>
      </c>
      <c r="I246" t="b">
        <v>0</v>
      </c>
      <c r="J246">
        <f t="shared" si="6"/>
        <v>0</v>
      </c>
      <c r="K246" t="str">
        <f t="shared" si="7"/>
        <v>Neutral</v>
      </c>
    </row>
    <row r="247" spans="1:11" x14ac:dyDescent="0.2">
      <c r="A247" t="s">
        <v>1126</v>
      </c>
      <c r="B247" t="s">
        <v>1127</v>
      </c>
      <c r="C247" t="s">
        <v>752</v>
      </c>
      <c r="D247" t="s">
        <v>753</v>
      </c>
      <c r="E247" t="s">
        <v>4</v>
      </c>
      <c r="F247">
        <v>3058</v>
      </c>
      <c r="G247">
        <v>983</v>
      </c>
      <c r="H247" t="s">
        <v>13</v>
      </c>
      <c r="I247" t="b">
        <v>0</v>
      </c>
      <c r="J247">
        <f t="shared" si="6"/>
        <v>0</v>
      </c>
      <c r="K247" t="str">
        <f t="shared" si="7"/>
        <v>Neutral</v>
      </c>
    </row>
    <row r="248" spans="1:11" x14ac:dyDescent="0.2">
      <c r="A248" t="s">
        <v>3994</v>
      </c>
      <c r="B248" t="s">
        <v>3995</v>
      </c>
      <c r="C248" t="s">
        <v>1896</v>
      </c>
      <c r="D248" t="s">
        <v>3996</v>
      </c>
      <c r="E248" t="s">
        <v>4</v>
      </c>
      <c r="F248">
        <v>4</v>
      </c>
      <c r="G248">
        <v>20</v>
      </c>
      <c r="H248" t="s">
        <v>13</v>
      </c>
      <c r="I248" t="b">
        <v>0</v>
      </c>
      <c r="J248">
        <f t="shared" si="6"/>
        <v>0</v>
      </c>
      <c r="K248" t="str">
        <f t="shared" si="7"/>
        <v>Neutral</v>
      </c>
    </row>
    <row r="249" spans="1:11" x14ac:dyDescent="0.2">
      <c r="A249" t="s">
        <v>2805</v>
      </c>
      <c r="B249" t="s">
        <v>2806</v>
      </c>
      <c r="C249" t="s">
        <v>2807</v>
      </c>
      <c r="D249" t="s">
        <v>2808</v>
      </c>
      <c r="E249" t="s">
        <v>4</v>
      </c>
      <c r="F249">
        <v>50913</v>
      </c>
      <c r="G249">
        <v>308</v>
      </c>
      <c r="H249" t="s">
        <v>13</v>
      </c>
      <c r="I249" t="b">
        <v>0</v>
      </c>
      <c r="J249">
        <f t="shared" si="6"/>
        <v>-10</v>
      </c>
      <c r="K249" t="str">
        <f t="shared" si="7"/>
        <v>Negative</v>
      </c>
    </row>
    <row r="250" spans="1:11" x14ac:dyDescent="0.2">
      <c r="A250" t="s">
        <v>871</v>
      </c>
      <c r="B250" t="s">
        <v>872</v>
      </c>
      <c r="C250" t="s">
        <v>752</v>
      </c>
      <c r="D250" t="s">
        <v>753</v>
      </c>
      <c r="E250" t="s">
        <v>4</v>
      </c>
      <c r="F250">
        <v>3058</v>
      </c>
      <c r="G250">
        <v>983</v>
      </c>
      <c r="H250" t="s">
        <v>13</v>
      </c>
      <c r="I250" t="b">
        <v>0</v>
      </c>
      <c r="J250">
        <f t="shared" si="6"/>
        <v>0</v>
      </c>
      <c r="K250" t="str">
        <f t="shared" si="7"/>
        <v>Neutral</v>
      </c>
    </row>
    <row r="251" spans="1:11" x14ac:dyDescent="0.2">
      <c r="A251" t="s">
        <v>5534</v>
      </c>
      <c r="B251" t="s">
        <v>5535</v>
      </c>
      <c r="C251" t="s">
        <v>730</v>
      </c>
      <c r="D251" t="s">
        <v>5536</v>
      </c>
      <c r="E251" t="s">
        <v>4</v>
      </c>
      <c r="F251">
        <v>109</v>
      </c>
      <c r="G251">
        <v>584</v>
      </c>
      <c r="H251" t="s">
        <v>13</v>
      </c>
      <c r="I251" t="b">
        <v>0</v>
      </c>
      <c r="J251">
        <f t="shared" si="6"/>
        <v>0</v>
      </c>
      <c r="K251" t="str">
        <f t="shared" si="7"/>
        <v>Neutral</v>
      </c>
    </row>
    <row r="252" spans="1:11" x14ac:dyDescent="0.2">
      <c r="A252" t="s">
        <v>6819</v>
      </c>
      <c r="B252" t="s">
        <v>6820</v>
      </c>
      <c r="C252" t="s">
        <v>6821</v>
      </c>
      <c r="D252" t="s">
        <v>3</v>
      </c>
      <c r="E252" t="s">
        <v>4</v>
      </c>
      <c r="F252">
        <v>17</v>
      </c>
      <c r="G252">
        <v>146</v>
      </c>
      <c r="H252" t="s">
        <v>13</v>
      </c>
      <c r="I252" t="b">
        <v>0</v>
      </c>
      <c r="J252">
        <f t="shared" si="6"/>
        <v>-10</v>
      </c>
      <c r="K252" t="str">
        <f t="shared" si="7"/>
        <v>Negative</v>
      </c>
    </row>
    <row r="253" spans="1:11" x14ac:dyDescent="0.2">
      <c r="A253" t="s">
        <v>3045</v>
      </c>
      <c r="B253" t="s">
        <v>3046</v>
      </c>
      <c r="C253" t="s">
        <v>752</v>
      </c>
      <c r="D253" t="s">
        <v>753</v>
      </c>
      <c r="E253" t="s">
        <v>4</v>
      </c>
      <c r="F253">
        <v>3059</v>
      </c>
      <c r="G253">
        <v>983</v>
      </c>
      <c r="H253" t="s">
        <v>13</v>
      </c>
      <c r="I253" t="b">
        <v>0</v>
      </c>
      <c r="J253">
        <f t="shared" si="6"/>
        <v>0</v>
      </c>
      <c r="K253" t="str">
        <f t="shared" si="7"/>
        <v>Neutral</v>
      </c>
    </row>
    <row r="254" spans="1:11" x14ac:dyDescent="0.2">
      <c r="A254" t="s">
        <v>7248</v>
      </c>
      <c r="B254" t="s">
        <v>7249</v>
      </c>
      <c r="C254" t="s">
        <v>5998</v>
      </c>
      <c r="D254" t="s">
        <v>5999</v>
      </c>
      <c r="E254" t="s">
        <v>4</v>
      </c>
      <c r="F254">
        <v>839</v>
      </c>
      <c r="G254">
        <v>744</v>
      </c>
      <c r="H254" t="s">
        <v>13</v>
      </c>
      <c r="I254" t="b">
        <v>0</v>
      </c>
      <c r="J254">
        <f t="shared" si="6"/>
        <v>0</v>
      </c>
      <c r="K254" t="str">
        <f t="shared" si="7"/>
        <v>Neutral</v>
      </c>
    </row>
    <row r="255" spans="1:11" x14ac:dyDescent="0.2">
      <c r="A255" t="s">
        <v>5819</v>
      </c>
      <c r="B255" t="s">
        <v>5820</v>
      </c>
      <c r="C255" t="s">
        <v>3570</v>
      </c>
      <c r="D255" t="s">
        <v>3571</v>
      </c>
      <c r="E255" t="s">
        <v>4</v>
      </c>
      <c r="F255">
        <v>639</v>
      </c>
      <c r="G255">
        <v>181</v>
      </c>
      <c r="H255" t="s">
        <v>13</v>
      </c>
      <c r="I255" t="b">
        <v>0</v>
      </c>
      <c r="J255">
        <f t="shared" si="6"/>
        <v>0</v>
      </c>
      <c r="K255" t="str">
        <f t="shared" si="7"/>
        <v>Neutral</v>
      </c>
    </row>
    <row r="256" spans="1:11" x14ac:dyDescent="0.2">
      <c r="A256" t="s">
        <v>5722</v>
      </c>
      <c r="B256" t="s">
        <v>5723</v>
      </c>
      <c r="C256" t="s">
        <v>5724</v>
      </c>
      <c r="D256" t="s">
        <v>5725</v>
      </c>
      <c r="E256" t="s">
        <v>4</v>
      </c>
      <c r="F256">
        <v>15348</v>
      </c>
      <c r="G256">
        <v>70</v>
      </c>
      <c r="H256" t="s">
        <v>13</v>
      </c>
      <c r="I256" t="b">
        <v>0</v>
      </c>
      <c r="J256">
        <f t="shared" si="6"/>
        <v>0</v>
      </c>
      <c r="K256" t="str">
        <f t="shared" si="7"/>
        <v>Neutral</v>
      </c>
    </row>
    <row r="257" spans="1:11" x14ac:dyDescent="0.2">
      <c r="A257" t="s">
        <v>6194</v>
      </c>
      <c r="B257" t="s">
        <v>6195</v>
      </c>
      <c r="C257" t="s">
        <v>6196</v>
      </c>
      <c r="D257" t="s">
        <v>6197</v>
      </c>
      <c r="E257" t="s">
        <v>4</v>
      </c>
      <c r="F257">
        <v>88</v>
      </c>
      <c r="G257">
        <v>578</v>
      </c>
      <c r="H257" t="s">
        <v>13</v>
      </c>
      <c r="I257" t="b">
        <v>0</v>
      </c>
      <c r="J257">
        <f t="shared" si="6"/>
        <v>0</v>
      </c>
      <c r="K257" t="str">
        <f t="shared" si="7"/>
        <v>Neutral</v>
      </c>
    </row>
    <row r="258" spans="1:11" x14ac:dyDescent="0.2">
      <c r="A258" t="s">
        <v>5768</v>
      </c>
      <c r="B258" t="s">
        <v>5769</v>
      </c>
      <c r="C258" t="s">
        <v>2230</v>
      </c>
      <c r="D258" t="s">
        <v>4473</v>
      </c>
      <c r="E258" t="s">
        <v>4</v>
      </c>
      <c r="F258">
        <v>9528</v>
      </c>
      <c r="G258">
        <v>304</v>
      </c>
      <c r="H258" t="s">
        <v>13</v>
      </c>
      <c r="I258" t="b">
        <v>0</v>
      </c>
      <c r="J258">
        <f t="shared" si="6"/>
        <v>10</v>
      </c>
      <c r="K258" t="str">
        <f t="shared" si="7"/>
        <v>Positive</v>
      </c>
    </row>
    <row r="259" spans="1:11" x14ac:dyDescent="0.2">
      <c r="A259" t="s">
        <v>386</v>
      </c>
      <c r="B259" t="s">
        <v>387</v>
      </c>
      <c r="C259" t="s">
        <v>215</v>
      </c>
      <c r="D259" t="s">
        <v>388</v>
      </c>
      <c r="E259" t="s">
        <v>4</v>
      </c>
      <c r="F259">
        <v>1449</v>
      </c>
      <c r="G259">
        <v>4998</v>
      </c>
      <c r="H259" t="s">
        <v>13</v>
      </c>
      <c r="I259" t="b">
        <v>0</v>
      </c>
      <c r="J259">
        <f t="shared" ref="J259:J322" si="8">sentimentCalc(B259)</f>
        <v>0</v>
      </c>
      <c r="K259" t="str">
        <f t="shared" ref="K259:K322" si="9">sentimentCategory(J259)</f>
        <v>Neutral</v>
      </c>
    </row>
    <row r="260" spans="1:11" x14ac:dyDescent="0.2">
      <c r="A260" t="s">
        <v>1730</v>
      </c>
      <c r="B260" t="s">
        <v>1731</v>
      </c>
      <c r="C260" t="s">
        <v>1691</v>
      </c>
      <c r="D260" t="s">
        <v>1732</v>
      </c>
      <c r="E260" t="s">
        <v>38</v>
      </c>
      <c r="F260">
        <v>72038</v>
      </c>
      <c r="G260">
        <v>420</v>
      </c>
      <c r="H260" t="s">
        <v>13</v>
      </c>
      <c r="I260" t="b">
        <v>0</v>
      </c>
      <c r="J260">
        <f t="shared" si="8"/>
        <v>0</v>
      </c>
      <c r="K260" t="str">
        <f t="shared" si="9"/>
        <v>Neutral</v>
      </c>
    </row>
    <row r="261" spans="1:11" x14ac:dyDescent="0.2">
      <c r="A261" t="s">
        <v>1367</v>
      </c>
      <c r="B261" t="s">
        <v>1368</v>
      </c>
      <c r="C261" t="s">
        <v>581</v>
      </c>
      <c r="D261" t="s">
        <v>1369</v>
      </c>
      <c r="E261" t="s">
        <v>4</v>
      </c>
      <c r="F261">
        <v>327</v>
      </c>
      <c r="G261">
        <v>59</v>
      </c>
      <c r="H261" t="s">
        <v>13</v>
      </c>
      <c r="I261" t="b">
        <v>0</v>
      </c>
      <c r="J261">
        <f t="shared" si="8"/>
        <v>0</v>
      </c>
      <c r="K261" t="str">
        <f t="shared" si="9"/>
        <v>Neutral</v>
      </c>
    </row>
    <row r="262" spans="1:11" x14ac:dyDescent="0.2">
      <c r="A262" t="s">
        <v>1154</v>
      </c>
      <c r="B262" t="s">
        <v>1155</v>
      </c>
      <c r="C262" t="s">
        <v>978</v>
      </c>
      <c r="D262" t="s">
        <v>3</v>
      </c>
      <c r="E262" t="s">
        <v>4</v>
      </c>
      <c r="F262">
        <v>30882</v>
      </c>
      <c r="G262">
        <v>2604</v>
      </c>
      <c r="H262" t="s">
        <v>13</v>
      </c>
      <c r="I262" t="b">
        <v>0</v>
      </c>
      <c r="J262">
        <f t="shared" si="8"/>
        <v>0</v>
      </c>
      <c r="K262" t="str">
        <f t="shared" si="9"/>
        <v>Neutral</v>
      </c>
    </row>
    <row r="263" spans="1:11" x14ac:dyDescent="0.2">
      <c r="A263" t="s">
        <v>4729</v>
      </c>
      <c r="B263" t="s">
        <v>4730</v>
      </c>
      <c r="C263" t="s">
        <v>758</v>
      </c>
      <c r="D263" t="s">
        <v>3</v>
      </c>
      <c r="E263" t="s">
        <v>4</v>
      </c>
      <c r="F263">
        <v>202</v>
      </c>
      <c r="G263">
        <v>448</v>
      </c>
      <c r="H263" t="s">
        <v>13</v>
      </c>
      <c r="I263" t="b">
        <v>0</v>
      </c>
      <c r="J263">
        <f t="shared" si="8"/>
        <v>0</v>
      </c>
      <c r="K263" t="str">
        <f t="shared" si="9"/>
        <v>Neutral</v>
      </c>
    </row>
    <row r="264" spans="1:11" x14ac:dyDescent="0.2">
      <c r="A264" t="s">
        <v>4430</v>
      </c>
      <c r="B264" t="s">
        <v>4431</v>
      </c>
      <c r="C264" t="s">
        <v>230</v>
      </c>
      <c r="D264" t="s">
        <v>1964</v>
      </c>
      <c r="E264" t="s">
        <v>4</v>
      </c>
      <c r="F264">
        <v>226</v>
      </c>
      <c r="G264">
        <v>838</v>
      </c>
      <c r="H264" t="s">
        <v>13</v>
      </c>
      <c r="I264" t="b">
        <v>0</v>
      </c>
      <c r="J264">
        <f t="shared" si="8"/>
        <v>0</v>
      </c>
      <c r="K264" t="str">
        <f t="shared" si="9"/>
        <v>Neutral</v>
      </c>
    </row>
    <row r="265" spans="1:11" x14ac:dyDescent="0.2">
      <c r="A265" t="s">
        <v>991</v>
      </c>
      <c r="B265" t="s">
        <v>992</v>
      </c>
      <c r="C265" t="s">
        <v>993</v>
      </c>
      <c r="D265" t="s">
        <v>3</v>
      </c>
      <c r="E265" t="s">
        <v>4</v>
      </c>
      <c r="F265">
        <v>32</v>
      </c>
      <c r="G265">
        <v>133</v>
      </c>
      <c r="H265" t="s">
        <v>13</v>
      </c>
      <c r="I265" t="b">
        <v>0</v>
      </c>
      <c r="J265">
        <f t="shared" si="8"/>
        <v>0</v>
      </c>
      <c r="K265" t="str">
        <f t="shared" si="9"/>
        <v>Neutral</v>
      </c>
    </row>
    <row r="266" spans="1:11" x14ac:dyDescent="0.2">
      <c r="A266" t="s">
        <v>4786</v>
      </c>
      <c r="B266" t="s">
        <v>4787</v>
      </c>
      <c r="C266" t="s">
        <v>4788</v>
      </c>
      <c r="D266" t="s">
        <v>1657</v>
      </c>
      <c r="E266" t="s">
        <v>4</v>
      </c>
      <c r="F266">
        <v>10364</v>
      </c>
      <c r="G266">
        <v>10928</v>
      </c>
      <c r="H266" t="s">
        <v>13</v>
      </c>
      <c r="I266" t="b">
        <v>0</v>
      </c>
      <c r="J266">
        <f t="shared" si="8"/>
        <v>0</v>
      </c>
      <c r="K266" t="str">
        <f t="shared" si="9"/>
        <v>Neutral</v>
      </c>
    </row>
    <row r="267" spans="1:11" x14ac:dyDescent="0.2">
      <c r="A267" t="s">
        <v>868</v>
      </c>
      <c r="B267" t="s">
        <v>869</v>
      </c>
      <c r="C267" t="s">
        <v>870</v>
      </c>
      <c r="D267" t="s">
        <v>172</v>
      </c>
      <c r="E267" t="s">
        <v>4</v>
      </c>
      <c r="F267">
        <v>211</v>
      </c>
      <c r="G267">
        <v>988</v>
      </c>
      <c r="H267" t="s">
        <v>13</v>
      </c>
      <c r="I267" t="b">
        <v>0</v>
      </c>
      <c r="J267">
        <f t="shared" si="8"/>
        <v>0</v>
      </c>
      <c r="K267" t="str">
        <f t="shared" si="9"/>
        <v>Neutral</v>
      </c>
    </row>
    <row r="268" spans="1:11" x14ac:dyDescent="0.2">
      <c r="A268" t="s">
        <v>3439</v>
      </c>
      <c r="B268" t="s">
        <v>3440</v>
      </c>
      <c r="C268" t="s">
        <v>1019</v>
      </c>
      <c r="D268" t="s">
        <v>3</v>
      </c>
      <c r="E268" t="s">
        <v>4</v>
      </c>
      <c r="F268">
        <v>24</v>
      </c>
      <c r="G268">
        <v>134</v>
      </c>
      <c r="H268" t="s">
        <v>13</v>
      </c>
      <c r="I268" t="b">
        <v>0</v>
      </c>
      <c r="J268">
        <f t="shared" si="8"/>
        <v>0</v>
      </c>
      <c r="K268" t="str">
        <f t="shared" si="9"/>
        <v>Neutral</v>
      </c>
    </row>
    <row r="269" spans="1:11" x14ac:dyDescent="0.2">
      <c r="A269" t="s">
        <v>4194</v>
      </c>
      <c r="B269" t="s">
        <v>4195</v>
      </c>
      <c r="C269" t="s">
        <v>85</v>
      </c>
      <c r="D269" t="s">
        <v>4196</v>
      </c>
      <c r="E269" t="s">
        <v>4</v>
      </c>
      <c r="F269">
        <v>58759</v>
      </c>
      <c r="G269">
        <v>20790</v>
      </c>
      <c r="H269" t="s">
        <v>13</v>
      </c>
      <c r="I269" t="b">
        <v>0</v>
      </c>
      <c r="J269">
        <f t="shared" si="8"/>
        <v>0</v>
      </c>
      <c r="K269" t="str">
        <f t="shared" si="9"/>
        <v>Neutral</v>
      </c>
    </row>
    <row r="270" spans="1:11" x14ac:dyDescent="0.2">
      <c r="A270" t="s">
        <v>4090</v>
      </c>
      <c r="B270" t="s">
        <v>4091</v>
      </c>
      <c r="C270" t="s">
        <v>4092</v>
      </c>
      <c r="D270" t="s">
        <v>4093</v>
      </c>
      <c r="E270" t="s">
        <v>4</v>
      </c>
      <c r="F270">
        <v>130</v>
      </c>
      <c r="G270">
        <v>124</v>
      </c>
      <c r="H270" t="s">
        <v>86</v>
      </c>
      <c r="I270" t="b">
        <v>0</v>
      </c>
      <c r="J270">
        <f t="shared" si="8"/>
        <v>0</v>
      </c>
      <c r="K270" t="str">
        <f t="shared" si="9"/>
        <v>Neutral</v>
      </c>
    </row>
    <row r="271" spans="1:11" x14ac:dyDescent="0.2">
      <c r="A271" t="s">
        <v>7102</v>
      </c>
      <c r="B271" t="s">
        <v>7103</v>
      </c>
      <c r="C271" t="s">
        <v>4438</v>
      </c>
      <c r="D271" t="s">
        <v>7104</v>
      </c>
      <c r="E271" t="s">
        <v>4</v>
      </c>
      <c r="F271">
        <v>143</v>
      </c>
      <c r="G271">
        <v>462</v>
      </c>
      <c r="H271" t="s">
        <v>114</v>
      </c>
      <c r="I271" t="b">
        <v>0</v>
      </c>
      <c r="J271">
        <f t="shared" si="8"/>
        <v>0</v>
      </c>
      <c r="K271" t="str">
        <f t="shared" si="9"/>
        <v>Neutral</v>
      </c>
    </row>
    <row r="272" spans="1:11" x14ac:dyDescent="0.2">
      <c r="A272" t="s">
        <v>2570</v>
      </c>
      <c r="B272" t="s">
        <v>2571</v>
      </c>
      <c r="C272" t="s">
        <v>1201</v>
      </c>
      <c r="D272" t="s">
        <v>1202</v>
      </c>
      <c r="E272" t="s">
        <v>4</v>
      </c>
      <c r="F272">
        <v>1123</v>
      </c>
      <c r="G272">
        <v>316</v>
      </c>
      <c r="H272" t="s">
        <v>13</v>
      </c>
      <c r="I272" t="b">
        <v>0</v>
      </c>
      <c r="J272">
        <f t="shared" si="8"/>
        <v>0</v>
      </c>
      <c r="K272" t="str">
        <f t="shared" si="9"/>
        <v>Neutral</v>
      </c>
    </row>
    <row r="273" spans="1:11" x14ac:dyDescent="0.2">
      <c r="A273" t="s">
        <v>489</v>
      </c>
      <c r="B273" t="s">
        <v>490</v>
      </c>
      <c r="C273" t="s">
        <v>443</v>
      </c>
      <c r="D273" t="s">
        <v>491</v>
      </c>
      <c r="E273" t="s">
        <v>4</v>
      </c>
      <c r="F273">
        <v>34</v>
      </c>
      <c r="G273">
        <v>76</v>
      </c>
      <c r="H273" t="s">
        <v>13</v>
      </c>
      <c r="I273" t="b">
        <v>0</v>
      </c>
      <c r="J273">
        <f t="shared" si="8"/>
        <v>0</v>
      </c>
      <c r="K273" t="str">
        <f t="shared" si="9"/>
        <v>Neutral</v>
      </c>
    </row>
    <row r="274" spans="1:11" x14ac:dyDescent="0.2">
      <c r="A274" t="s">
        <v>2271</v>
      </c>
      <c r="B274" t="s">
        <v>2272</v>
      </c>
      <c r="C274" t="s">
        <v>2273</v>
      </c>
      <c r="D274" t="s">
        <v>1171</v>
      </c>
      <c r="E274" t="s">
        <v>4</v>
      </c>
      <c r="F274">
        <v>264</v>
      </c>
      <c r="G274">
        <v>494</v>
      </c>
      <c r="H274" t="s">
        <v>13</v>
      </c>
      <c r="I274" t="b">
        <v>0</v>
      </c>
      <c r="J274">
        <f t="shared" si="8"/>
        <v>0</v>
      </c>
      <c r="K274" t="str">
        <f t="shared" si="9"/>
        <v>Neutral</v>
      </c>
    </row>
    <row r="275" spans="1:11" x14ac:dyDescent="0.2">
      <c r="A275" t="s">
        <v>5552</v>
      </c>
      <c r="B275" t="s">
        <v>5553</v>
      </c>
      <c r="C275" t="s">
        <v>5554</v>
      </c>
      <c r="D275" t="s">
        <v>3</v>
      </c>
      <c r="E275" t="s">
        <v>4</v>
      </c>
      <c r="F275">
        <v>34534</v>
      </c>
      <c r="G275">
        <v>4</v>
      </c>
      <c r="H275" t="s">
        <v>13</v>
      </c>
      <c r="I275" t="b">
        <v>0</v>
      </c>
      <c r="J275">
        <f t="shared" si="8"/>
        <v>0</v>
      </c>
      <c r="K275" t="str">
        <f t="shared" si="9"/>
        <v>Neutral</v>
      </c>
    </row>
    <row r="276" spans="1:11" x14ac:dyDescent="0.2">
      <c r="A276" t="s">
        <v>2812</v>
      </c>
      <c r="B276" t="s">
        <v>2813</v>
      </c>
      <c r="C276" t="s">
        <v>226</v>
      </c>
      <c r="D276" t="s">
        <v>227</v>
      </c>
      <c r="E276" t="s">
        <v>4</v>
      </c>
      <c r="F276">
        <v>9227</v>
      </c>
      <c r="G276">
        <v>7170</v>
      </c>
      <c r="H276" t="s">
        <v>13</v>
      </c>
      <c r="I276" t="b">
        <v>0</v>
      </c>
      <c r="J276">
        <f t="shared" si="8"/>
        <v>0</v>
      </c>
      <c r="K276" t="str">
        <f t="shared" si="9"/>
        <v>Neutral</v>
      </c>
    </row>
    <row r="277" spans="1:11" x14ac:dyDescent="0.2">
      <c r="A277" t="s">
        <v>2369</v>
      </c>
      <c r="B277" t="s">
        <v>2370</v>
      </c>
      <c r="C277" t="s">
        <v>2371</v>
      </c>
      <c r="D277" t="s">
        <v>2372</v>
      </c>
      <c r="E277" t="s">
        <v>4</v>
      </c>
      <c r="F277">
        <v>838</v>
      </c>
      <c r="G277">
        <v>1484</v>
      </c>
      <c r="H277" t="s">
        <v>13</v>
      </c>
      <c r="I277" t="b">
        <v>0</v>
      </c>
      <c r="J277">
        <f t="shared" si="8"/>
        <v>0</v>
      </c>
      <c r="K277" t="str">
        <f t="shared" si="9"/>
        <v>Neutral</v>
      </c>
    </row>
    <row r="278" spans="1:11" x14ac:dyDescent="0.2">
      <c r="A278" t="s">
        <v>2323</v>
      </c>
      <c r="B278" t="s">
        <v>2324</v>
      </c>
      <c r="C278" t="s">
        <v>2325</v>
      </c>
      <c r="D278" t="s">
        <v>2171</v>
      </c>
      <c r="E278" t="s">
        <v>4</v>
      </c>
      <c r="F278">
        <v>135</v>
      </c>
      <c r="G278">
        <v>391</v>
      </c>
      <c r="H278" t="s">
        <v>13</v>
      </c>
      <c r="I278" t="b">
        <v>0</v>
      </c>
      <c r="J278">
        <f t="shared" si="8"/>
        <v>0</v>
      </c>
      <c r="K278" t="str">
        <f t="shared" si="9"/>
        <v>Neutral</v>
      </c>
    </row>
    <row r="279" spans="1:11" x14ac:dyDescent="0.2">
      <c r="A279" t="s">
        <v>1265</v>
      </c>
      <c r="B279" t="s">
        <v>1266</v>
      </c>
      <c r="C279" t="s">
        <v>1267</v>
      </c>
      <c r="D279" t="s">
        <v>1268</v>
      </c>
      <c r="E279" t="s">
        <v>4</v>
      </c>
      <c r="F279">
        <v>65</v>
      </c>
      <c r="G279">
        <v>34</v>
      </c>
      <c r="H279" t="s">
        <v>363</v>
      </c>
      <c r="I279" t="b">
        <v>0</v>
      </c>
      <c r="J279">
        <f t="shared" si="8"/>
        <v>0</v>
      </c>
      <c r="K279" t="str">
        <f t="shared" si="9"/>
        <v>Neutral</v>
      </c>
    </row>
    <row r="280" spans="1:11" x14ac:dyDescent="0.2">
      <c r="A280" t="s">
        <v>1616</v>
      </c>
      <c r="B280" t="s">
        <v>1617</v>
      </c>
      <c r="C280" t="s">
        <v>1618</v>
      </c>
      <c r="D280" t="s">
        <v>1619</v>
      </c>
      <c r="E280" t="s">
        <v>4</v>
      </c>
      <c r="F280">
        <v>82</v>
      </c>
      <c r="G280">
        <v>32</v>
      </c>
      <c r="H280" t="s">
        <v>13</v>
      </c>
      <c r="I280" t="b">
        <v>0</v>
      </c>
      <c r="J280">
        <f t="shared" si="8"/>
        <v>0</v>
      </c>
      <c r="K280" t="str">
        <f t="shared" si="9"/>
        <v>Neutral</v>
      </c>
    </row>
    <row r="281" spans="1:11" x14ac:dyDescent="0.2">
      <c r="A281" t="s">
        <v>4293</v>
      </c>
      <c r="B281" t="s">
        <v>4294</v>
      </c>
      <c r="C281" t="s">
        <v>1267</v>
      </c>
      <c r="D281" t="s">
        <v>1268</v>
      </c>
      <c r="E281" t="s">
        <v>4</v>
      </c>
      <c r="F281">
        <v>64</v>
      </c>
      <c r="G281">
        <v>34</v>
      </c>
      <c r="H281" t="s">
        <v>363</v>
      </c>
      <c r="I281" t="b">
        <v>0</v>
      </c>
      <c r="J281">
        <f t="shared" si="8"/>
        <v>0</v>
      </c>
      <c r="K281" t="str">
        <f t="shared" si="9"/>
        <v>Neutral</v>
      </c>
    </row>
    <row r="282" spans="1:11" x14ac:dyDescent="0.2">
      <c r="A282" t="s">
        <v>2556</v>
      </c>
      <c r="B282" t="s">
        <v>2557</v>
      </c>
      <c r="C282" t="s">
        <v>2558</v>
      </c>
      <c r="D282" t="s">
        <v>3</v>
      </c>
      <c r="E282" t="s">
        <v>4</v>
      </c>
      <c r="F282">
        <v>36</v>
      </c>
      <c r="G282">
        <v>274</v>
      </c>
      <c r="H282" t="s">
        <v>867</v>
      </c>
      <c r="I282" t="b">
        <v>0</v>
      </c>
      <c r="J282">
        <f t="shared" si="8"/>
        <v>0</v>
      </c>
      <c r="K282" t="str">
        <f t="shared" si="9"/>
        <v>Neutral</v>
      </c>
    </row>
    <row r="283" spans="1:11" x14ac:dyDescent="0.2">
      <c r="A283" t="s">
        <v>6727</v>
      </c>
      <c r="B283" t="s">
        <v>6728</v>
      </c>
      <c r="C283" t="s">
        <v>2091</v>
      </c>
      <c r="D283" t="s">
        <v>6729</v>
      </c>
      <c r="E283" t="s">
        <v>4</v>
      </c>
      <c r="F283">
        <v>17</v>
      </c>
      <c r="G283">
        <v>63</v>
      </c>
      <c r="H283" t="s">
        <v>13</v>
      </c>
      <c r="I283" t="b">
        <v>0</v>
      </c>
      <c r="J283">
        <f t="shared" si="8"/>
        <v>0</v>
      </c>
      <c r="K283" t="str">
        <f t="shared" si="9"/>
        <v>Neutral</v>
      </c>
    </row>
    <row r="284" spans="1:11" x14ac:dyDescent="0.2">
      <c r="A284" t="s">
        <v>1146</v>
      </c>
      <c r="B284" t="s">
        <v>1147</v>
      </c>
      <c r="C284" t="s">
        <v>362</v>
      </c>
      <c r="D284" t="s">
        <v>101</v>
      </c>
      <c r="E284" t="s">
        <v>4</v>
      </c>
      <c r="F284">
        <v>3605</v>
      </c>
      <c r="G284">
        <v>276</v>
      </c>
      <c r="H284" t="s">
        <v>13</v>
      </c>
      <c r="I284" t="b">
        <v>0</v>
      </c>
      <c r="J284">
        <f t="shared" si="8"/>
        <v>0</v>
      </c>
      <c r="K284" t="str">
        <f t="shared" si="9"/>
        <v>Neutral</v>
      </c>
    </row>
    <row r="285" spans="1:11" x14ac:dyDescent="0.2">
      <c r="A285" t="s">
        <v>5086</v>
      </c>
      <c r="B285" t="s">
        <v>5087</v>
      </c>
      <c r="C285" t="s">
        <v>653</v>
      </c>
      <c r="D285" t="s">
        <v>3</v>
      </c>
      <c r="E285" t="s">
        <v>4</v>
      </c>
      <c r="F285">
        <v>38</v>
      </c>
      <c r="G285">
        <v>14</v>
      </c>
      <c r="H285" t="s">
        <v>33</v>
      </c>
      <c r="I285" t="b">
        <v>0</v>
      </c>
      <c r="J285">
        <f t="shared" si="8"/>
        <v>0</v>
      </c>
      <c r="K285" t="str">
        <f t="shared" si="9"/>
        <v>Neutral</v>
      </c>
    </row>
    <row r="286" spans="1:11" x14ac:dyDescent="0.2">
      <c r="A286" t="s">
        <v>1856</v>
      </c>
      <c r="B286" t="s">
        <v>1857</v>
      </c>
      <c r="C286" t="s">
        <v>349</v>
      </c>
      <c r="D286" t="s">
        <v>3</v>
      </c>
      <c r="E286" t="s">
        <v>4</v>
      </c>
      <c r="F286">
        <v>4</v>
      </c>
      <c r="G286">
        <v>8</v>
      </c>
      <c r="H286" t="s">
        <v>13</v>
      </c>
      <c r="I286" t="b">
        <v>0</v>
      </c>
      <c r="J286">
        <f t="shared" si="8"/>
        <v>0</v>
      </c>
      <c r="K286" t="str">
        <f t="shared" si="9"/>
        <v>Neutral</v>
      </c>
    </row>
    <row r="287" spans="1:11" x14ac:dyDescent="0.2">
      <c r="A287" t="s">
        <v>249</v>
      </c>
      <c r="B287" t="s">
        <v>250</v>
      </c>
      <c r="C287" t="s">
        <v>251</v>
      </c>
      <c r="D287" t="s">
        <v>3</v>
      </c>
      <c r="E287" t="s">
        <v>4</v>
      </c>
      <c r="F287">
        <v>473</v>
      </c>
      <c r="G287">
        <v>1342</v>
      </c>
      <c r="H287" t="s">
        <v>13</v>
      </c>
      <c r="I287" t="b">
        <v>0</v>
      </c>
      <c r="J287">
        <f t="shared" si="8"/>
        <v>-10</v>
      </c>
      <c r="K287" t="str">
        <f t="shared" si="9"/>
        <v>Negative</v>
      </c>
    </row>
    <row r="288" spans="1:11" x14ac:dyDescent="0.2">
      <c r="A288" t="s">
        <v>1995</v>
      </c>
      <c r="B288" t="s">
        <v>1996</v>
      </c>
      <c r="C288" t="s">
        <v>1534</v>
      </c>
      <c r="D288" t="s">
        <v>1535</v>
      </c>
      <c r="E288" t="s">
        <v>4</v>
      </c>
      <c r="F288">
        <v>25</v>
      </c>
      <c r="G288">
        <v>43</v>
      </c>
      <c r="H288" t="s">
        <v>13</v>
      </c>
      <c r="I288" t="b">
        <v>0</v>
      </c>
      <c r="J288">
        <f t="shared" si="8"/>
        <v>0</v>
      </c>
      <c r="K288" t="str">
        <f t="shared" si="9"/>
        <v>Neutral</v>
      </c>
    </row>
    <row r="289" spans="1:11" x14ac:dyDescent="0.2">
      <c r="A289" t="s">
        <v>3251</v>
      </c>
      <c r="B289" t="s">
        <v>3252</v>
      </c>
      <c r="C289" t="s">
        <v>3253</v>
      </c>
      <c r="D289" t="s">
        <v>3254</v>
      </c>
      <c r="E289" t="s">
        <v>4</v>
      </c>
      <c r="F289">
        <v>29</v>
      </c>
      <c r="G289">
        <v>23</v>
      </c>
      <c r="H289" t="s">
        <v>13</v>
      </c>
      <c r="I289" t="b">
        <v>0</v>
      </c>
      <c r="J289">
        <f t="shared" si="8"/>
        <v>0</v>
      </c>
      <c r="K289" t="str">
        <f t="shared" si="9"/>
        <v>Neutral</v>
      </c>
    </row>
    <row r="290" spans="1:11" x14ac:dyDescent="0.2">
      <c r="A290" t="s">
        <v>2568</v>
      </c>
      <c r="B290" t="s">
        <v>2569</v>
      </c>
      <c r="C290" t="s">
        <v>2116</v>
      </c>
      <c r="D290" t="s">
        <v>2403</v>
      </c>
      <c r="E290" t="s">
        <v>4</v>
      </c>
      <c r="F290">
        <v>7728</v>
      </c>
      <c r="G290">
        <v>328</v>
      </c>
      <c r="H290" t="s">
        <v>13</v>
      </c>
      <c r="I290" t="b">
        <v>0</v>
      </c>
      <c r="J290">
        <f t="shared" si="8"/>
        <v>0</v>
      </c>
      <c r="K290" t="str">
        <f t="shared" si="9"/>
        <v>Neutral</v>
      </c>
    </row>
    <row r="291" spans="1:11" x14ac:dyDescent="0.2">
      <c r="A291" t="s">
        <v>4380</v>
      </c>
      <c r="B291" t="s">
        <v>4381</v>
      </c>
      <c r="C291" t="s">
        <v>4382</v>
      </c>
      <c r="D291" t="s">
        <v>3</v>
      </c>
      <c r="E291" t="s">
        <v>4</v>
      </c>
      <c r="F291">
        <v>1</v>
      </c>
      <c r="G291">
        <v>11</v>
      </c>
      <c r="H291" t="s">
        <v>13</v>
      </c>
      <c r="I291" t="b">
        <v>0</v>
      </c>
      <c r="J291">
        <f t="shared" si="8"/>
        <v>-20</v>
      </c>
      <c r="K291" t="str">
        <f t="shared" si="9"/>
        <v>Negative</v>
      </c>
    </row>
    <row r="292" spans="1:11" x14ac:dyDescent="0.2">
      <c r="A292" t="s">
        <v>157</v>
      </c>
      <c r="B292" t="s">
        <v>158</v>
      </c>
      <c r="C292" t="s">
        <v>28</v>
      </c>
      <c r="D292" t="s">
        <v>3</v>
      </c>
      <c r="E292" t="s">
        <v>4</v>
      </c>
      <c r="F292">
        <v>3</v>
      </c>
      <c r="G292">
        <v>1</v>
      </c>
      <c r="H292" t="s">
        <v>13</v>
      </c>
      <c r="I292" t="b">
        <v>0</v>
      </c>
      <c r="J292">
        <f t="shared" si="8"/>
        <v>0</v>
      </c>
      <c r="K292" t="str">
        <f t="shared" si="9"/>
        <v>Neutral</v>
      </c>
    </row>
    <row r="293" spans="1:11" x14ac:dyDescent="0.2">
      <c r="A293" t="s">
        <v>2843</v>
      </c>
      <c r="B293" t="s">
        <v>2844</v>
      </c>
      <c r="C293" t="s">
        <v>942</v>
      </c>
      <c r="D293" t="s">
        <v>2779</v>
      </c>
      <c r="E293" t="s">
        <v>4</v>
      </c>
      <c r="F293">
        <v>1210</v>
      </c>
      <c r="G293">
        <v>2424</v>
      </c>
      <c r="H293" t="s">
        <v>13</v>
      </c>
      <c r="I293" t="b">
        <v>0</v>
      </c>
      <c r="J293">
        <f t="shared" si="8"/>
        <v>0</v>
      </c>
      <c r="K293" t="str">
        <f t="shared" si="9"/>
        <v>Neutral</v>
      </c>
    </row>
    <row r="294" spans="1:11" x14ac:dyDescent="0.2">
      <c r="A294" t="s">
        <v>7235</v>
      </c>
      <c r="B294" t="s">
        <v>7236</v>
      </c>
      <c r="C294" t="s">
        <v>773</v>
      </c>
      <c r="D294" t="s">
        <v>7237</v>
      </c>
      <c r="E294" t="s">
        <v>4</v>
      </c>
      <c r="F294">
        <v>243</v>
      </c>
      <c r="G294">
        <v>576</v>
      </c>
      <c r="H294" t="s">
        <v>13</v>
      </c>
      <c r="I294" t="b">
        <v>0</v>
      </c>
      <c r="J294">
        <f t="shared" si="8"/>
        <v>0</v>
      </c>
      <c r="K294" t="str">
        <f t="shared" si="9"/>
        <v>Neutral</v>
      </c>
    </row>
    <row r="295" spans="1:11" x14ac:dyDescent="0.2">
      <c r="A295" t="s">
        <v>629</v>
      </c>
      <c r="B295" t="s">
        <v>630</v>
      </c>
      <c r="C295" t="s">
        <v>631</v>
      </c>
      <c r="D295" t="s">
        <v>3</v>
      </c>
      <c r="E295" t="s">
        <v>4</v>
      </c>
      <c r="F295">
        <v>36245</v>
      </c>
      <c r="G295">
        <v>2776</v>
      </c>
      <c r="H295" t="s">
        <v>13</v>
      </c>
      <c r="I295" t="b">
        <v>0</v>
      </c>
      <c r="J295">
        <f t="shared" si="8"/>
        <v>0</v>
      </c>
      <c r="K295" t="str">
        <f t="shared" si="9"/>
        <v>Neutral</v>
      </c>
    </row>
    <row r="296" spans="1:11" x14ac:dyDescent="0.2">
      <c r="A296" t="s">
        <v>1890</v>
      </c>
      <c r="B296" t="s">
        <v>1891</v>
      </c>
      <c r="C296" t="s">
        <v>1892</v>
      </c>
      <c r="D296" t="s">
        <v>1893</v>
      </c>
      <c r="E296" t="s">
        <v>4</v>
      </c>
      <c r="F296">
        <v>18</v>
      </c>
      <c r="G296">
        <v>184</v>
      </c>
      <c r="H296" t="s">
        <v>13</v>
      </c>
      <c r="I296" t="b">
        <v>0</v>
      </c>
      <c r="J296">
        <f t="shared" si="8"/>
        <v>0</v>
      </c>
      <c r="K296" t="str">
        <f t="shared" si="9"/>
        <v>Neutral</v>
      </c>
    </row>
    <row r="297" spans="1:11" x14ac:dyDescent="0.2">
      <c r="A297" t="s">
        <v>3174</v>
      </c>
      <c r="B297" t="s">
        <v>3175</v>
      </c>
      <c r="C297" t="s">
        <v>962</v>
      </c>
      <c r="D297" t="s">
        <v>1352</v>
      </c>
      <c r="E297" t="s">
        <v>4</v>
      </c>
      <c r="F297">
        <v>5162</v>
      </c>
      <c r="G297">
        <v>678</v>
      </c>
      <c r="H297" t="s">
        <v>5</v>
      </c>
      <c r="I297" t="b">
        <v>0</v>
      </c>
      <c r="J297">
        <f t="shared" si="8"/>
        <v>-10</v>
      </c>
      <c r="K297" t="str">
        <f t="shared" si="9"/>
        <v>Negative</v>
      </c>
    </row>
    <row r="298" spans="1:11" x14ac:dyDescent="0.2">
      <c r="A298" t="s">
        <v>2830</v>
      </c>
      <c r="B298" t="s">
        <v>2831</v>
      </c>
      <c r="C298" t="s">
        <v>2832</v>
      </c>
      <c r="D298" t="s">
        <v>2833</v>
      </c>
      <c r="E298" t="s">
        <v>4</v>
      </c>
      <c r="F298">
        <v>3116</v>
      </c>
      <c r="G298">
        <v>95</v>
      </c>
      <c r="H298" t="s">
        <v>13</v>
      </c>
      <c r="I298" t="b">
        <v>0</v>
      </c>
      <c r="J298">
        <f t="shared" si="8"/>
        <v>10</v>
      </c>
      <c r="K298" t="str">
        <f t="shared" si="9"/>
        <v>Positive</v>
      </c>
    </row>
    <row r="299" spans="1:11" x14ac:dyDescent="0.2">
      <c r="A299" t="s">
        <v>910</v>
      </c>
      <c r="B299" t="s">
        <v>911</v>
      </c>
      <c r="C299" t="s">
        <v>912</v>
      </c>
      <c r="D299" t="s">
        <v>3</v>
      </c>
      <c r="E299" t="s">
        <v>4</v>
      </c>
      <c r="F299">
        <v>1032</v>
      </c>
      <c r="G299">
        <v>2541</v>
      </c>
      <c r="H299" t="s">
        <v>13</v>
      </c>
      <c r="I299" t="b">
        <v>0</v>
      </c>
      <c r="J299">
        <f t="shared" si="8"/>
        <v>0</v>
      </c>
      <c r="K299" t="str">
        <f t="shared" si="9"/>
        <v>Neutral</v>
      </c>
    </row>
    <row r="300" spans="1:11" x14ac:dyDescent="0.2">
      <c r="A300" t="s">
        <v>5309</v>
      </c>
      <c r="B300" t="s">
        <v>5310</v>
      </c>
      <c r="C300" t="s">
        <v>2637</v>
      </c>
      <c r="D300" t="s">
        <v>172</v>
      </c>
      <c r="E300" t="s">
        <v>4</v>
      </c>
      <c r="F300">
        <v>27</v>
      </c>
      <c r="G300">
        <v>84</v>
      </c>
      <c r="H300" t="s">
        <v>13</v>
      </c>
      <c r="I300" t="b">
        <v>0</v>
      </c>
      <c r="J300">
        <f t="shared" si="8"/>
        <v>-10</v>
      </c>
      <c r="K300" t="str">
        <f t="shared" si="9"/>
        <v>Negative</v>
      </c>
    </row>
    <row r="301" spans="1:11" x14ac:dyDescent="0.2">
      <c r="A301" t="s">
        <v>4028</v>
      </c>
      <c r="B301" t="s">
        <v>4029</v>
      </c>
      <c r="C301" t="s">
        <v>147</v>
      </c>
      <c r="D301" t="s">
        <v>2808</v>
      </c>
      <c r="E301" t="s">
        <v>4</v>
      </c>
      <c r="F301">
        <v>227</v>
      </c>
      <c r="G301">
        <v>219</v>
      </c>
      <c r="H301" t="s">
        <v>13</v>
      </c>
      <c r="I301" t="b">
        <v>0</v>
      </c>
      <c r="J301">
        <f t="shared" si="8"/>
        <v>-10</v>
      </c>
      <c r="K301" t="str">
        <f t="shared" si="9"/>
        <v>Negative</v>
      </c>
    </row>
    <row r="302" spans="1:11" x14ac:dyDescent="0.2">
      <c r="A302" t="s">
        <v>731</v>
      </c>
      <c r="B302" t="s">
        <v>732</v>
      </c>
      <c r="C302" t="s">
        <v>733</v>
      </c>
      <c r="D302" t="s">
        <v>734</v>
      </c>
      <c r="E302" t="s">
        <v>4</v>
      </c>
      <c r="F302">
        <v>218</v>
      </c>
      <c r="G302">
        <v>686</v>
      </c>
      <c r="H302" t="s">
        <v>13</v>
      </c>
      <c r="I302" t="b">
        <v>0</v>
      </c>
      <c r="J302">
        <f t="shared" si="8"/>
        <v>-10</v>
      </c>
      <c r="K302" t="str">
        <f t="shared" si="9"/>
        <v>Negative</v>
      </c>
    </row>
    <row r="303" spans="1:11" x14ac:dyDescent="0.2">
      <c r="A303" t="s">
        <v>896</v>
      </c>
      <c r="B303" t="s">
        <v>897</v>
      </c>
      <c r="C303" t="s">
        <v>898</v>
      </c>
      <c r="D303" t="s">
        <v>899</v>
      </c>
      <c r="E303" t="s">
        <v>4</v>
      </c>
      <c r="F303">
        <v>33</v>
      </c>
      <c r="G303">
        <v>26</v>
      </c>
      <c r="H303" t="s">
        <v>13</v>
      </c>
      <c r="I303" t="b">
        <v>0</v>
      </c>
      <c r="J303">
        <f t="shared" si="8"/>
        <v>0</v>
      </c>
      <c r="K303" t="str">
        <f t="shared" si="9"/>
        <v>Neutral</v>
      </c>
    </row>
    <row r="304" spans="1:11" x14ac:dyDescent="0.2">
      <c r="A304" t="s">
        <v>4084</v>
      </c>
      <c r="B304" t="s">
        <v>4085</v>
      </c>
      <c r="C304" t="s">
        <v>4086</v>
      </c>
      <c r="D304" t="s">
        <v>4087</v>
      </c>
      <c r="E304" t="s">
        <v>4</v>
      </c>
      <c r="F304">
        <v>10</v>
      </c>
      <c r="G304">
        <v>79</v>
      </c>
      <c r="H304" t="s">
        <v>13</v>
      </c>
      <c r="I304" t="b">
        <v>0</v>
      </c>
      <c r="J304">
        <f t="shared" si="8"/>
        <v>10</v>
      </c>
      <c r="K304" t="str">
        <f t="shared" si="9"/>
        <v>Positive</v>
      </c>
    </row>
    <row r="305" spans="1:11" x14ac:dyDescent="0.2">
      <c r="A305" t="s">
        <v>3119</v>
      </c>
      <c r="B305" t="s">
        <v>3120</v>
      </c>
      <c r="C305" t="s">
        <v>1679</v>
      </c>
      <c r="D305" t="s">
        <v>3121</v>
      </c>
      <c r="E305" t="s">
        <v>4</v>
      </c>
      <c r="F305">
        <v>22061</v>
      </c>
      <c r="G305">
        <v>93</v>
      </c>
      <c r="H305" t="s">
        <v>13</v>
      </c>
      <c r="I305" t="b">
        <v>0</v>
      </c>
      <c r="J305">
        <f t="shared" si="8"/>
        <v>-10</v>
      </c>
      <c r="K305" t="str">
        <f t="shared" si="9"/>
        <v>Negative</v>
      </c>
    </row>
    <row r="306" spans="1:11" x14ac:dyDescent="0.2">
      <c r="A306" t="s">
        <v>5695</v>
      </c>
      <c r="B306" t="s">
        <v>5696</v>
      </c>
      <c r="C306" t="s">
        <v>588</v>
      </c>
      <c r="D306" t="s">
        <v>3</v>
      </c>
      <c r="E306" t="s">
        <v>4</v>
      </c>
      <c r="F306">
        <v>14</v>
      </c>
      <c r="G306">
        <v>77</v>
      </c>
      <c r="H306" t="s">
        <v>13</v>
      </c>
      <c r="I306" t="b">
        <v>0</v>
      </c>
      <c r="J306">
        <f t="shared" si="8"/>
        <v>0</v>
      </c>
      <c r="K306" t="str">
        <f t="shared" si="9"/>
        <v>Neutral</v>
      </c>
    </row>
    <row r="307" spans="1:11" x14ac:dyDescent="0.2">
      <c r="A307" t="s">
        <v>3077</v>
      </c>
      <c r="B307" t="s">
        <v>3078</v>
      </c>
      <c r="C307" t="s">
        <v>465</v>
      </c>
      <c r="D307" t="s">
        <v>3079</v>
      </c>
      <c r="E307" t="s">
        <v>4</v>
      </c>
      <c r="F307">
        <v>3216</v>
      </c>
      <c r="G307">
        <v>3197</v>
      </c>
      <c r="H307" t="s">
        <v>13</v>
      </c>
      <c r="I307" t="b">
        <v>0</v>
      </c>
      <c r="J307">
        <f t="shared" si="8"/>
        <v>0</v>
      </c>
      <c r="K307" t="str">
        <f t="shared" si="9"/>
        <v>Neutral</v>
      </c>
    </row>
    <row r="308" spans="1:11" x14ac:dyDescent="0.2">
      <c r="A308" t="s">
        <v>2597</v>
      </c>
      <c r="B308" t="s">
        <v>2598</v>
      </c>
      <c r="C308" t="s">
        <v>2599</v>
      </c>
      <c r="D308" t="s">
        <v>759</v>
      </c>
      <c r="E308" t="s">
        <v>4</v>
      </c>
      <c r="F308">
        <v>27</v>
      </c>
      <c r="G308">
        <v>28</v>
      </c>
      <c r="H308" t="s">
        <v>13</v>
      </c>
      <c r="I308" t="b">
        <v>0</v>
      </c>
      <c r="J308">
        <f t="shared" si="8"/>
        <v>-10</v>
      </c>
      <c r="K308" t="str">
        <f t="shared" si="9"/>
        <v>Negative</v>
      </c>
    </row>
    <row r="309" spans="1:11" x14ac:dyDescent="0.2">
      <c r="A309" t="s">
        <v>2837</v>
      </c>
      <c r="B309" t="s">
        <v>2838</v>
      </c>
      <c r="C309" t="s">
        <v>112</v>
      </c>
      <c r="D309" t="s">
        <v>113</v>
      </c>
      <c r="E309" t="s">
        <v>4</v>
      </c>
      <c r="F309">
        <v>838</v>
      </c>
      <c r="G309">
        <v>899</v>
      </c>
      <c r="H309" t="s">
        <v>114</v>
      </c>
      <c r="I309" t="b">
        <v>0</v>
      </c>
      <c r="J309">
        <f t="shared" si="8"/>
        <v>0</v>
      </c>
      <c r="K309" t="str">
        <f t="shared" si="9"/>
        <v>Neutral</v>
      </c>
    </row>
    <row r="310" spans="1:11" x14ac:dyDescent="0.2">
      <c r="A310" t="s">
        <v>4059</v>
      </c>
      <c r="B310" t="s">
        <v>4060</v>
      </c>
      <c r="C310" t="s">
        <v>4061</v>
      </c>
      <c r="D310" t="s">
        <v>4062</v>
      </c>
      <c r="E310" t="s">
        <v>4</v>
      </c>
      <c r="F310">
        <v>598</v>
      </c>
      <c r="G310">
        <v>755</v>
      </c>
      <c r="H310" t="s">
        <v>13</v>
      </c>
      <c r="I310" t="b">
        <v>0</v>
      </c>
      <c r="J310">
        <f t="shared" si="8"/>
        <v>0</v>
      </c>
      <c r="K310" t="str">
        <f t="shared" si="9"/>
        <v>Neutral</v>
      </c>
    </row>
    <row r="311" spans="1:11" x14ac:dyDescent="0.2">
      <c r="A311" t="s">
        <v>4855</v>
      </c>
      <c r="B311" t="s">
        <v>4856</v>
      </c>
      <c r="C311" t="s">
        <v>3547</v>
      </c>
      <c r="D311" t="s">
        <v>3</v>
      </c>
      <c r="E311" t="s">
        <v>4</v>
      </c>
      <c r="F311">
        <v>115</v>
      </c>
      <c r="G311">
        <v>291</v>
      </c>
      <c r="H311" t="s">
        <v>13</v>
      </c>
      <c r="I311" t="b">
        <v>0</v>
      </c>
      <c r="J311">
        <f t="shared" si="8"/>
        <v>0</v>
      </c>
      <c r="K311" t="str">
        <f t="shared" si="9"/>
        <v>Neutral</v>
      </c>
    </row>
    <row r="312" spans="1:11" x14ac:dyDescent="0.2">
      <c r="A312" t="s">
        <v>6481</v>
      </c>
      <c r="B312" t="s">
        <v>6482</v>
      </c>
      <c r="C312" t="s">
        <v>5036</v>
      </c>
      <c r="D312" t="s">
        <v>491</v>
      </c>
      <c r="E312" t="s">
        <v>4</v>
      </c>
      <c r="F312">
        <v>286</v>
      </c>
      <c r="G312">
        <v>354</v>
      </c>
      <c r="H312" t="s">
        <v>13</v>
      </c>
      <c r="I312" t="b">
        <v>0</v>
      </c>
      <c r="J312">
        <f t="shared" si="8"/>
        <v>-10</v>
      </c>
      <c r="K312" t="str">
        <f t="shared" si="9"/>
        <v>Negative</v>
      </c>
    </row>
    <row r="313" spans="1:11" x14ac:dyDescent="0.2">
      <c r="A313" t="s">
        <v>1641</v>
      </c>
      <c r="B313" t="s">
        <v>1642</v>
      </c>
      <c r="C313" t="s">
        <v>1540</v>
      </c>
      <c r="D313" t="s">
        <v>852</v>
      </c>
      <c r="E313" t="s">
        <v>4</v>
      </c>
      <c r="F313">
        <v>31</v>
      </c>
      <c r="G313">
        <v>106</v>
      </c>
      <c r="H313" t="s">
        <v>13</v>
      </c>
      <c r="I313" t="b">
        <v>0</v>
      </c>
      <c r="J313">
        <f t="shared" si="8"/>
        <v>-10</v>
      </c>
      <c r="K313" t="str">
        <f t="shared" si="9"/>
        <v>Negative</v>
      </c>
    </row>
    <row r="314" spans="1:11" x14ac:dyDescent="0.2">
      <c r="A314" t="s">
        <v>324</v>
      </c>
      <c r="B314" t="s">
        <v>325</v>
      </c>
      <c r="C314" t="s">
        <v>204</v>
      </c>
      <c r="D314" t="s">
        <v>326</v>
      </c>
      <c r="E314" t="s">
        <v>4</v>
      </c>
      <c r="F314">
        <v>705</v>
      </c>
      <c r="G314">
        <v>5001</v>
      </c>
      <c r="H314" t="s">
        <v>13</v>
      </c>
      <c r="I314" t="b">
        <v>0</v>
      </c>
      <c r="J314">
        <f t="shared" si="8"/>
        <v>0</v>
      </c>
      <c r="K314" t="str">
        <f t="shared" si="9"/>
        <v>Neutral</v>
      </c>
    </row>
    <row r="315" spans="1:11" x14ac:dyDescent="0.2">
      <c r="A315" t="s">
        <v>1295</v>
      </c>
      <c r="B315" t="s">
        <v>1296</v>
      </c>
      <c r="C315" t="s">
        <v>171</v>
      </c>
      <c r="D315" t="s">
        <v>1297</v>
      </c>
      <c r="E315" t="s">
        <v>4</v>
      </c>
      <c r="F315">
        <v>222</v>
      </c>
      <c r="G315">
        <v>250</v>
      </c>
      <c r="H315" t="s">
        <v>13</v>
      </c>
      <c r="I315" t="b">
        <v>0</v>
      </c>
      <c r="J315">
        <f t="shared" si="8"/>
        <v>0</v>
      </c>
      <c r="K315" t="str">
        <f t="shared" si="9"/>
        <v>Neutral</v>
      </c>
    </row>
    <row r="316" spans="1:11" x14ac:dyDescent="0.2">
      <c r="A316" t="s">
        <v>5388</v>
      </c>
      <c r="B316" t="s">
        <v>5389</v>
      </c>
      <c r="C316" t="s">
        <v>1701</v>
      </c>
      <c r="D316" t="s">
        <v>3</v>
      </c>
      <c r="E316" t="s">
        <v>4</v>
      </c>
      <c r="F316">
        <v>36</v>
      </c>
      <c r="G316">
        <v>131</v>
      </c>
      <c r="H316" t="s">
        <v>13</v>
      </c>
      <c r="I316" t="b">
        <v>0</v>
      </c>
      <c r="J316">
        <f t="shared" si="8"/>
        <v>0</v>
      </c>
      <c r="K316" t="str">
        <f t="shared" si="9"/>
        <v>Neutral</v>
      </c>
    </row>
    <row r="317" spans="1:11" x14ac:dyDescent="0.2">
      <c r="A317" t="s">
        <v>4712</v>
      </c>
      <c r="B317" t="s">
        <v>4713</v>
      </c>
      <c r="C317" t="s">
        <v>2216</v>
      </c>
      <c r="D317" t="s">
        <v>4714</v>
      </c>
      <c r="E317" t="s">
        <v>4</v>
      </c>
      <c r="F317">
        <v>459</v>
      </c>
      <c r="G317">
        <v>272</v>
      </c>
      <c r="H317" t="s">
        <v>13</v>
      </c>
      <c r="I317" t="b">
        <v>0</v>
      </c>
      <c r="J317">
        <f t="shared" si="8"/>
        <v>0</v>
      </c>
      <c r="K317" t="str">
        <f t="shared" si="9"/>
        <v>Neutral</v>
      </c>
    </row>
    <row r="318" spans="1:11" x14ac:dyDescent="0.2">
      <c r="A318" t="s">
        <v>5482</v>
      </c>
      <c r="B318" t="s">
        <v>5483</v>
      </c>
      <c r="C318" t="s">
        <v>5484</v>
      </c>
      <c r="D318" t="s">
        <v>5485</v>
      </c>
      <c r="E318" t="s">
        <v>4</v>
      </c>
      <c r="F318">
        <v>103</v>
      </c>
      <c r="G318">
        <v>252</v>
      </c>
      <c r="H318" t="s">
        <v>13</v>
      </c>
      <c r="I318" t="b">
        <v>0</v>
      </c>
      <c r="J318">
        <f t="shared" si="8"/>
        <v>0</v>
      </c>
      <c r="K318" t="str">
        <f t="shared" si="9"/>
        <v>Neutral</v>
      </c>
    </row>
    <row r="319" spans="1:11" x14ac:dyDescent="0.2">
      <c r="A319" t="s">
        <v>4106</v>
      </c>
      <c r="B319" t="s">
        <v>4107</v>
      </c>
      <c r="C319" t="s">
        <v>1324</v>
      </c>
      <c r="D319" t="s">
        <v>3</v>
      </c>
      <c r="E319" t="s">
        <v>4</v>
      </c>
      <c r="F319">
        <v>1</v>
      </c>
      <c r="G319">
        <v>29</v>
      </c>
      <c r="H319" t="s">
        <v>13</v>
      </c>
      <c r="I319" t="b">
        <v>0</v>
      </c>
      <c r="J319">
        <f t="shared" si="8"/>
        <v>0</v>
      </c>
      <c r="K319" t="str">
        <f t="shared" si="9"/>
        <v>Neutral</v>
      </c>
    </row>
    <row r="320" spans="1:11" x14ac:dyDescent="0.2">
      <c r="A320" t="s">
        <v>6950</v>
      </c>
      <c r="B320" t="s">
        <v>6951</v>
      </c>
      <c r="C320" t="s">
        <v>6952</v>
      </c>
      <c r="D320" t="s">
        <v>6953</v>
      </c>
      <c r="E320" t="s">
        <v>4</v>
      </c>
      <c r="F320">
        <v>143</v>
      </c>
      <c r="G320">
        <v>340</v>
      </c>
      <c r="H320" t="s">
        <v>13</v>
      </c>
      <c r="I320" t="b">
        <v>0</v>
      </c>
      <c r="J320">
        <f t="shared" si="8"/>
        <v>-20</v>
      </c>
      <c r="K320" t="str">
        <f t="shared" si="9"/>
        <v>Negative</v>
      </c>
    </row>
    <row r="321" spans="1:11" x14ac:dyDescent="0.2">
      <c r="A321" t="s">
        <v>6638</v>
      </c>
      <c r="B321" t="s">
        <v>6639</v>
      </c>
      <c r="C321" t="s">
        <v>112</v>
      </c>
      <c r="D321" t="s">
        <v>113</v>
      </c>
      <c r="E321" t="s">
        <v>4</v>
      </c>
      <c r="F321">
        <v>838</v>
      </c>
      <c r="G321">
        <v>898</v>
      </c>
      <c r="H321" t="s">
        <v>114</v>
      </c>
      <c r="I321" t="b">
        <v>0</v>
      </c>
      <c r="J321">
        <f t="shared" si="8"/>
        <v>0</v>
      </c>
      <c r="K321" t="str">
        <f t="shared" si="9"/>
        <v>Neutral</v>
      </c>
    </row>
    <row r="322" spans="1:11" x14ac:dyDescent="0.2">
      <c r="A322" t="s">
        <v>4231</v>
      </c>
      <c r="B322" t="s">
        <v>4232</v>
      </c>
      <c r="C322" t="s">
        <v>2897</v>
      </c>
      <c r="D322" t="s">
        <v>3</v>
      </c>
      <c r="E322" t="s">
        <v>4</v>
      </c>
      <c r="F322">
        <v>126</v>
      </c>
      <c r="G322">
        <v>344</v>
      </c>
      <c r="H322" t="s">
        <v>13</v>
      </c>
      <c r="I322" t="b">
        <v>0</v>
      </c>
      <c r="J322">
        <f t="shared" si="8"/>
        <v>0</v>
      </c>
      <c r="K322" t="str">
        <f t="shared" si="9"/>
        <v>Neutral</v>
      </c>
    </row>
    <row r="323" spans="1:11" x14ac:dyDescent="0.2">
      <c r="A323" t="s">
        <v>2952</v>
      </c>
      <c r="B323" t="s">
        <v>2953</v>
      </c>
      <c r="C323" t="s">
        <v>2954</v>
      </c>
      <c r="D323" t="s">
        <v>3</v>
      </c>
      <c r="E323" t="s">
        <v>4</v>
      </c>
      <c r="F323">
        <v>32</v>
      </c>
      <c r="G323">
        <v>229</v>
      </c>
      <c r="H323" t="s">
        <v>13</v>
      </c>
      <c r="I323" t="b">
        <v>0</v>
      </c>
      <c r="J323">
        <f t="shared" ref="J323:J386" si="10">sentimentCalc(B323)</f>
        <v>0</v>
      </c>
      <c r="K323" t="str">
        <f t="shared" ref="K323:K386" si="11">sentimentCategory(J323)</f>
        <v>Neutral</v>
      </c>
    </row>
    <row r="324" spans="1:11" x14ac:dyDescent="0.2">
      <c r="A324" t="s">
        <v>4828</v>
      </c>
      <c r="B324" t="s">
        <v>4829</v>
      </c>
      <c r="C324" t="s">
        <v>204</v>
      </c>
      <c r="D324" t="s">
        <v>3</v>
      </c>
      <c r="E324" t="s">
        <v>4</v>
      </c>
      <c r="F324">
        <v>118</v>
      </c>
      <c r="G324">
        <v>384</v>
      </c>
      <c r="H324" t="s">
        <v>13</v>
      </c>
      <c r="I324" t="b">
        <v>0</v>
      </c>
      <c r="J324">
        <f t="shared" si="10"/>
        <v>0</v>
      </c>
      <c r="K324" t="str">
        <f t="shared" si="11"/>
        <v>Neutral</v>
      </c>
    </row>
    <row r="325" spans="1:11" x14ac:dyDescent="0.2">
      <c r="A325" t="s">
        <v>4752</v>
      </c>
      <c r="B325" t="s">
        <v>4753</v>
      </c>
      <c r="C325" t="s">
        <v>4754</v>
      </c>
      <c r="D325" t="s">
        <v>3</v>
      </c>
      <c r="E325" t="s">
        <v>4</v>
      </c>
      <c r="F325">
        <v>18</v>
      </c>
      <c r="G325">
        <v>107</v>
      </c>
      <c r="H325" t="s">
        <v>13</v>
      </c>
      <c r="I325" t="b">
        <v>0</v>
      </c>
      <c r="J325">
        <f t="shared" si="10"/>
        <v>0</v>
      </c>
      <c r="K325" t="str">
        <f t="shared" si="11"/>
        <v>Neutral</v>
      </c>
    </row>
    <row r="326" spans="1:11" x14ac:dyDescent="0.2">
      <c r="A326" t="s">
        <v>6457</v>
      </c>
      <c r="B326" t="s">
        <v>6458</v>
      </c>
      <c r="C326" t="s">
        <v>6459</v>
      </c>
      <c r="D326" t="s">
        <v>3</v>
      </c>
      <c r="E326" t="s">
        <v>4</v>
      </c>
      <c r="F326">
        <v>66</v>
      </c>
      <c r="G326">
        <v>24</v>
      </c>
      <c r="H326" t="s">
        <v>13</v>
      </c>
      <c r="I326" t="b">
        <v>0</v>
      </c>
      <c r="J326">
        <f t="shared" si="10"/>
        <v>0</v>
      </c>
      <c r="K326" t="str">
        <f t="shared" si="11"/>
        <v>Neutral</v>
      </c>
    </row>
    <row r="327" spans="1:11" x14ac:dyDescent="0.2">
      <c r="A327" t="s">
        <v>2241</v>
      </c>
      <c r="B327" t="s">
        <v>2242</v>
      </c>
      <c r="C327" t="s">
        <v>2243</v>
      </c>
      <c r="D327" t="s">
        <v>2244</v>
      </c>
      <c r="E327" t="s">
        <v>4</v>
      </c>
      <c r="F327">
        <v>941</v>
      </c>
      <c r="G327">
        <v>2072</v>
      </c>
      <c r="H327" t="s">
        <v>86</v>
      </c>
      <c r="I327" t="b">
        <v>0</v>
      </c>
      <c r="J327">
        <f t="shared" si="10"/>
        <v>0</v>
      </c>
      <c r="K327" t="str">
        <f t="shared" si="11"/>
        <v>Neutral</v>
      </c>
    </row>
    <row r="328" spans="1:11" x14ac:dyDescent="0.2">
      <c r="A328" t="s">
        <v>5163</v>
      </c>
      <c r="B328" t="s">
        <v>5164</v>
      </c>
      <c r="C328" t="s">
        <v>4754</v>
      </c>
      <c r="D328" t="s">
        <v>3</v>
      </c>
      <c r="E328" t="s">
        <v>4</v>
      </c>
      <c r="F328">
        <v>18</v>
      </c>
      <c r="G328">
        <v>107</v>
      </c>
      <c r="H328" t="s">
        <v>13</v>
      </c>
      <c r="I328" t="b">
        <v>0</v>
      </c>
      <c r="J328">
        <f t="shared" si="10"/>
        <v>0</v>
      </c>
      <c r="K328" t="str">
        <f t="shared" si="11"/>
        <v>Neutral</v>
      </c>
    </row>
    <row r="329" spans="1:11" x14ac:dyDescent="0.2">
      <c r="A329" t="s">
        <v>6886</v>
      </c>
      <c r="B329" t="s">
        <v>6887</v>
      </c>
      <c r="C329" t="s">
        <v>6888</v>
      </c>
      <c r="D329" t="s">
        <v>3</v>
      </c>
      <c r="E329" t="s">
        <v>4</v>
      </c>
      <c r="F329">
        <v>24</v>
      </c>
      <c r="G329">
        <v>152</v>
      </c>
      <c r="H329" t="s">
        <v>13</v>
      </c>
      <c r="I329" t="b">
        <v>0</v>
      </c>
      <c r="J329">
        <f t="shared" si="10"/>
        <v>0</v>
      </c>
      <c r="K329" t="str">
        <f t="shared" si="11"/>
        <v>Neutral</v>
      </c>
    </row>
    <row r="330" spans="1:11" x14ac:dyDescent="0.2">
      <c r="A330" t="s">
        <v>5429</v>
      </c>
      <c r="B330" t="s">
        <v>5430</v>
      </c>
      <c r="C330" t="s">
        <v>3369</v>
      </c>
      <c r="D330" t="s">
        <v>3370</v>
      </c>
      <c r="E330" t="s">
        <v>4</v>
      </c>
      <c r="F330">
        <v>43</v>
      </c>
      <c r="G330">
        <v>38</v>
      </c>
      <c r="H330" t="s">
        <v>13</v>
      </c>
      <c r="I330" t="b">
        <v>0</v>
      </c>
      <c r="J330">
        <f t="shared" si="10"/>
        <v>-20</v>
      </c>
      <c r="K330" t="str">
        <f t="shared" si="11"/>
        <v>Negative</v>
      </c>
    </row>
    <row r="331" spans="1:11" x14ac:dyDescent="0.2">
      <c r="A331" t="s">
        <v>5914</v>
      </c>
      <c r="B331" t="s">
        <v>5915</v>
      </c>
      <c r="C331" t="s">
        <v>5916</v>
      </c>
      <c r="D331" t="s">
        <v>3</v>
      </c>
      <c r="E331" t="s">
        <v>4</v>
      </c>
      <c r="F331">
        <v>28</v>
      </c>
      <c r="G331">
        <v>173</v>
      </c>
      <c r="H331" t="s">
        <v>50</v>
      </c>
      <c r="I331" t="b">
        <v>0</v>
      </c>
      <c r="J331">
        <f t="shared" si="10"/>
        <v>0</v>
      </c>
      <c r="K331" t="str">
        <f t="shared" si="11"/>
        <v>Neutral</v>
      </c>
    </row>
    <row r="332" spans="1:11" x14ac:dyDescent="0.2">
      <c r="A332" t="s">
        <v>2234</v>
      </c>
      <c r="B332" t="s">
        <v>2235</v>
      </c>
      <c r="C332" t="s">
        <v>996</v>
      </c>
      <c r="D332" t="s">
        <v>2236</v>
      </c>
      <c r="E332" t="s">
        <v>4</v>
      </c>
      <c r="F332">
        <v>2326</v>
      </c>
      <c r="G332">
        <v>3091</v>
      </c>
      <c r="H332" t="s">
        <v>13</v>
      </c>
      <c r="I332" t="b">
        <v>0</v>
      </c>
      <c r="J332">
        <f t="shared" si="10"/>
        <v>0</v>
      </c>
      <c r="K332" t="str">
        <f t="shared" si="11"/>
        <v>Neutral</v>
      </c>
    </row>
    <row r="333" spans="1:11" x14ac:dyDescent="0.2">
      <c r="A333" t="s">
        <v>2156</v>
      </c>
      <c r="B333" t="s">
        <v>2157</v>
      </c>
      <c r="C333" t="s">
        <v>2158</v>
      </c>
      <c r="D333" t="s">
        <v>2159</v>
      </c>
      <c r="E333" t="s">
        <v>4</v>
      </c>
      <c r="F333">
        <v>2134</v>
      </c>
      <c r="G333">
        <v>2009</v>
      </c>
      <c r="H333" t="s">
        <v>13</v>
      </c>
      <c r="I333" t="b">
        <v>0</v>
      </c>
      <c r="J333">
        <f t="shared" si="10"/>
        <v>10</v>
      </c>
      <c r="K333" t="str">
        <f t="shared" si="11"/>
        <v>Positive</v>
      </c>
    </row>
    <row r="334" spans="1:11" x14ac:dyDescent="0.2">
      <c r="A334" t="s">
        <v>695</v>
      </c>
      <c r="B334" t="s">
        <v>696</v>
      </c>
      <c r="C334" t="s">
        <v>697</v>
      </c>
      <c r="D334" t="s">
        <v>698</v>
      </c>
      <c r="E334" t="s">
        <v>4</v>
      </c>
      <c r="F334">
        <v>1011</v>
      </c>
      <c r="G334">
        <v>2557</v>
      </c>
      <c r="H334" t="s">
        <v>13</v>
      </c>
      <c r="I334" t="b">
        <v>0</v>
      </c>
      <c r="J334">
        <f t="shared" si="10"/>
        <v>0</v>
      </c>
      <c r="K334" t="str">
        <f t="shared" si="11"/>
        <v>Neutral</v>
      </c>
    </row>
    <row r="335" spans="1:11" x14ac:dyDescent="0.2">
      <c r="A335" t="s">
        <v>5395</v>
      </c>
      <c r="B335" t="s">
        <v>5396</v>
      </c>
      <c r="C335" t="s">
        <v>97</v>
      </c>
      <c r="D335" t="s">
        <v>5397</v>
      </c>
      <c r="E335" t="s">
        <v>4</v>
      </c>
      <c r="F335">
        <v>8592</v>
      </c>
      <c r="G335">
        <v>124</v>
      </c>
      <c r="H335" t="s">
        <v>13</v>
      </c>
      <c r="I335" t="b">
        <v>0</v>
      </c>
      <c r="J335">
        <f t="shared" si="10"/>
        <v>10</v>
      </c>
      <c r="K335" t="str">
        <f t="shared" si="11"/>
        <v>Positive</v>
      </c>
    </row>
    <row r="336" spans="1:11" x14ac:dyDescent="0.2">
      <c r="A336" t="s">
        <v>5882</v>
      </c>
      <c r="B336" t="s">
        <v>5883</v>
      </c>
      <c r="C336" t="s">
        <v>1392</v>
      </c>
      <c r="D336" t="s">
        <v>3</v>
      </c>
      <c r="E336" t="s">
        <v>4</v>
      </c>
      <c r="F336">
        <v>1317</v>
      </c>
      <c r="G336">
        <v>171</v>
      </c>
      <c r="H336" t="s">
        <v>13</v>
      </c>
      <c r="I336" t="b">
        <v>0</v>
      </c>
      <c r="J336">
        <f t="shared" si="10"/>
        <v>0</v>
      </c>
      <c r="K336" t="str">
        <f t="shared" si="11"/>
        <v>Neutral</v>
      </c>
    </row>
    <row r="337" spans="1:11" x14ac:dyDescent="0.2">
      <c r="A337" t="s">
        <v>1515</v>
      </c>
      <c r="B337" t="s">
        <v>1516</v>
      </c>
      <c r="C337" t="s">
        <v>293</v>
      </c>
      <c r="D337" t="s">
        <v>3</v>
      </c>
      <c r="E337" t="s">
        <v>4</v>
      </c>
      <c r="F337">
        <v>3632</v>
      </c>
      <c r="G337">
        <v>3729</v>
      </c>
      <c r="H337" t="s">
        <v>13</v>
      </c>
      <c r="I337" t="b">
        <v>0</v>
      </c>
      <c r="J337">
        <f t="shared" si="10"/>
        <v>0</v>
      </c>
      <c r="K337" t="str">
        <f t="shared" si="11"/>
        <v>Neutral</v>
      </c>
    </row>
    <row r="338" spans="1:11" x14ac:dyDescent="0.2">
      <c r="A338" t="s">
        <v>4673</v>
      </c>
      <c r="B338" t="s">
        <v>4674</v>
      </c>
      <c r="C338" t="s">
        <v>4675</v>
      </c>
      <c r="D338" t="s">
        <v>4676</v>
      </c>
      <c r="E338" t="s">
        <v>4</v>
      </c>
      <c r="F338">
        <v>405</v>
      </c>
      <c r="G338">
        <v>392</v>
      </c>
      <c r="H338" t="s">
        <v>13</v>
      </c>
      <c r="I338" t="b">
        <v>0</v>
      </c>
      <c r="J338">
        <f t="shared" si="10"/>
        <v>0</v>
      </c>
      <c r="K338" t="str">
        <f t="shared" si="11"/>
        <v>Neutral</v>
      </c>
    </row>
    <row r="339" spans="1:11" x14ac:dyDescent="0.2">
      <c r="A339" t="s">
        <v>5266</v>
      </c>
      <c r="B339" t="s">
        <v>5268</v>
      </c>
      <c r="C339" t="s">
        <v>2475</v>
      </c>
      <c r="D339" t="s">
        <v>3</v>
      </c>
      <c r="E339" t="s">
        <v>4</v>
      </c>
      <c r="F339">
        <v>23</v>
      </c>
      <c r="G339">
        <v>128</v>
      </c>
      <c r="H339" t="s">
        <v>13</v>
      </c>
      <c r="I339" t="b">
        <v>0</v>
      </c>
      <c r="J339">
        <f t="shared" si="10"/>
        <v>0</v>
      </c>
      <c r="K339" t="str">
        <f t="shared" si="11"/>
        <v>Neutral</v>
      </c>
    </row>
    <row r="340" spans="1:11" x14ac:dyDescent="0.2">
      <c r="A340" t="s">
        <v>6605</v>
      </c>
      <c r="B340" t="s">
        <v>6606</v>
      </c>
      <c r="C340" t="s">
        <v>6607</v>
      </c>
      <c r="D340" t="s">
        <v>3</v>
      </c>
      <c r="E340" t="s">
        <v>4</v>
      </c>
      <c r="F340">
        <v>799</v>
      </c>
      <c r="G340">
        <v>218</v>
      </c>
      <c r="H340" t="s">
        <v>13</v>
      </c>
      <c r="I340" t="b">
        <v>0</v>
      </c>
      <c r="J340">
        <f t="shared" si="10"/>
        <v>0</v>
      </c>
      <c r="K340" t="str">
        <f t="shared" si="11"/>
        <v>Neutral</v>
      </c>
    </row>
    <row r="341" spans="1:11" x14ac:dyDescent="0.2">
      <c r="A341" t="s">
        <v>6813</v>
      </c>
      <c r="B341" t="s">
        <v>6814</v>
      </c>
      <c r="C341" t="s">
        <v>6815</v>
      </c>
      <c r="D341" t="s">
        <v>6816</v>
      </c>
      <c r="E341" t="s">
        <v>4</v>
      </c>
      <c r="F341">
        <v>483</v>
      </c>
      <c r="G341">
        <v>496</v>
      </c>
      <c r="H341" t="s">
        <v>13</v>
      </c>
      <c r="I341" t="b">
        <v>0</v>
      </c>
      <c r="J341">
        <f t="shared" si="10"/>
        <v>0</v>
      </c>
      <c r="K341" t="str">
        <f t="shared" si="11"/>
        <v>Neutral</v>
      </c>
    </row>
    <row r="342" spans="1:11" x14ac:dyDescent="0.2">
      <c r="A342" t="s">
        <v>794</v>
      </c>
      <c r="B342" t="s">
        <v>795</v>
      </c>
      <c r="C342" t="s">
        <v>796</v>
      </c>
      <c r="D342" t="s">
        <v>797</v>
      </c>
      <c r="E342" t="s">
        <v>4</v>
      </c>
      <c r="F342">
        <v>3889</v>
      </c>
      <c r="G342">
        <v>734</v>
      </c>
      <c r="H342" t="s">
        <v>13</v>
      </c>
      <c r="I342" t="b">
        <v>0</v>
      </c>
      <c r="J342">
        <f t="shared" si="10"/>
        <v>0</v>
      </c>
      <c r="K342" t="str">
        <f t="shared" si="11"/>
        <v>Neutral</v>
      </c>
    </row>
    <row r="343" spans="1:11" x14ac:dyDescent="0.2">
      <c r="A343" t="s">
        <v>994</v>
      </c>
      <c r="B343" t="s">
        <v>995</v>
      </c>
      <c r="C343" t="s">
        <v>996</v>
      </c>
      <c r="D343" t="s">
        <v>3</v>
      </c>
      <c r="E343" t="s">
        <v>4</v>
      </c>
      <c r="F343">
        <v>234</v>
      </c>
      <c r="G343">
        <v>187</v>
      </c>
      <c r="H343" t="s">
        <v>13</v>
      </c>
      <c r="I343" t="b">
        <v>0</v>
      </c>
      <c r="J343">
        <f t="shared" si="10"/>
        <v>-10</v>
      </c>
      <c r="K343" t="str">
        <f t="shared" si="11"/>
        <v>Negative</v>
      </c>
    </row>
    <row r="344" spans="1:11" x14ac:dyDescent="0.2">
      <c r="A344" t="s">
        <v>2397</v>
      </c>
      <c r="B344" t="s">
        <v>2398</v>
      </c>
      <c r="C344" t="s">
        <v>773</v>
      </c>
      <c r="D344" t="s">
        <v>2399</v>
      </c>
      <c r="E344" t="s">
        <v>4</v>
      </c>
      <c r="F344">
        <v>190</v>
      </c>
      <c r="G344">
        <v>441</v>
      </c>
      <c r="H344" t="s">
        <v>13</v>
      </c>
      <c r="I344" t="b">
        <v>0</v>
      </c>
      <c r="J344">
        <f t="shared" si="10"/>
        <v>0</v>
      </c>
      <c r="K344" t="str">
        <f t="shared" si="11"/>
        <v>Neutral</v>
      </c>
    </row>
    <row r="345" spans="1:11" x14ac:dyDescent="0.2">
      <c r="A345" t="s">
        <v>1431</v>
      </c>
      <c r="B345" t="s">
        <v>1432</v>
      </c>
      <c r="C345" t="s">
        <v>530</v>
      </c>
      <c r="D345" t="s">
        <v>3</v>
      </c>
      <c r="E345" t="s">
        <v>4</v>
      </c>
      <c r="F345">
        <v>1</v>
      </c>
      <c r="G345">
        <v>48</v>
      </c>
      <c r="H345" t="s">
        <v>13</v>
      </c>
      <c r="I345" t="b">
        <v>0</v>
      </c>
      <c r="J345">
        <f t="shared" si="10"/>
        <v>0</v>
      </c>
      <c r="K345" t="str">
        <f t="shared" si="11"/>
        <v>Neutral</v>
      </c>
    </row>
    <row r="346" spans="1:11" x14ac:dyDescent="0.2">
      <c r="A346" t="s">
        <v>3335</v>
      </c>
      <c r="B346" t="s">
        <v>3336</v>
      </c>
      <c r="C346" t="s">
        <v>3337</v>
      </c>
      <c r="D346" t="s">
        <v>3338</v>
      </c>
      <c r="E346" t="s">
        <v>4</v>
      </c>
      <c r="F346">
        <v>532</v>
      </c>
      <c r="G346">
        <v>467</v>
      </c>
      <c r="H346" t="s">
        <v>13</v>
      </c>
      <c r="I346" t="b">
        <v>0</v>
      </c>
      <c r="J346">
        <f t="shared" si="10"/>
        <v>0</v>
      </c>
      <c r="K346" t="str">
        <f t="shared" si="11"/>
        <v>Neutral</v>
      </c>
    </row>
    <row r="347" spans="1:11" x14ac:dyDescent="0.2">
      <c r="A347" t="s">
        <v>2887</v>
      </c>
      <c r="B347" t="s">
        <v>2888</v>
      </c>
      <c r="C347" t="s">
        <v>1201</v>
      </c>
      <c r="D347" t="s">
        <v>3</v>
      </c>
      <c r="E347" t="s">
        <v>4</v>
      </c>
      <c r="F347">
        <v>287</v>
      </c>
      <c r="G347">
        <v>109</v>
      </c>
      <c r="H347" t="s">
        <v>13</v>
      </c>
      <c r="I347" t="b">
        <v>0</v>
      </c>
      <c r="J347">
        <f t="shared" si="10"/>
        <v>0</v>
      </c>
      <c r="K347" t="str">
        <f t="shared" si="11"/>
        <v>Neutral</v>
      </c>
    </row>
    <row r="348" spans="1:11" x14ac:dyDescent="0.2">
      <c r="A348" t="s">
        <v>7213</v>
      </c>
      <c r="B348" t="s">
        <v>7214</v>
      </c>
      <c r="C348" t="s">
        <v>7215</v>
      </c>
      <c r="D348" t="s">
        <v>3</v>
      </c>
      <c r="E348" t="s">
        <v>4</v>
      </c>
      <c r="F348">
        <v>11</v>
      </c>
      <c r="G348">
        <v>1208</v>
      </c>
      <c r="H348" t="s">
        <v>5</v>
      </c>
      <c r="I348" t="b">
        <v>0</v>
      </c>
      <c r="J348">
        <f t="shared" si="10"/>
        <v>0</v>
      </c>
      <c r="K348" t="str">
        <f t="shared" si="11"/>
        <v>Neutral</v>
      </c>
    </row>
    <row r="349" spans="1:11" x14ac:dyDescent="0.2">
      <c r="A349" t="s">
        <v>5668</v>
      </c>
      <c r="B349" t="s">
        <v>5669</v>
      </c>
      <c r="C349" t="s">
        <v>1587</v>
      </c>
      <c r="D349" t="s">
        <v>3</v>
      </c>
      <c r="E349" t="s">
        <v>4</v>
      </c>
      <c r="F349">
        <v>49</v>
      </c>
      <c r="G349">
        <v>53</v>
      </c>
      <c r="H349" t="s">
        <v>13</v>
      </c>
      <c r="I349" t="b">
        <v>0</v>
      </c>
      <c r="J349">
        <f t="shared" si="10"/>
        <v>0</v>
      </c>
      <c r="K349" t="str">
        <f t="shared" si="11"/>
        <v>Neutral</v>
      </c>
    </row>
    <row r="350" spans="1:11" x14ac:dyDescent="0.2">
      <c r="A350" t="s">
        <v>2460</v>
      </c>
      <c r="B350" t="s">
        <v>2461</v>
      </c>
      <c r="C350" t="s">
        <v>2462</v>
      </c>
      <c r="D350" t="s">
        <v>663</v>
      </c>
      <c r="E350" t="s">
        <v>4</v>
      </c>
      <c r="F350">
        <v>816</v>
      </c>
      <c r="G350">
        <v>1145</v>
      </c>
      <c r="H350" t="s">
        <v>13</v>
      </c>
      <c r="I350" t="b">
        <v>0</v>
      </c>
      <c r="J350">
        <f t="shared" si="10"/>
        <v>0</v>
      </c>
      <c r="K350" t="str">
        <f t="shared" si="11"/>
        <v>Neutral</v>
      </c>
    </row>
    <row r="351" spans="1:11" x14ac:dyDescent="0.2">
      <c r="A351" t="s">
        <v>1020</v>
      </c>
      <c r="B351" t="s">
        <v>1021</v>
      </c>
      <c r="C351" t="s">
        <v>283</v>
      </c>
      <c r="D351" t="s">
        <v>3</v>
      </c>
      <c r="E351" t="s">
        <v>4</v>
      </c>
      <c r="F351">
        <v>67</v>
      </c>
      <c r="G351">
        <v>9</v>
      </c>
      <c r="H351" t="s">
        <v>13</v>
      </c>
      <c r="I351" t="b">
        <v>0</v>
      </c>
      <c r="J351">
        <f t="shared" si="10"/>
        <v>0</v>
      </c>
      <c r="K351" t="str">
        <f t="shared" si="11"/>
        <v>Neutral</v>
      </c>
    </row>
    <row r="352" spans="1:11" x14ac:dyDescent="0.2">
      <c r="A352" t="s">
        <v>2415</v>
      </c>
      <c r="B352" t="s">
        <v>2416</v>
      </c>
      <c r="C352" t="s">
        <v>2417</v>
      </c>
      <c r="D352" t="s">
        <v>3</v>
      </c>
      <c r="E352" t="s">
        <v>4</v>
      </c>
      <c r="F352">
        <v>48</v>
      </c>
      <c r="G352">
        <v>694</v>
      </c>
      <c r="H352" t="s">
        <v>13</v>
      </c>
      <c r="I352" t="b">
        <v>0</v>
      </c>
      <c r="J352">
        <f t="shared" si="10"/>
        <v>-10</v>
      </c>
      <c r="K352" t="str">
        <f t="shared" si="11"/>
        <v>Negative</v>
      </c>
    </row>
    <row r="353" spans="1:11" x14ac:dyDescent="0.2">
      <c r="A353" t="s">
        <v>4639</v>
      </c>
      <c r="B353" t="s">
        <v>4640</v>
      </c>
      <c r="C353" t="s">
        <v>315</v>
      </c>
      <c r="D353" t="s">
        <v>2456</v>
      </c>
      <c r="E353" t="s">
        <v>4</v>
      </c>
      <c r="F353">
        <v>24</v>
      </c>
      <c r="G353">
        <v>150</v>
      </c>
      <c r="H353" t="s">
        <v>13</v>
      </c>
      <c r="I353" t="b">
        <v>0</v>
      </c>
      <c r="J353">
        <f t="shared" si="10"/>
        <v>0</v>
      </c>
      <c r="K353" t="str">
        <f t="shared" si="11"/>
        <v>Neutral</v>
      </c>
    </row>
    <row r="354" spans="1:11" x14ac:dyDescent="0.2">
      <c r="A354" t="s">
        <v>6155</v>
      </c>
      <c r="B354" t="s">
        <v>6156</v>
      </c>
      <c r="C354" t="s">
        <v>6157</v>
      </c>
      <c r="D354" t="s">
        <v>6158</v>
      </c>
      <c r="E354" t="s">
        <v>4</v>
      </c>
      <c r="F354">
        <v>1786</v>
      </c>
      <c r="G354">
        <v>3069</v>
      </c>
      <c r="H354" t="s">
        <v>13</v>
      </c>
      <c r="I354" t="b">
        <v>0</v>
      </c>
      <c r="J354">
        <f t="shared" si="10"/>
        <v>10</v>
      </c>
      <c r="K354" t="str">
        <f t="shared" si="11"/>
        <v>Positive</v>
      </c>
    </row>
    <row r="355" spans="1:11" x14ac:dyDescent="0.2">
      <c r="A355" t="s">
        <v>2189</v>
      </c>
      <c r="B355" t="s">
        <v>2190</v>
      </c>
      <c r="C355" t="s">
        <v>2191</v>
      </c>
      <c r="D355" t="s">
        <v>3</v>
      </c>
      <c r="E355" t="s">
        <v>4</v>
      </c>
      <c r="F355">
        <v>213</v>
      </c>
      <c r="G355">
        <v>1423</v>
      </c>
      <c r="H355" t="s">
        <v>13</v>
      </c>
      <c r="I355" t="b">
        <v>0</v>
      </c>
      <c r="J355">
        <f t="shared" si="10"/>
        <v>0</v>
      </c>
      <c r="K355" t="str">
        <f t="shared" si="11"/>
        <v>Neutral</v>
      </c>
    </row>
    <row r="356" spans="1:11" x14ac:dyDescent="0.2">
      <c r="A356" t="s">
        <v>4272</v>
      </c>
      <c r="B356" t="s">
        <v>4273</v>
      </c>
      <c r="C356" t="s">
        <v>67</v>
      </c>
      <c r="D356" t="s">
        <v>3</v>
      </c>
      <c r="E356" t="s">
        <v>4</v>
      </c>
      <c r="F356">
        <v>438</v>
      </c>
      <c r="G356">
        <v>41</v>
      </c>
      <c r="H356" t="s">
        <v>13</v>
      </c>
      <c r="I356" t="b">
        <v>0</v>
      </c>
      <c r="J356">
        <f t="shared" si="10"/>
        <v>0</v>
      </c>
      <c r="K356" t="str">
        <f t="shared" si="11"/>
        <v>Neutral</v>
      </c>
    </row>
    <row r="357" spans="1:11" x14ac:dyDescent="0.2">
      <c r="A357" t="s">
        <v>4917</v>
      </c>
      <c r="B357" t="s">
        <v>4918</v>
      </c>
      <c r="C357" t="s">
        <v>1540</v>
      </c>
      <c r="D357" t="s">
        <v>3</v>
      </c>
      <c r="E357" t="s">
        <v>4</v>
      </c>
      <c r="F357">
        <v>357</v>
      </c>
      <c r="G357">
        <v>40</v>
      </c>
      <c r="H357" t="s">
        <v>13</v>
      </c>
      <c r="I357" t="b">
        <v>0</v>
      </c>
      <c r="J357">
        <f t="shared" si="10"/>
        <v>0</v>
      </c>
      <c r="K357" t="str">
        <f t="shared" si="11"/>
        <v>Neutral</v>
      </c>
    </row>
    <row r="358" spans="1:11" x14ac:dyDescent="0.2">
      <c r="A358" t="s">
        <v>1350</v>
      </c>
      <c r="B358" t="s">
        <v>1351</v>
      </c>
      <c r="C358" t="s">
        <v>1038</v>
      </c>
      <c r="D358" t="s">
        <v>1352</v>
      </c>
      <c r="E358" t="s">
        <v>4</v>
      </c>
      <c r="F358">
        <v>13</v>
      </c>
      <c r="G358">
        <v>46</v>
      </c>
      <c r="H358" t="s">
        <v>5</v>
      </c>
      <c r="I358" t="b">
        <v>0</v>
      </c>
      <c r="J358">
        <f t="shared" si="10"/>
        <v>-10</v>
      </c>
      <c r="K358" t="str">
        <f t="shared" si="11"/>
        <v>Negative</v>
      </c>
    </row>
    <row r="359" spans="1:11" x14ac:dyDescent="0.2">
      <c r="A359" t="s">
        <v>6599</v>
      </c>
      <c r="B359" t="s">
        <v>6600</v>
      </c>
      <c r="C359" t="s">
        <v>5443</v>
      </c>
      <c r="D359" t="s">
        <v>6601</v>
      </c>
      <c r="E359" t="s">
        <v>4</v>
      </c>
      <c r="F359">
        <v>351</v>
      </c>
      <c r="G359">
        <v>1742</v>
      </c>
      <c r="H359" t="s">
        <v>13</v>
      </c>
      <c r="I359" t="b">
        <v>0</v>
      </c>
      <c r="J359">
        <f t="shared" si="10"/>
        <v>0</v>
      </c>
      <c r="K359" t="str">
        <f t="shared" si="11"/>
        <v>Neutral</v>
      </c>
    </row>
    <row r="360" spans="1:11" x14ac:dyDescent="0.2">
      <c r="A360" t="s">
        <v>4840</v>
      </c>
      <c r="B360" t="s">
        <v>4841</v>
      </c>
      <c r="C360" t="s">
        <v>3286</v>
      </c>
      <c r="D360" t="s">
        <v>422</v>
      </c>
      <c r="E360" t="s">
        <v>4</v>
      </c>
      <c r="F360">
        <v>211</v>
      </c>
      <c r="G360">
        <v>393</v>
      </c>
      <c r="H360" t="s">
        <v>13</v>
      </c>
      <c r="I360" t="b">
        <v>0</v>
      </c>
      <c r="J360">
        <f t="shared" si="10"/>
        <v>0</v>
      </c>
      <c r="K360" t="str">
        <f t="shared" si="11"/>
        <v>Neutral</v>
      </c>
    </row>
    <row r="361" spans="1:11" x14ac:dyDescent="0.2">
      <c r="A361" t="s">
        <v>1713</v>
      </c>
      <c r="B361" t="s">
        <v>1714</v>
      </c>
      <c r="C361" t="s">
        <v>1062</v>
      </c>
      <c r="D361" t="s">
        <v>1715</v>
      </c>
      <c r="E361" t="s">
        <v>4</v>
      </c>
      <c r="F361">
        <v>24309</v>
      </c>
      <c r="G361">
        <v>3348</v>
      </c>
      <c r="H361" t="s">
        <v>13</v>
      </c>
      <c r="I361" t="b">
        <v>0</v>
      </c>
      <c r="J361">
        <f t="shared" si="10"/>
        <v>0</v>
      </c>
      <c r="K361" t="str">
        <f t="shared" si="11"/>
        <v>Neutral</v>
      </c>
    </row>
    <row r="362" spans="1:11" x14ac:dyDescent="0.2">
      <c r="A362" t="s">
        <v>2492</v>
      </c>
      <c r="B362" t="s">
        <v>2493</v>
      </c>
      <c r="C362" t="s">
        <v>558</v>
      </c>
      <c r="D362" t="s">
        <v>3</v>
      </c>
      <c r="E362" t="s">
        <v>4</v>
      </c>
      <c r="F362">
        <v>6</v>
      </c>
      <c r="G362">
        <v>24</v>
      </c>
      <c r="H362" t="s">
        <v>645</v>
      </c>
      <c r="I362" t="b">
        <v>0</v>
      </c>
      <c r="J362">
        <f t="shared" si="10"/>
        <v>0</v>
      </c>
      <c r="K362" t="str">
        <f t="shared" si="11"/>
        <v>Neutral</v>
      </c>
    </row>
    <row r="363" spans="1:11" x14ac:dyDescent="0.2">
      <c r="A363" t="s">
        <v>1489</v>
      </c>
      <c r="B363" t="s">
        <v>1490</v>
      </c>
      <c r="C363" t="s">
        <v>1491</v>
      </c>
      <c r="D363" t="s">
        <v>1492</v>
      </c>
      <c r="E363" t="s">
        <v>4</v>
      </c>
      <c r="F363">
        <v>95</v>
      </c>
      <c r="G363">
        <v>297</v>
      </c>
      <c r="H363" t="s">
        <v>13</v>
      </c>
      <c r="I363" t="b">
        <v>0</v>
      </c>
      <c r="J363">
        <f t="shared" si="10"/>
        <v>0</v>
      </c>
      <c r="K363" t="str">
        <f t="shared" si="11"/>
        <v>Neutral</v>
      </c>
    </row>
    <row r="364" spans="1:11" x14ac:dyDescent="0.2">
      <c r="A364" t="s">
        <v>804</v>
      </c>
      <c r="B364" t="s">
        <v>805</v>
      </c>
      <c r="C364" t="s">
        <v>806</v>
      </c>
      <c r="D364" t="s">
        <v>807</v>
      </c>
      <c r="E364" t="s">
        <v>4</v>
      </c>
      <c r="F364">
        <v>1544</v>
      </c>
      <c r="G364">
        <v>702</v>
      </c>
      <c r="H364" t="s">
        <v>13</v>
      </c>
      <c r="I364" t="b">
        <v>0</v>
      </c>
      <c r="J364">
        <f t="shared" si="10"/>
        <v>10</v>
      </c>
      <c r="K364" t="str">
        <f t="shared" si="11"/>
        <v>Positive</v>
      </c>
    </row>
    <row r="365" spans="1:11" x14ac:dyDescent="0.2">
      <c r="A365" t="s">
        <v>3371</v>
      </c>
      <c r="B365" t="s">
        <v>3372</v>
      </c>
      <c r="C365" t="s">
        <v>1187</v>
      </c>
      <c r="D365" t="s">
        <v>3373</v>
      </c>
      <c r="E365" t="s">
        <v>4</v>
      </c>
      <c r="F365">
        <v>182</v>
      </c>
      <c r="G365">
        <v>2410</v>
      </c>
      <c r="H365" t="s">
        <v>13</v>
      </c>
      <c r="I365" t="b">
        <v>0</v>
      </c>
      <c r="J365">
        <f t="shared" si="10"/>
        <v>-20</v>
      </c>
      <c r="K365" t="str">
        <f t="shared" si="11"/>
        <v>Negative</v>
      </c>
    </row>
    <row r="366" spans="1:11" x14ac:dyDescent="0.2">
      <c r="A366" t="s">
        <v>5726</v>
      </c>
      <c r="B366" t="s">
        <v>5727</v>
      </c>
      <c r="C366" t="s">
        <v>2665</v>
      </c>
      <c r="D366" t="s">
        <v>3</v>
      </c>
      <c r="E366" t="s">
        <v>4</v>
      </c>
      <c r="F366">
        <v>35</v>
      </c>
      <c r="G366">
        <v>68</v>
      </c>
      <c r="H366" t="s">
        <v>13</v>
      </c>
      <c r="I366" t="b">
        <v>0</v>
      </c>
      <c r="J366">
        <f t="shared" si="10"/>
        <v>0</v>
      </c>
      <c r="K366" t="str">
        <f t="shared" si="11"/>
        <v>Neutral</v>
      </c>
    </row>
    <row r="367" spans="1:11" x14ac:dyDescent="0.2">
      <c r="A367" t="s">
        <v>2729</v>
      </c>
      <c r="B367" t="s">
        <v>2730</v>
      </c>
      <c r="C367" t="s">
        <v>353</v>
      </c>
      <c r="D367" t="s">
        <v>3</v>
      </c>
      <c r="E367" t="s">
        <v>4</v>
      </c>
      <c r="F367">
        <v>6</v>
      </c>
      <c r="G367">
        <v>77</v>
      </c>
      <c r="H367" t="s">
        <v>13</v>
      </c>
      <c r="I367" t="b">
        <v>0</v>
      </c>
      <c r="J367">
        <f t="shared" si="10"/>
        <v>-40</v>
      </c>
      <c r="K367" t="str">
        <f t="shared" si="11"/>
        <v>Negative</v>
      </c>
    </row>
    <row r="368" spans="1:11" x14ac:dyDescent="0.2">
      <c r="A368" t="s">
        <v>5257</v>
      </c>
      <c r="B368" t="s">
        <v>5258</v>
      </c>
      <c r="C368" t="s">
        <v>720</v>
      </c>
      <c r="D368" t="s">
        <v>5259</v>
      </c>
      <c r="E368" t="s">
        <v>4</v>
      </c>
      <c r="F368">
        <v>290</v>
      </c>
      <c r="G368">
        <v>298</v>
      </c>
      <c r="H368" t="s">
        <v>13</v>
      </c>
      <c r="I368" t="b">
        <v>0</v>
      </c>
      <c r="J368">
        <f t="shared" si="10"/>
        <v>0</v>
      </c>
      <c r="K368" t="str">
        <f t="shared" si="11"/>
        <v>Neutral</v>
      </c>
    </row>
    <row r="369" spans="1:11" x14ac:dyDescent="0.2">
      <c r="A369" t="s">
        <v>7257</v>
      </c>
      <c r="B369" t="s">
        <v>7258</v>
      </c>
      <c r="C369" t="s">
        <v>2263</v>
      </c>
      <c r="D369" t="s">
        <v>7259</v>
      </c>
      <c r="E369" t="s">
        <v>4</v>
      </c>
      <c r="F369">
        <v>10</v>
      </c>
      <c r="G369">
        <v>25</v>
      </c>
      <c r="H369" t="s">
        <v>13</v>
      </c>
      <c r="I369" t="b">
        <v>0</v>
      </c>
      <c r="J369">
        <f t="shared" si="10"/>
        <v>0</v>
      </c>
      <c r="K369" t="str">
        <f t="shared" si="11"/>
        <v>Neutral</v>
      </c>
    </row>
    <row r="370" spans="1:11" x14ac:dyDescent="0.2">
      <c r="A370" t="s">
        <v>1699</v>
      </c>
      <c r="B370" t="s">
        <v>1700</v>
      </c>
      <c r="C370" t="s">
        <v>1701</v>
      </c>
      <c r="D370" t="s">
        <v>3</v>
      </c>
      <c r="E370" t="s">
        <v>4</v>
      </c>
      <c r="F370">
        <v>97</v>
      </c>
      <c r="G370">
        <v>727</v>
      </c>
      <c r="H370" t="s">
        <v>13</v>
      </c>
      <c r="I370" t="b">
        <v>0</v>
      </c>
      <c r="J370">
        <f t="shared" si="10"/>
        <v>0</v>
      </c>
      <c r="K370" t="str">
        <f t="shared" si="11"/>
        <v>Neutral</v>
      </c>
    </row>
    <row r="371" spans="1:11" x14ac:dyDescent="0.2">
      <c r="A371" t="s">
        <v>5935</v>
      </c>
      <c r="B371" t="s">
        <v>5936</v>
      </c>
      <c r="C371" t="s">
        <v>5937</v>
      </c>
      <c r="D371" t="s">
        <v>5938</v>
      </c>
      <c r="E371" t="s">
        <v>4</v>
      </c>
      <c r="F371">
        <v>2484</v>
      </c>
      <c r="G371">
        <v>801</v>
      </c>
      <c r="H371" t="s">
        <v>13</v>
      </c>
      <c r="I371" t="b">
        <v>0</v>
      </c>
      <c r="J371">
        <f t="shared" si="10"/>
        <v>0</v>
      </c>
      <c r="K371" t="str">
        <f t="shared" si="11"/>
        <v>Neutral</v>
      </c>
    </row>
    <row r="372" spans="1:11" x14ac:dyDescent="0.2">
      <c r="A372" t="s">
        <v>5448</v>
      </c>
      <c r="B372" t="s">
        <v>5449</v>
      </c>
      <c r="C372" t="s">
        <v>5450</v>
      </c>
      <c r="D372" t="s">
        <v>5451</v>
      </c>
      <c r="E372" t="s">
        <v>4</v>
      </c>
      <c r="F372">
        <v>551</v>
      </c>
      <c r="G372">
        <v>351</v>
      </c>
      <c r="H372" t="s">
        <v>13</v>
      </c>
      <c r="I372" t="b">
        <v>0</v>
      </c>
      <c r="J372">
        <f t="shared" si="10"/>
        <v>0</v>
      </c>
      <c r="K372" t="str">
        <f t="shared" si="11"/>
        <v>Neutral</v>
      </c>
    </row>
    <row r="373" spans="1:11" x14ac:dyDescent="0.2">
      <c r="A373" t="s">
        <v>6530</v>
      </c>
      <c r="B373" t="s">
        <v>6531</v>
      </c>
      <c r="C373" t="s">
        <v>6532</v>
      </c>
      <c r="D373" t="s">
        <v>6533</v>
      </c>
      <c r="E373" t="s">
        <v>4</v>
      </c>
      <c r="F373">
        <v>1021</v>
      </c>
      <c r="G373">
        <v>4434</v>
      </c>
      <c r="H373" t="s">
        <v>13</v>
      </c>
      <c r="I373" t="b">
        <v>0</v>
      </c>
      <c r="J373">
        <f t="shared" si="10"/>
        <v>0</v>
      </c>
      <c r="K373" t="str">
        <f t="shared" si="11"/>
        <v>Neutral</v>
      </c>
    </row>
    <row r="374" spans="1:11" x14ac:dyDescent="0.2">
      <c r="A374" t="s">
        <v>3444</v>
      </c>
      <c r="B374" t="s">
        <v>3445</v>
      </c>
      <c r="C374" t="s">
        <v>1328</v>
      </c>
      <c r="D374" t="s">
        <v>663</v>
      </c>
      <c r="E374" t="s">
        <v>4</v>
      </c>
      <c r="F374">
        <v>19</v>
      </c>
      <c r="G374">
        <v>112</v>
      </c>
      <c r="H374" t="s">
        <v>13</v>
      </c>
      <c r="I374" t="b">
        <v>0</v>
      </c>
      <c r="J374">
        <f t="shared" si="10"/>
        <v>0</v>
      </c>
      <c r="K374" t="str">
        <f t="shared" si="11"/>
        <v>Neutral</v>
      </c>
    </row>
    <row r="375" spans="1:11" x14ac:dyDescent="0.2">
      <c r="A375" t="s">
        <v>4715</v>
      </c>
      <c r="B375" t="s">
        <v>4716</v>
      </c>
      <c r="C375" t="s">
        <v>4709</v>
      </c>
      <c r="D375" t="s">
        <v>2403</v>
      </c>
      <c r="E375" t="s">
        <v>4</v>
      </c>
      <c r="F375">
        <v>885</v>
      </c>
      <c r="G375">
        <v>1704</v>
      </c>
      <c r="H375" t="s">
        <v>13</v>
      </c>
      <c r="I375" t="b">
        <v>0</v>
      </c>
      <c r="J375">
        <f t="shared" si="10"/>
        <v>-10</v>
      </c>
      <c r="K375" t="str">
        <f t="shared" si="11"/>
        <v>Negative</v>
      </c>
    </row>
    <row r="376" spans="1:11" x14ac:dyDescent="0.2">
      <c r="A376" t="s">
        <v>1053</v>
      </c>
      <c r="B376" t="s">
        <v>1054</v>
      </c>
      <c r="C376" t="s">
        <v>323</v>
      </c>
      <c r="D376" t="s">
        <v>1045</v>
      </c>
      <c r="E376" t="s">
        <v>4</v>
      </c>
      <c r="F376">
        <v>2638</v>
      </c>
      <c r="G376">
        <v>428</v>
      </c>
      <c r="H376" t="s">
        <v>13</v>
      </c>
      <c r="I376" t="b">
        <v>0</v>
      </c>
      <c r="J376">
        <f t="shared" si="10"/>
        <v>0</v>
      </c>
      <c r="K376" t="str">
        <f t="shared" si="11"/>
        <v>Neutral</v>
      </c>
    </row>
    <row r="377" spans="1:11" x14ac:dyDescent="0.2">
      <c r="A377" t="s">
        <v>183</v>
      </c>
      <c r="B377" t="s">
        <v>184</v>
      </c>
      <c r="C377" t="s">
        <v>185</v>
      </c>
      <c r="D377" t="s">
        <v>3</v>
      </c>
      <c r="E377" t="s">
        <v>4</v>
      </c>
      <c r="F377">
        <v>25</v>
      </c>
      <c r="G377">
        <v>257</v>
      </c>
      <c r="H377" t="s">
        <v>13</v>
      </c>
      <c r="I377" t="b">
        <v>0</v>
      </c>
      <c r="J377">
        <f t="shared" si="10"/>
        <v>10</v>
      </c>
      <c r="K377" t="str">
        <f t="shared" si="11"/>
        <v>Positive</v>
      </c>
    </row>
    <row r="378" spans="1:11" x14ac:dyDescent="0.2">
      <c r="A378" t="s">
        <v>3858</v>
      </c>
      <c r="B378" t="s">
        <v>3859</v>
      </c>
      <c r="C378" t="s">
        <v>185</v>
      </c>
      <c r="D378" t="s">
        <v>3860</v>
      </c>
      <c r="E378" t="s">
        <v>4</v>
      </c>
      <c r="F378">
        <v>756</v>
      </c>
      <c r="G378">
        <v>745</v>
      </c>
      <c r="H378" t="s">
        <v>13</v>
      </c>
      <c r="I378" t="b">
        <v>0</v>
      </c>
      <c r="J378">
        <f t="shared" si="10"/>
        <v>0</v>
      </c>
      <c r="K378" t="str">
        <f t="shared" si="11"/>
        <v>Neutral</v>
      </c>
    </row>
    <row r="379" spans="1:11" x14ac:dyDescent="0.2">
      <c r="A379" t="s">
        <v>6978</v>
      </c>
      <c r="B379" t="s">
        <v>6979</v>
      </c>
      <c r="C379" t="s">
        <v>82</v>
      </c>
      <c r="D379" t="s">
        <v>4777</v>
      </c>
      <c r="E379" t="s">
        <v>38</v>
      </c>
      <c r="F379">
        <v>33555</v>
      </c>
      <c r="G379">
        <v>84</v>
      </c>
      <c r="H379" t="s">
        <v>13</v>
      </c>
      <c r="I379" t="b">
        <v>0</v>
      </c>
      <c r="J379">
        <f t="shared" si="10"/>
        <v>0</v>
      </c>
      <c r="K379" t="str">
        <f t="shared" si="11"/>
        <v>Neutral</v>
      </c>
    </row>
    <row r="380" spans="1:11" x14ac:dyDescent="0.2">
      <c r="A380" t="s">
        <v>718</v>
      </c>
      <c r="B380" t="s">
        <v>719</v>
      </c>
      <c r="C380" t="s">
        <v>720</v>
      </c>
      <c r="D380" t="s">
        <v>721</v>
      </c>
      <c r="E380" t="s">
        <v>4</v>
      </c>
      <c r="F380">
        <v>3968</v>
      </c>
      <c r="G380">
        <v>3419</v>
      </c>
      <c r="H380" t="s">
        <v>13</v>
      </c>
      <c r="I380" t="b">
        <v>0</v>
      </c>
      <c r="J380">
        <f t="shared" si="10"/>
        <v>-10</v>
      </c>
      <c r="K380" t="str">
        <f t="shared" si="11"/>
        <v>Negative</v>
      </c>
    </row>
    <row r="381" spans="1:11" x14ac:dyDescent="0.2">
      <c r="A381" t="s">
        <v>5574</v>
      </c>
      <c r="B381" t="s">
        <v>5575</v>
      </c>
      <c r="C381" t="s">
        <v>226</v>
      </c>
      <c r="D381" t="s">
        <v>227</v>
      </c>
      <c r="E381" t="s">
        <v>4</v>
      </c>
      <c r="F381">
        <v>9231</v>
      </c>
      <c r="G381">
        <v>7170</v>
      </c>
      <c r="H381" t="s">
        <v>13</v>
      </c>
      <c r="I381" t="b">
        <v>0</v>
      </c>
      <c r="J381">
        <f t="shared" si="10"/>
        <v>0</v>
      </c>
      <c r="K381" t="str">
        <f t="shared" si="11"/>
        <v>Neutral</v>
      </c>
    </row>
    <row r="382" spans="1:11" x14ac:dyDescent="0.2">
      <c r="A382" t="s">
        <v>1585</v>
      </c>
      <c r="B382" t="s">
        <v>1586</v>
      </c>
      <c r="C382" t="s">
        <v>1587</v>
      </c>
      <c r="D382" t="s">
        <v>1588</v>
      </c>
      <c r="E382" t="s">
        <v>4</v>
      </c>
      <c r="F382">
        <v>312</v>
      </c>
      <c r="G382">
        <v>402</v>
      </c>
      <c r="H382" t="s">
        <v>13</v>
      </c>
      <c r="I382" t="b">
        <v>0</v>
      </c>
      <c r="J382">
        <f t="shared" si="10"/>
        <v>0</v>
      </c>
      <c r="K382" t="str">
        <f t="shared" si="11"/>
        <v>Neutral</v>
      </c>
    </row>
    <row r="383" spans="1:11" x14ac:dyDescent="0.2">
      <c r="A383" t="s">
        <v>4838</v>
      </c>
      <c r="B383" t="s">
        <v>4839</v>
      </c>
      <c r="C383" t="s">
        <v>3337</v>
      </c>
      <c r="D383" t="s">
        <v>2565</v>
      </c>
      <c r="E383" t="s">
        <v>4</v>
      </c>
      <c r="F383">
        <v>2205</v>
      </c>
      <c r="G383">
        <v>1079</v>
      </c>
      <c r="H383" t="s">
        <v>13</v>
      </c>
      <c r="I383" t="b">
        <v>0</v>
      </c>
      <c r="J383">
        <f t="shared" si="10"/>
        <v>0</v>
      </c>
      <c r="K383" t="str">
        <f t="shared" si="11"/>
        <v>Neutral</v>
      </c>
    </row>
    <row r="384" spans="1:11" x14ac:dyDescent="0.2">
      <c r="A384" t="s">
        <v>3012</v>
      </c>
      <c r="B384" t="s">
        <v>3013</v>
      </c>
      <c r="C384" t="s">
        <v>1658</v>
      </c>
      <c r="D384" t="s">
        <v>1292</v>
      </c>
      <c r="E384" t="s">
        <v>4</v>
      </c>
      <c r="F384">
        <v>938</v>
      </c>
      <c r="G384">
        <v>294</v>
      </c>
      <c r="H384" t="s">
        <v>114</v>
      </c>
      <c r="I384" t="b">
        <v>0</v>
      </c>
      <c r="J384">
        <f t="shared" si="10"/>
        <v>0</v>
      </c>
      <c r="K384" t="str">
        <f t="shared" si="11"/>
        <v>Neutral</v>
      </c>
    </row>
    <row r="385" spans="1:11" x14ac:dyDescent="0.2">
      <c r="A385" t="s">
        <v>3551</v>
      </c>
      <c r="B385" t="s">
        <v>3552</v>
      </c>
      <c r="C385" t="s">
        <v>2106</v>
      </c>
      <c r="D385" t="s">
        <v>3</v>
      </c>
      <c r="E385" t="s">
        <v>4</v>
      </c>
      <c r="F385">
        <v>17</v>
      </c>
      <c r="G385">
        <v>43</v>
      </c>
      <c r="H385" t="s">
        <v>13</v>
      </c>
      <c r="I385" t="b">
        <v>0</v>
      </c>
      <c r="J385">
        <f t="shared" si="10"/>
        <v>-20</v>
      </c>
      <c r="K385" t="str">
        <f t="shared" si="11"/>
        <v>Negative</v>
      </c>
    </row>
    <row r="386" spans="1:11" x14ac:dyDescent="0.2">
      <c r="A386" t="s">
        <v>6489</v>
      </c>
      <c r="B386" t="s">
        <v>6490</v>
      </c>
      <c r="C386" t="s">
        <v>1267</v>
      </c>
      <c r="D386" t="s">
        <v>6485</v>
      </c>
      <c r="E386" t="s">
        <v>4</v>
      </c>
      <c r="F386">
        <v>469</v>
      </c>
      <c r="G386">
        <v>17</v>
      </c>
      <c r="H386" t="s">
        <v>13</v>
      </c>
      <c r="I386" t="b">
        <v>0</v>
      </c>
      <c r="J386">
        <f t="shared" si="10"/>
        <v>0</v>
      </c>
      <c r="K386" t="str">
        <f t="shared" si="11"/>
        <v>Neutral</v>
      </c>
    </row>
    <row r="387" spans="1:11" x14ac:dyDescent="0.2">
      <c r="A387" t="s">
        <v>6088</v>
      </c>
      <c r="B387" t="s">
        <v>6089</v>
      </c>
      <c r="C387" t="s">
        <v>4146</v>
      </c>
      <c r="D387" t="s">
        <v>3</v>
      </c>
      <c r="E387" t="s">
        <v>4</v>
      </c>
      <c r="F387">
        <v>3</v>
      </c>
      <c r="G387">
        <v>1</v>
      </c>
      <c r="H387" t="s">
        <v>13</v>
      </c>
      <c r="I387" t="b">
        <v>0</v>
      </c>
      <c r="J387">
        <f t="shared" ref="J387:J450" si="12">sentimentCalc(B387)</f>
        <v>0</v>
      </c>
      <c r="K387" t="str">
        <f t="shared" ref="K387:K450" si="13">sentimentCategory(J387)</f>
        <v>Neutral</v>
      </c>
    </row>
    <row r="388" spans="1:11" x14ac:dyDescent="0.2">
      <c r="A388" t="s">
        <v>4933</v>
      </c>
      <c r="B388" t="s">
        <v>4934</v>
      </c>
      <c r="C388" t="s">
        <v>319</v>
      </c>
      <c r="D388" t="s">
        <v>4935</v>
      </c>
      <c r="E388" t="s">
        <v>4</v>
      </c>
      <c r="F388">
        <v>480</v>
      </c>
      <c r="G388">
        <v>1223</v>
      </c>
      <c r="H388" t="s">
        <v>13</v>
      </c>
      <c r="I388" t="b">
        <v>0</v>
      </c>
      <c r="J388">
        <f t="shared" si="12"/>
        <v>0</v>
      </c>
      <c r="K388" t="str">
        <f t="shared" si="13"/>
        <v>Neutral</v>
      </c>
    </row>
    <row r="389" spans="1:11" x14ac:dyDescent="0.2">
      <c r="A389" t="s">
        <v>2473</v>
      </c>
      <c r="B389" t="s">
        <v>2474</v>
      </c>
      <c r="C389" t="s">
        <v>2475</v>
      </c>
      <c r="D389" t="s">
        <v>2476</v>
      </c>
      <c r="E389" t="s">
        <v>4</v>
      </c>
      <c r="F389">
        <v>110</v>
      </c>
      <c r="G389">
        <v>382</v>
      </c>
      <c r="H389" t="s">
        <v>13</v>
      </c>
      <c r="I389" t="b">
        <v>0</v>
      </c>
      <c r="J389">
        <f t="shared" si="12"/>
        <v>10</v>
      </c>
      <c r="K389" t="str">
        <f t="shared" si="13"/>
        <v>Positive</v>
      </c>
    </row>
    <row r="390" spans="1:11" x14ac:dyDescent="0.2">
      <c r="A390" t="s">
        <v>4630</v>
      </c>
      <c r="B390" t="s">
        <v>4631</v>
      </c>
      <c r="C390" t="s">
        <v>2632</v>
      </c>
      <c r="D390" t="s">
        <v>3</v>
      </c>
      <c r="E390" t="s">
        <v>4</v>
      </c>
      <c r="F390">
        <v>22</v>
      </c>
      <c r="G390">
        <v>192</v>
      </c>
      <c r="H390" t="s">
        <v>13</v>
      </c>
      <c r="I390" t="b">
        <v>0</v>
      </c>
      <c r="J390">
        <f t="shared" si="12"/>
        <v>10</v>
      </c>
      <c r="K390" t="str">
        <f t="shared" si="13"/>
        <v>Positive</v>
      </c>
    </row>
    <row r="391" spans="1:11" x14ac:dyDescent="0.2">
      <c r="A391" t="s">
        <v>877</v>
      </c>
      <c r="B391" t="s">
        <v>878</v>
      </c>
      <c r="C391" t="s">
        <v>879</v>
      </c>
      <c r="D391" t="s">
        <v>320</v>
      </c>
      <c r="E391" t="s">
        <v>4</v>
      </c>
      <c r="F391">
        <v>160</v>
      </c>
      <c r="G391">
        <v>279</v>
      </c>
      <c r="H391" t="s">
        <v>13</v>
      </c>
      <c r="I391" t="b">
        <v>0</v>
      </c>
      <c r="J391">
        <f t="shared" si="12"/>
        <v>-20</v>
      </c>
      <c r="K391" t="str">
        <f t="shared" si="13"/>
        <v>Negative</v>
      </c>
    </row>
    <row r="392" spans="1:11" x14ac:dyDescent="0.2">
      <c r="A392" t="s">
        <v>5631</v>
      </c>
      <c r="B392" t="s">
        <v>5632</v>
      </c>
      <c r="C392" t="s">
        <v>5633</v>
      </c>
      <c r="D392" t="s">
        <v>3</v>
      </c>
      <c r="E392" t="s">
        <v>4</v>
      </c>
      <c r="F392">
        <v>192</v>
      </c>
      <c r="G392">
        <v>552</v>
      </c>
      <c r="H392" t="s">
        <v>13</v>
      </c>
      <c r="I392" t="b">
        <v>0</v>
      </c>
      <c r="J392">
        <f t="shared" si="12"/>
        <v>0</v>
      </c>
      <c r="K392" t="str">
        <f t="shared" si="13"/>
        <v>Neutral</v>
      </c>
    </row>
    <row r="393" spans="1:11" x14ac:dyDescent="0.2">
      <c r="A393" t="s">
        <v>1199</v>
      </c>
      <c r="B393" t="s">
        <v>1200</v>
      </c>
      <c r="C393" t="s">
        <v>1201</v>
      </c>
      <c r="D393" t="s">
        <v>1202</v>
      </c>
      <c r="E393" t="s">
        <v>4</v>
      </c>
      <c r="F393">
        <v>1124</v>
      </c>
      <c r="G393">
        <v>316</v>
      </c>
      <c r="H393" t="s">
        <v>13</v>
      </c>
      <c r="I393" t="b">
        <v>0</v>
      </c>
      <c r="J393">
        <f t="shared" si="12"/>
        <v>0</v>
      </c>
      <c r="K393" t="str">
        <f t="shared" si="13"/>
        <v>Neutral</v>
      </c>
    </row>
    <row r="394" spans="1:11" x14ac:dyDescent="0.2">
      <c r="A394" t="s">
        <v>2133</v>
      </c>
      <c r="B394" t="s">
        <v>2134</v>
      </c>
      <c r="C394" t="s">
        <v>2135</v>
      </c>
      <c r="D394" t="s">
        <v>1171</v>
      </c>
      <c r="E394" t="s">
        <v>4</v>
      </c>
      <c r="F394">
        <v>6908</v>
      </c>
      <c r="G394">
        <v>549</v>
      </c>
      <c r="H394" t="s">
        <v>13</v>
      </c>
      <c r="I394" t="b">
        <v>0</v>
      </c>
      <c r="J394">
        <f t="shared" si="12"/>
        <v>-10</v>
      </c>
      <c r="K394" t="str">
        <f t="shared" si="13"/>
        <v>Negative</v>
      </c>
    </row>
    <row r="395" spans="1:11" x14ac:dyDescent="0.2">
      <c r="A395" t="s">
        <v>1036</v>
      </c>
      <c r="B395" t="s">
        <v>1037</v>
      </c>
      <c r="C395" t="s">
        <v>1038</v>
      </c>
      <c r="D395" t="s">
        <v>350</v>
      </c>
      <c r="E395" t="s">
        <v>4</v>
      </c>
      <c r="F395">
        <v>3060</v>
      </c>
      <c r="G395">
        <v>1801</v>
      </c>
      <c r="H395" t="s">
        <v>13</v>
      </c>
      <c r="I395" t="b">
        <v>0</v>
      </c>
      <c r="J395">
        <f t="shared" si="12"/>
        <v>0</v>
      </c>
      <c r="K395" t="str">
        <f t="shared" si="13"/>
        <v>Neutral</v>
      </c>
    </row>
    <row r="396" spans="1:11" x14ac:dyDescent="0.2">
      <c r="A396" t="s">
        <v>5235</v>
      </c>
      <c r="B396" t="s">
        <v>5236</v>
      </c>
      <c r="C396" t="s">
        <v>2977</v>
      </c>
      <c r="D396" t="s">
        <v>5237</v>
      </c>
      <c r="E396" t="s">
        <v>4</v>
      </c>
      <c r="F396">
        <v>659</v>
      </c>
      <c r="G396">
        <v>285</v>
      </c>
      <c r="H396" t="s">
        <v>13</v>
      </c>
      <c r="I396" t="b">
        <v>0</v>
      </c>
      <c r="J396">
        <f t="shared" si="12"/>
        <v>0</v>
      </c>
      <c r="K396" t="str">
        <f t="shared" si="13"/>
        <v>Neutral</v>
      </c>
    </row>
    <row r="397" spans="1:11" x14ac:dyDescent="0.2">
      <c r="A397" t="s">
        <v>4771</v>
      </c>
      <c r="B397" t="s">
        <v>4772</v>
      </c>
      <c r="C397" t="s">
        <v>226</v>
      </c>
      <c r="D397" t="s">
        <v>227</v>
      </c>
      <c r="E397" t="s">
        <v>4</v>
      </c>
      <c r="F397">
        <v>9228</v>
      </c>
      <c r="G397">
        <v>7170</v>
      </c>
      <c r="H397" t="s">
        <v>13</v>
      </c>
      <c r="I397" t="b">
        <v>0</v>
      </c>
      <c r="J397">
        <f t="shared" si="12"/>
        <v>0</v>
      </c>
      <c r="K397" t="str">
        <f t="shared" si="13"/>
        <v>Neutral</v>
      </c>
    </row>
    <row r="398" spans="1:11" x14ac:dyDescent="0.2">
      <c r="A398" t="s">
        <v>2958</v>
      </c>
      <c r="B398" t="s">
        <v>2959</v>
      </c>
      <c r="C398" t="s">
        <v>730</v>
      </c>
      <c r="D398" t="s">
        <v>2960</v>
      </c>
      <c r="E398" t="s">
        <v>4</v>
      </c>
      <c r="F398">
        <v>590</v>
      </c>
      <c r="G398">
        <v>2150</v>
      </c>
      <c r="H398" t="s">
        <v>13</v>
      </c>
      <c r="I398" t="b">
        <v>0</v>
      </c>
      <c r="J398">
        <f t="shared" si="12"/>
        <v>0</v>
      </c>
      <c r="K398" t="str">
        <f t="shared" si="13"/>
        <v>Neutral</v>
      </c>
    </row>
    <row r="399" spans="1:11" x14ac:dyDescent="0.2">
      <c r="A399" t="s">
        <v>2914</v>
      </c>
      <c r="B399" t="s">
        <v>2915</v>
      </c>
      <c r="C399" t="s">
        <v>591</v>
      </c>
      <c r="D399" t="s">
        <v>2916</v>
      </c>
      <c r="E399" t="s">
        <v>4</v>
      </c>
      <c r="F399">
        <v>271</v>
      </c>
      <c r="G399">
        <v>63</v>
      </c>
      <c r="H399" t="s">
        <v>13</v>
      </c>
      <c r="I399" t="b">
        <v>0</v>
      </c>
      <c r="J399">
        <f t="shared" si="12"/>
        <v>0</v>
      </c>
      <c r="K399" t="str">
        <f t="shared" si="13"/>
        <v>Neutral</v>
      </c>
    </row>
    <row r="400" spans="1:11" x14ac:dyDescent="0.2">
      <c r="A400" t="s">
        <v>2852</v>
      </c>
      <c r="B400" t="s">
        <v>2853</v>
      </c>
      <c r="C400" t="s">
        <v>2854</v>
      </c>
      <c r="D400" t="s">
        <v>64</v>
      </c>
      <c r="E400" t="s">
        <v>4</v>
      </c>
      <c r="F400">
        <v>26</v>
      </c>
      <c r="G400">
        <v>181</v>
      </c>
      <c r="H400" t="s">
        <v>13</v>
      </c>
      <c r="I400" t="b">
        <v>0</v>
      </c>
      <c r="J400">
        <f t="shared" si="12"/>
        <v>0</v>
      </c>
      <c r="K400" t="str">
        <f t="shared" si="13"/>
        <v>Neutral</v>
      </c>
    </row>
    <row r="401" spans="1:11" x14ac:dyDescent="0.2">
      <c r="A401" t="s">
        <v>3721</v>
      </c>
      <c r="B401" t="s">
        <v>3722</v>
      </c>
      <c r="C401" t="s">
        <v>1193</v>
      </c>
      <c r="D401" t="s">
        <v>1194</v>
      </c>
      <c r="E401" t="s">
        <v>4</v>
      </c>
      <c r="F401">
        <v>7992</v>
      </c>
      <c r="G401">
        <v>410</v>
      </c>
      <c r="H401" t="s">
        <v>13</v>
      </c>
      <c r="I401" t="b">
        <v>0</v>
      </c>
      <c r="J401">
        <f t="shared" si="12"/>
        <v>0</v>
      </c>
      <c r="K401" t="str">
        <f t="shared" si="13"/>
        <v>Neutral</v>
      </c>
    </row>
    <row r="402" spans="1:11" x14ac:dyDescent="0.2">
      <c r="A402" t="s">
        <v>3918</v>
      </c>
      <c r="B402" t="s">
        <v>3919</v>
      </c>
      <c r="C402" t="s">
        <v>272</v>
      </c>
      <c r="D402" t="s">
        <v>3</v>
      </c>
      <c r="E402" t="s">
        <v>4</v>
      </c>
      <c r="F402">
        <v>22</v>
      </c>
      <c r="G402">
        <v>6</v>
      </c>
      <c r="H402" t="s">
        <v>13</v>
      </c>
      <c r="I402" t="b">
        <v>0</v>
      </c>
      <c r="J402">
        <f t="shared" si="12"/>
        <v>-10</v>
      </c>
      <c r="K402" t="str">
        <f t="shared" si="13"/>
        <v>Negative</v>
      </c>
    </row>
    <row r="403" spans="1:11" x14ac:dyDescent="0.2">
      <c r="A403" t="s">
        <v>2274</v>
      </c>
      <c r="B403" t="s">
        <v>2275</v>
      </c>
      <c r="C403" t="s">
        <v>1534</v>
      </c>
      <c r="D403" t="s">
        <v>2276</v>
      </c>
      <c r="E403" t="s">
        <v>4</v>
      </c>
      <c r="F403">
        <v>307</v>
      </c>
      <c r="G403">
        <v>79</v>
      </c>
      <c r="H403" t="s">
        <v>13</v>
      </c>
      <c r="I403" t="b">
        <v>0</v>
      </c>
      <c r="J403">
        <f t="shared" si="12"/>
        <v>0</v>
      </c>
      <c r="K403" t="str">
        <f t="shared" si="13"/>
        <v>Neutral</v>
      </c>
    </row>
    <row r="404" spans="1:11" x14ac:dyDescent="0.2">
      <c r="A404" t="s">
        <v>1834</v>
      </c>
      <c r="B404" t="s">
        <v>1835</v>
      </c>
      <c r="C404" t="s">
        <v>1254</v>
      </c>
      <c r="D404" t="s">
        <v>1255</v>
      </c>
      <c r="E404" t="s">
        <v>4</v>
      </c>
      <c r="F404">
        <v>1355</v>
      </c>
      <c r="G404">
        <v>1069</v>
      </c>
      <c r="H404" t="s">
        <v>13</v>
      </c>
      <c r="I404" t="b">
        <v>0</v>
      </c>
      <c r="J404">
        <f t="shared" si="12"/>
        <v>0</v>
      </c>
      <c r="K404" t="str">
        <f t="shared" si="13"/>
        <v>Neutral</v>
      </c>
    </row>
    <row r="405" spans="1:11" x14ac:dyDescent="0.2">
      <c r="A405" t="s">
        <v>2902</v>
      </c>
      <c r="B405" t="s">
        <v>2903</v>
      </c>
      <c r="C405" t="s">
        <v>2904</v>
      </c>
      <c r="D405" t="s">
        <v>3</v>
      </c>
      <c r="E405" t="s">
        <v>4</v>
      </c>
      <c r="F405">
        <v>21</v>
      </c>
      <c r="G405">
        <v>124</v>
      </c>
      <c r="H405" t="s">
        <v>114</v>
      </c>
      <c r="I405" t="b">
        <v>0</v>
      </c>
      <c r="J405">
        <f t="shared" si="12"/>
        <v>0</v>
      </c>
      <c r="K405" t="str">
        <f t="shared" si="13"/>
        <v>Neutral</v>
      </c>
    </row>
    <row r="406" spans="1:11" x14ac:dyDescent="0.2">
      <c r="A406" t="s">
        <v>6069</v>
      </c>
      <c r="B406" t="s">
        <v>6070</v>
      </c>
      <c r="C406" t="s">
        <v>6071</v>
      </c>
      <c r="D406" t="s">
        <v>6072</v>
      </c>
      <c r="E406" t="s">
        <v>4</v>
      </c>
      <c r="F406">
        <v>27525</v>
      </c>
      <c r="G406">
        <v>1200</v>
      </c>
      <c r="H406" t="s">
        <v>13</v>
      </c>
      <c r="I406" t="b">
        <v>0</v>
      </c>
      <c r="J406">
        <f t="shared" si="12"/>
        <v>0</v>
      </c>
      <c r="K406" t="str">
        <f t="shared" si="13"/>
        <v>Neutral</v>
      </c>
    </row>
    <row r="407" spans="1:11" x14ac:dyDescent="0.2">
      <c r="A407" t="s">
        <v>3827</v>
      </c>
      <c r="B407" t="s">
        <v>3828</v>
      </c>
      <c r="C407" t="s">
        <v>2146</v>
      </c>
      <c r="D407" t="s">
        <v>3829</v>
      </c>
      <c r="E407" t="s">
        <v>4</v>
      </c>
      <c r="F407">
        <v>332</v>
      </c>
      <c r="G407">
        <v>153</v>
      </c>
      <c r="H407" t="s">
        <v>13</v>
      </c>
      <c r="I407" t="b">
        <v>0</v>
      </c>
      <c r="J407">
        <f t="shared" si="12"/>
        <v>0</v>
      </c>
      <c r="K407" t="str">
        <f t="shared" si="13"/>
        <v>Neutral</v>
      </c>
    </row>
    <row r="408" spans="1:11" x14ac:dyDescent="0.2">
      <c r="A408" t="s">
        <v>6457</v>
      </c>
      <c r="B408" t="s">
        <v>6460</v>
      </c>
      <c r="C408" t="s">
        <v>3608</v>
      </c>
      <c r="D408" t="s">
        <v>6461</v>
      </c>
      <c r="E408" t="s">
        <v>4</v>
      </c>
      <c r="F408">
        <v>594</v>
      </c>
      <c r="G408">
        <v>439</v>
      </c>
      <c r="H408" t="s">
        <v>13</v>
      </c>
      <c r="I408" t="b">
        <v>0</v>
      </c>
      <c r="J408">
        <f t="shared" si="12"/>
        <v>0</v>
      </c>
      <c r="K408" t="str">
        <f t="shared" si="13"/>
        <v>Neutral</v>
      </c>
    </row>
    <row r="409" spans="1:11" x14ac:dyDescent="0.2">
      <c r="A409" t="s">
        <v>3329</v>
      </c>
      <c r="B409" t="s">
        <v>3330</v>
      </c>
      <c r="C409" t="s">
        <v>1565</v>
      </c>
      <c r="D409" t="s">
        <v>422</v>
      </c>
      <c r="E409" t="s">
        <v>4</v>
      </c>
      <c r="F409">
        <v>4727</v>
      </c>
      <c r="G409">
        <v>134</v>
      </c>
      <c r="H409" t="s">
        <v>13</v>
      </c>
      <c r="I409" t="b">
        <v>0</v>
      </c>
      <c r="J409">
        <f t="shared" si="12"/>
        <v>0</v>
      </c>
      <c r="K409" t="str">
        <f t="shared" si="13"/>
        <v>Neutral</v>
      </c>
    </row>
    <row r="410" spans="1:11" x14ac:dyDescent="0.2">
      <c r="A410" t="s">
        <v>7157</v>
      </c>
      <c r="B410" t="s">
        <v>7158</v>
      </c>
      <c r="C410" t="s">
        <v>4880</v>
      </c>
      <c r="D410" t="s">
        <v>3</v>
      </c>
      <c r="E410" t="s">
        <v>4</v>
      </c>
      <c r="F410">
        <v>35</v>
      </c>
      <c r="G410">
        <v>4</v>
      </c>
      <c r="H410" t="s">
        <v>13</v>
      </c>
      <c r="I410" t="b">
        <v>0</v>
      </c>
      <c r="J410">
        <f t="shared" si="12"/>
        <v>0</v>
      </c>
      <c r="K410" t="str">
        <f t="shared" si="13"/>
        <v>Neutral</v>
      </c>
    </row>
    <row r="411" spans="1:11" x14ac:dyDescent="0.2">
      <c r="A411" t="s">
        <v>173</v>
      </c>
      <c r="B411" t="s">
        <v>174</v>
      </c>
      <c r="C411" t="s">
        <v>97</v>
      </c>
      <c r="D411" t="s">
        <v>3</v>
      </c>
      <c r="E411" t="s">
        <v>4</v>
      </c>
      <c r="F411">
        <v>720</v>
      </c>
      <c r="G411">
        <v>502</v>
      </c>
      <c r="H411" t="s">
        <v>13</v>
      </c>
      <c r="I411" t="b">
        <v>0</v>
      </c>
      <c r="J411">
        <f t="shared" si="12"/>
        <v>0</v>
      </c>
      <c r="K411" t="str">
        <f t="shared" si="13"/>
        <v>Neutral</v>
      </c>
    </row>
    <row r="412" spans="1:11" x14ac:dyDescent="0.2">
      <c r="A412" t="s">
        <v>3613</v>
      </c>
      <c r="B412" t="s">
        <v>3614</v>
      </c>
      <c r="C412" t="s">
        <v>2259</v>
      </c>
      <c r="D412" t="s">
        <v>216</v>
      </c>
      <c r="E412" t="s">
        <v>4</v>
      </c>
      <c r="F412">
        <v>153</v>
      </c>
      <c r="G412">
        <v>151</v>
      </c>
      <c r="H412" t="s">
        <v>13</v>
      </c>
      <c r="I412" t="b">
        <v>0</v>
      </c>
      <c r="J412">
        <f t="shared" si="12"/>
        <v>0</v>
      </c>
      <c r="K412" t="str">
        <f t="shared" si="13"/>
        <v>Neutral</v>
      </c>
    </row>
    <row r="413" spans="1:11" x14ac:dyDescent="0.2">
      <c r="A413" t="s">
        <v>5346</v>
      </c>
      <c r="B413" t="s">
        <v>5347</v>
      </c>
      <c r="C413" t="s">
        <v>3277</v>
      </c>
      <c r="D413" t="s">
        <v>3</v>
      </c>
      <c r="E413" t="s">
        <v>4</v>
      </c>
      <c r="F413">
        <v>13</v>
      </c>
      <c r="G413">
        <v>126</v>
      </c>
      <c r="H413" t="s">
        <v>13</v>
      </c>
      <c r="I413" t="b">
        <v>0</v>
      </c>
      <c r="J413">
        <f t="shared" si="12"/>
        <v>0</v>
      </c>
      <c r="K413" t="str">
        <f t="shared" si="13"/>
        <v>Neutral</v>
      </c>
    </row>
    <row r="414" spans="1:11" x14ac:dyDescent="0.2">
      <c r="A414" t="s">
        <v>3104</v>
      </c>
      <c r="B414" t="s">
        <v>3105</v>
      </c>
      <c r="C414" t="s">
        <v>3106</v>
      </c>
      <c r="D414" t="s">
        <v>3107</v>
      </c>
      <c r="E414" t="s">
        <v>4</v>
      </c>
      <c r="F414">
        <v>1290</v>
      </c>
      <c r="G414">
        <v>2062</v>
      </c>
      <c r="H414" t="s">
        <v>114</v>
      </c>
      <c r="I414" t="b">
        <v>0</v>
      </c>
      <c r="J414">
        <f t="shared" si="12"/>
        <v>0</v>
      </c>
      <c r="K414" t="str">
        <f t="shared" si="13"/>
        <v>Neutral</v>
      </c>
    </row>
    <row r="415" spans="1:11" x14ac:dyDescent="0.2">
      <c r="A415" t="s">
        <v>4393</v>
      </c>
      <c r="B415" t="s">
        <v>4394</v>
      </c>
      <c r="C415" t="s">
        <v>1870</v>
      </c>
      <c r="D415" t="s">
        <v>3</v>
      </c>
      <c r="E415" t="s">
        <v>4</v>
      </c>
      <c r="F415">
        <v>1050</v>
      </c>
      <c r="G415">
        <v>862</v>
      </c>
      <c r="H415" t="s">
        <v>13</v>
      </c>
      <c r="I415" t="b">
        <v>0</v>
      </c>
      <c r="J415">
        <f t="shared" si="12"/>
        <v>10</v>
      </c>
      <c r="K415" t="str">
        <f t="shared" si="13"/>
        <v>Positive</v>
      </c>
    </row>
    <row r="416" spans="1:11" x14ac:dyDescent="0.2">
      <c r="A416" t="s">
        <v>2059</v>
      </c>
      <c r="B416" t="s">
        <v>2061</v>
      </c>
      <c r="C416" t="s">
        <v>2062</v>
      </c>
      <c r="D416" t="s">
        <v>3</v>
      </c>
      <c r="E416" t="s">
        <v>4</v>
      </c>
      <c r="F416">
        <v>1530</v>
      </c>
      <c r="G416">
        <v>3256</v>
      </c>
      <c r="H416" t="s">
        <v>13</v>
      </c>
      <c r="I416" t="b">
        <v>0</v>
      </c>
      <c r="J416">
        <f t="shared" si="12"/>
        <v>0</v>
      </c>
      <c r="K416" t="str">
        <f t="shared" si="13"/>
        <v>Neutral</v>
      </c>
    </row>
    <row r="417" spans="1:11" x14ac:dyDescent="0.2">
      <c r="A417" t="s">
        <v>4249</v>
      </c>
      <c r="B417" t="s">
        <v>4250</v>
      </c>
      <c r="C417" t="s">
        <v>3857</v>
      </c>
      <c r="D417" t="s">
        <v>3</v>
      </c>
      <c r="E417" t="s">
        <v>4</v>
      </c>
      <c r="F417">
        <v>54</v>
      </c>
      <c r="G417">
        <v>436</v>
      </c>
      <c r="H417" t="s">
        <v>13</v>
      </c>
      <c r="I417" t="b">
        <v>0</v>
      </c>
      <c r="J417">
        <f t="shared" si="12"/>
        <v>10</v>
      </c>
      <c r="K417" t="str">
        <f t="shared" si="13"/>
        <v>Positive</v>
      </c>
    </row>
    <row r="418" spans="1:11" x14ac:dyDescent="0.2">
      <c r="A418" t="s">
        <v>3236</v>
      </c>
      <c r="B418" t="s">
        <v>3237</v>
      </c>
      <c r="C418" t="s">
        <v>3238</v>
      </c>
      <c r="D418" t="s">
        <v>1372</v>
      </c>
      <c r="E418" t="s">
        <v>4</v>
      </c>
      <c r="F418">
        <v>785</v>
      </c>
      <c r="G418">
        <v>1340</v>
      </c>
      <c r="H418" t="s">
        <v>13</v>
      </c>
      <c r="I418" t="b">
        <v>0</v>
      </c>
      <c r="J418">
        <f t="shared" si="12"/>
        <v>0</v>
      </c>
      <c r="K418" t="str">
        <f t="shared" si="13"/>
        <v>Neutral</v>
      </c>
    </row>
    <row r="419" spans="1:11" x14ac:dyDescent="0.2">
      <c r="A419" t="s">
        <v>5971</v>
      </c>
      <c r="B419" t="s">
        <v>5972</v>
      </c>
      <c r="C419" t="s">
        <v>1602</v>
      </c>
      <c r="D419" t="s">
        <v>5973</v>
      </c>
      <c r="E419" t="s">
        <v>4</v>
      </c>
      <c r="F419">
        <v>627</v>
      </c>
      <c r="G419">
        <v>674</v>
      </c>
      <c r="H419" t="s">
        <v>13</v>
      </c>
      <c r="I419" t="b">
        <v>0</v>
      </c>
      <c r="J419">
        <f t="shared" si="12"/>
        <v>0</v>
      </c>
      <c r="K419" t="str">
        <f t="shared" si="13"/>
        <v>Neutral</v>
      </c>
    </row>
    <row r="420" spans="1:11" x14ac:dyDescent="0.2">
      <c r="A420" t="s">
        <v>6464</v>
      </c>
      <c r="B420" t="s">
        <v>6465</v>
      </c>
      <c r="C420" t="s">
        <v>358</v>
      </c>
      <c r="D420" t="s">
        <v>6466</v>
      </c>
      <c r="E420" t="s">
        <v>4</v>
      </c>
      <c r="F420">
        <v>1554</v>
      </c>
      <c r="G420">
        <v>390</v>
      </c>
      <c r="H420" t="s">
        <v>13</v>
      </c>
      <c r="I420" t="b">
        <v>0</v>
      </c>
      <c r="J420">
        <f t="shared" si="12"/>
        <v>10</v>
      </c>
      <c r="K420" t="str">
        <f t="shared" si="13"/>
        <v>Positive</v>
      </c>
    </row>
    <row r="421" spans="1:11" x14ac:dyDescent="0.2">
      <c r="A421" t="s">
        <v>3892</v>
      </c>
      <c r="B421" t="s">
        <v>3893</v>
      </c>
      <c r="C421" t="s">
        <v>1413</v>
      </c>
      <c r="D421" t="s">
        <v>3</v>
      </c>
      <c r="E421" t="s">
        <v>4</v>
      </c>
      <c r="F421">
        <v>212</v>
      </c>
      <c r="G421">
        <v>306</v>
      </c>
      <c r="H421" t="s">
        <v>50</v>
      </c>
      <c r="I421" t="b">
        <v>0</v>
      </c>
      <c r="J421">
        <f t="shared" si="12"/>
        <v>0</v>
      </c>
      <c r="K421" t="str">
        <f t="shared" si="13"/>
        <v>Neutral</v>
      </c>
    </row>
    <row r="422" spans="1:11" x14ac:dyDescent="0.2">
      <c r="A422" t="s">
        <v>1607</v>
      </c>
      <c r="B422" t="s">
        <v>1608</v>
      </c>
      <c r="C422" t="s">
        <v>1609</v>
      </c>
      <c r="D422" t="s">
        <v>3</v>
      </c>
      <c r="E422" t="s">
        <v>4</v>
      </c>
      <c r="F422">
        <v>1039</v>
      </c>
      <c r="G422">
        <v>638</v>
      </c>
      <c r="H422" t="s">
        <v>13</v>
      </c>
      <c r="I422" t="b">
        <v>0</v>
      </c>
      <c r="J422">
        <f t="shared" si="12"/>
        <v>0</v>
      </c>
      <c r="K422" t="str">
        <f t="shared" si="13"/>
        <v>Neutral</v>
      </c>
    </row>
    <row r="423" spans="1:11" x14ac:dyDescent="0.2">
      <c r="A423" t="s">
        <v>4710</v>
      </c>
      <c r="B423" t="s">
        <v>4711</v>
      </c>
      <c r="C423" t="s">
        <v>4659</v>
      </c>
      <c r="D423" t="s">
        <v>4660</v>
      </c>
      <c r="E423" t="s">
        <v>4</v>
      </c>
      <c r="F423">
        <v>5169</v>
      </c>
      <c r="G423">
        <v>2709</v>
      </c>
      <c r="H423" t="s">
        <v>13</v>
      </c>
      <c r="I423" t="b">
        <v>0</v>
      </c>
      <c r="J423">
        <f t="shared" si="12"/>
        <v>20</v>
      </c>
      <c r="K423" t="str">
        <f t="shared" si="13"/>
        <v>Positive</v>
      </c>
    </row>
    <row r="424" spans="1:11" x14ac:dyDescent="0.2">
      <c r="A424" t="s">
        <v>102</v>
      </c>
      <c r="B424" t="s">
        <v>103</v>
      </c>
      <c r="C424" t="s">
        <v>104</v>
      </c>
      <c r="D424" t="s">
        <v>105</v>
      </c>
      <c r="E424" t="s">
        <v>4</v>
      </c>
      <c r="F424">
        <v>4</v>
      </c>
      <c r="G424">
        <v>54</v>
      </c>
      <c r="H424" t="s">
        <v>13</v>
      </c>
      <c r="I424" t="b">
        <v>0</v>
      </c>
      <c r="J424">
        <f t="shared" si="12"/>
        <v>0</v>
      </c>
      <c r="K424" t="str">
        <f t="shared" si="13"/>
        <v>Neutral</v>
      </c>
    </row>
    <row r="425" spans="1:11" x14ac:dyDescent="0.2">
      <c r="A425" t="s">
        <v>4166</v>
      </c>
      <c r="B425" t="s">
        <v>4167</v>
      </c>
      <c r="C425" t="s">
        <v>283</v>
      </c>
      <c r="D425" t="s">
        <v>4168</v>
      </c>
      <c r="E425" t="s">
        <v>4</v>
      </c>
      <c r="F425">
        <v>443</v>
      </c>
      <c r="G425">
        <v>944</v>
      </c>
      <c r="H425" t="s">
        <v>13</v>
      </c>
      <c r="I425" t="b">
        <v>0</v>
      </c>
      <c r="J425">
        <f t="shared" si="12"/>
        <v>0</v>
      </c>
      <c r="K425" t="str">
        <f t="shared" si="13"/>
        <v>Neutral</v>
      </c>
    </row>
    <row r="426" spans="1:11" x14ac:dyDescent="0.2">
      <c r="A426" t="s">
        <v>6322</v>
      </c>
      <c r="B426" t="s">
        <v>6323</v>
      </c>
      <c r="C426" t="s">
        <v>565</v>
      </c>
      <c r="D426" t="s">
        <v>6324</v>
      </c>
      <c r="E426" t="s">
        <v>4</v>
      </c>
      <c r="F426">
        <v>182</v>
      </c>
      <c r="G426">
        <v>932</v>
      </c>
      <c r="H426" t="s">
        <v>13</v>
      </c>
      <c r="I426" t="b">
        <v>0</v>
      </c>
      <c r="J426">
        <f t="shared" si="12"/>
        <v>0</v>
      </c>
      <c r="K426" t="str">
        <f t="shared" si="13"/>
        <v>Neutral</v>
      </c>
    </row>
    <row r="427" spans="1:11" x14ac:dyDescent="0.2">
      <c r="A427" t="s">
        <v>4199</v>
      </c>
      <c r="B427" t="s">
        <v>4200</v>
      </c>
      <c r="C427" t="s">
        <v>4201</v>
      </c>
      <c r="D427" t="s">
        <v>3847</v>
      </c>
      <c r="E427" t="s">
        <v>4</v>
      </c>
      <c r="F427">
        <v>135</v>
      </c>
      <c r="G427">
        <v>65</v>
      </c>
      <c r="H427" t="s">
        <v>13</v>
      </c>
      <c r="I427" t="b">
        <v>0</v>
      </c>
      <c r="J427">
        <f t="shared" si="12"/>
        <v>0</v>
      </c>
      <c r="K427" t="str">
        <f t="shared" si="13"/>
        <v>Neutral</v>
      </c>
    </row>
    <row r="428" spans="1:11" x14ac:dyDescent="0.2">
      <c r="A428" t="s">
        <v>6241</v>
      </c>
      <c r="B428" t="s">
        <v>6242</v>
      </c>
      <c r="C428" t="s">
        <v>6243</v>
      </c>
      <c r="D428" t="s">
        <v>6244</v>
      </c>
      <c r="E428" t="s">
        <v>4</v>
      </c>
      <c r="F428">
        <v>362</v>
      </c>
      <c r="G428">
        <v>131</v>
      </c>
      <c r="H428" t="s">
        <v>13</v>
      </c>
      <c r="I428" t="b">
        <v>0</v>
      </c>
      <c r="J428">
        <f t="shared" si="12"/>
        <v>0</v>
      </c>
      <c r="K428" t="str">
        <f t="shared" si="13"/>
        <v>Neutral</v>
      </c>
    </row>
    <row r="429" spans="1:11" x14ac:dyDescent="0.2">
      <c r="A429" t="s">
        <v>3745</v>
      </c>
      <c r="B429" t="s">
        <v>3746</v>
      </c>
      <c r="C429" t="s">
        <v>3737</v>
      </c>
      <c r="D429" t="s">
        <v>3738</v>
      </c>
      <c r="E429" t="s">
        <v>4</v>
      </c>
      <c r="F429">
        <v>508</v>
      </c>
      <c r="G429">
        <v>1189</v>
      </c>
      <c r="H429" t="s">
        <v>13</v>
      </c>
      <c r="I429" t="b">
        <v>0</v>
      </c>
      <c r="J429">
        <f t="shared" si="12"/>
        <v>0</v>
      </c>
      <c r="K429" t="str">
        <f t="shared" si="13"/>
        <v>Neutral</v>
      </c>
    </row>
    <row r="430" spans="1:11" x14ac:dyDescent="0.2">
      <c r="A430" t="s">
        <v>2151</v>
      </c>
      <c r="B430" t="s">
        <v>2152</v>
      </c>
      <c r="C430" t="s">
        <v>1701</v>
      </c>
      <c r="D430" t="s">
        <v>3</v>
      </c>
      <c r="E430" t="s">
        <v>4</v>
      </c>
      <c r="F430">
        <v>97</v>
      </c>
      <c r="G430">
        <v>727</v>
      </c>
      <c r="H430" t="s">
        <v>13</v>
      </c>
      <c r="I430" t="b">
        <v>0</v>
      </c>
      <c r="J430">
        <f t="shared" si="12"/>
        <v>0</v>
      </c>
      <c r="K430" t="str">
        <f t="shared" si="13"/>
        <v>Neutral</v>
      </c>
    </row>
    <row r="431" spans="1:11" x14ac:dyDescent="0.2">
      <c r="A431" t="s">
        <v>6136</v>
      </c>
      <c r="B431" t="s">
        <v>6137</v>
      </c>
      <c r="C431" t="s">
        <v>5622</v>
      </c>
      <c r="D431" t="s">
        <v>6138</v>
      </c>
      <c r="E431" t="s">
        <v>4</v>
      </c>
      <c r="F431">
        <v>1532</v>
      </c>
      <c r="G431">
        <v>296</v>
      </c>
      <c r="H431" t="s">
        <v>13</v>
      </c>
      <c r="I431" t="b">
        <v>0</v>
      </c>
      <c r="J431">
        <f t="shared" si="12"/>
        <v>10</v>
      </c>
      <c r="K431" t="str">
        <f t="shared" si="13"/>
        <v>Positive</v>
      </c>
    </row>
    <row r="432" spans="1:11" x14ac:dyDescent="0.2">
      <c r="A432" t="s">
        <v>726</v>
      </c>
      <c r="B432" t="s">
        <v>727</v>
      </c>
      <c r="C432" t="s">
        <v>353</v>
      </c>
      <c r="D432" t="s">
        <v>3</v>
      </c>
      <c r="E432" t="s">
        <v>4</v>
      </c>
      <c r="F432">
        <v>6</v>
      </c>
      <c r="G432">
        <v>77</v>
      </c>
      <c r="H432" t="s">
        <v>13</v>
      </c>
      <c r="I432" t="b">
        <v>0</v>
      </c>
      <c r="J432">
        <f t="shared" si="12"/>
        <v>-20</v>
      </c>
      <c r="K432" t="str">
        <f t="shared" si="13"/>
        <v>Negative</v>
      </c>
    </row>
    <row r="433" spans="1:11" x14ac:dyDescent="0.2">
      <c r="A433" t="s">
        <v>3776</v>
      </c>
      <c r="B433" t="s">
        <v>3777</v>
      </c>
      <c r="C433" t="s">
        <v>3778</v>
      </c>
      <c r="D433" t="s">
        <v>1640</v>
      </c>
      <c r="E433" t="s">
        <v>4</v>
      </c>
      <c r="F433">
        <v>79</v>
      </c>
      <c r="G433">
        <v>569</v>
      </c>
      <c r="H433" t="s">
        <v>13</v>
      </c>
      <c r="I433" t="b">
        <v>0</v>
      </c>
      <c r="J433">
        <f t="shared" si="12"/>
        <v>0</v>
      </c>
      <c r="K433" t="str">
        <f t="shared" si="13"/>
        <v>Neutral</v>
      </c>
    </row>
    <row r="434" spans="1:11" x14ac:dyDescent="0.2">
      <c r="A434" t="s">
        <v>7043</v>
      </c>
      <c r="B434" t="s">
        <v>7044</v>
      </c>
      <c r="C434" t="s">
        <v>279</v>
      </c>
      <c r="D434" t="s">
        <v>569</v>
      </c>
      <c r="E434" t="s">
        <v>4</v>
      </c>
      <c r="F434">
        <v>298</v>
      </c>
      <c r="G434">
        <v>310</v>
      </c>
      <c r="H434" t="s">
        <v>13</v>
      </c>
      <c r="I434" t="b">
        <v>0</v>
      </c>
      <c r="J434">
        <f t="shared" si="12"/>
        <v>0</v>
      </c>
      <c r="K434" t="str">
        <f t="shared" si="13"/>
        <v>Neutral</v>
      </c>
    </row>
    <row r="435" spans="1:11" x14ac:dyDescent="0.2">
      <c r="A435" t="s">
        <v>3840</v>
      </c>
      <c r="B435" t="s">
        <v>3841</v>
      </c>
      <c r="C435" t="s">
        <v>1548</v>
      </c>
      <c r="D435" t="s">
        <v>101</v>
      </c>
      <c r="E435" t="s">
        <v>4</v>
      </c>
      <c r="F435">
        <v>310</v>
      </c>
      <c r="G435">
        <v>378</v>
      </c>
      <c r="H435" t="s">
        <v>33</v>
      </c>
      <c r="I435" t="b">
        <v>0</v>
      </c>
      <c r="J435">
        <f t="shared" si="12"/>
        <v>0</v>
      </c>
      <c r="K435" t="str">
        <f t="shared" si="13"/>
        <v>Neutral</v>
      </c>
    </row>
    <row r="436" spans="1:11" x14ac:dyDescent="0.2">
      <c r="A436" t="s">
        <v>1849</v>
      </c>
      <c r="B436" t="s">
        <v>1850</v>
      </c>
      <c r="C436" t="s">
        <v>1851</v>
      </c>
      <c r="D436" t="s">
        <v>1852</v>
      </c>
      <c r="E436" t="s">
        <v>4</v>
      </c>
      <c r="F436">
        <v>25</v>
      </c>
      <c r="G436">
        <v>78</v>
      </c>
      <c r="H436" t="s">
        <v>50</v>
      </c>
      <c r="I436" t="b">
        <v>0</v>
      </c>
      <c r="J436">
        <f t="shared" si="12"/>
        <v>0</v>
      </c>
      <c r="K436" t="str">
        <f t="shared" si="13"/>
        <v>Neutral</v>
      </c>
    </row>
    <row r="437" spans="1:11" x14ac:dyDescent="0.2">
      <c r="A437" t="s">
        <v>22</v>
      </c>
      <c r="B437" t="s">
        <v>23</v>
      </c>
      <c r="C437" t="s">
        <v>24</v>
      </c>
      <c r="D437" t="s">
        <v>25</v>
      </c>
      <c r="E437" t="s">
        <v>4</v>
      </c>
      <c r="F437">
        <v>28</v>
      </c>
      <c r="G437">
        <v>12</v>
      </c>
      <c r="H437" t="s">
        <v>13</v>
      </c>
      <c r="I437" t="b">
        <v>0</v>
      </c>
      <c r="J437">
        <f t="shared" si="12"/>
        <v>-10</v>
      </c>
      <c r="K437" t="str">
        <f t="shared" si="13"/>
        <v>Negative</v>
      </c>
    </row>
    <row r="438" spans="1:11" x14ac:dyDescent="0.2">
      <c r="A438" t="s">
        <v>3920</v>
      </c>
      <c r="B438" t="s">
        <v>3921</v>
      </c>
      <c r="C438" t="s">
        <v>2646</v>
      </c>
      <c r="D438" t="s">
        <v>3690</v>
      </c>
      <c r="E438" t="s">
        <v>4</v>
      </c>
      <c r="F438">
        <v>39272</v>
      </c>
      <c r="G438">
        <v>193</v>
      </c>
      <c r="H438" t="s">
        <v>13</v>
      </c>
      <c r="I438" t="b">
        <v>0</v>
      </c>
      <c r="J438">
        <f t="shared" si="12"/>
        <v>10</v>
      </c>
      <c r="K438" t="str">
        <f t="shared" si="13"/>
        <v>Positive</v>
      </c>
    </row>
    <row r="439" spans="1:11" x14ac:dyDescent="0.2">
      <c r="A439" t="s">
        <v>4202</v>
      </c>
      <c r="B439" t="s">
        <v>4203</v>
      </c>
      <c r="C439" t="s">
        <v>4204</v>
      </c>
      <c r="D439" t="s">
        <v>4205</v>
      </c>
      <c r="E439" t="s">
        <v>4</v>
      </c>
      <c r="F439">
        <v>16</v>
      </c>
      <c r="G439">
        <v>269</v>
      </c>
      <c r="H439" t="s">
        <v>13</v>
      </c>
      <c r="I439" t="b">
        <v>0</v>
      </c>
      <c r="J439">
        <f t="shared" si="12"/>
        <v>0</v>
      </c>
      <c r="K439" t="str">
        <f t="shared" si="13"/>
        <v>Neutral</v>
      </c>
    </row>
    <row r="440" spans="1:11" x14ac:dyDescent="0.2">
      <c r="A440" t="s">
        <v>4341</v>
      </c>
      <c r="B440" t="s">
        <v>4342</v>
      </c>
      <c r="C440" t="s">
        <v>151</v>
      </c>
      <c r="D440" t="s">
        <v>3</v>
      </c>
      <c r="E440" t="s">
        <v>4</v>
      </c>
      <c r="F440">
        <v>39</v>
      </c>
      <c r="G440">
        <v>114</v>
      </c>
      <c r="H440" t="s">
        <v>13</v>
      </c>
      <c r="I440" t="b">
        <v>0</v>
      </c>
      <c r="J440">
        <f t="shared" si="12"/>
        <v>0</v>
      </c>
      <c r="K440" t="str">
        <f t="shared" si="13"/>
        <v>Neutral</v>
      </c>
    </row>
    <row r="441" spans="1:11" x14ac:dyDescent="0.2">
      <c r="A441" t="s">
        <v>919</v>
      </c>
      <c r="B441" t="s">
        <v>920</v>
      </c>
      <c r="C441" t="s">
        <v>921</v>
      </c>
      <c r="D441" t="s">
        <v>734</v>
      </c>
      <c r="E441" t="s">
        <v>4</v>
      </c>
      <c r="F441">
        <v>144</v>
      </c>
      <c r="G441">
        <v>303</v>
      </c>
      <c r="H441" t="s">
        <v>13</v>
      </c>
      <c r="I441" t="b">
        <v>0</v>
      </c>
      <c r="J441">
        <f t="shared" si="12"/>
        <v>10</v>
      </c>
      <c r="K441" t="str">
        <f t="shared" si="13"/>
        <v>Positive</v>
      </c>
    </row>
    <row r="442" spans="1:11" x14ac:dyDescent="0.2">
      <c r="A442" t="s">
        <v>3182</v>
      </c>
      <c r="B442" t="s">
        <v>3183</v>
      </c>
      <c r="C442" t="s">
        <v>3184</v>
      </c>
      <c r="D442" t="s">
        <v>3185</v>
      </c>
      <c r="E442" t="s">
        <v>4</v>
      </c>
      <c r="F442">
        <v>61</v>
      </c>
      <c r="G442">
        <v>246</v>
      </c>
      <c r="H442" t="s">
        <v>13</v>
      </c>
      <c r="I442" t="b">
        <v>0</v>
      </c>
      <c r="J442">
        <f t="shared" si="12"/>
        <v>0</v>
      </c>
      <c r="K442" t="str">
        <f t="shared" si="13"/>
        <v>Neutral</v>
      </c>
    </row>
    <row r="443" spans="1:11" x14ac:dyDescent="0.2">
      <c r="A443" t="s">
        <v>4997</v>
      </c>
      <c r="B443" t="s">
        <v>4998</v>
      </c>
      <c r="C443" t="s">
        <v>3164</v>
      </c>
      <c r="D443" t="s">
        <v>4999</v>
      </c>
      <c r="E443" t="s">
        <v>4</v>
      </c>
      <c r="F443">
        <v>336</v>
      </c>
      <c r="G443">
        <v>158</v>
      </c>
      <c r="H443" t="s">
        <v>13</v>
      </c>
      <c r="I443" t="b">
        <v>0</v>
      </c>
      <c r="J443">
        <f t="shared" si="12"/>
        <v>0</v>
      </c>
      <c r="K443" t="str">
        <f t="shared" si="13"/>
        <v>Neutral</v>
      </c>
    </row>
    <row r="444" spans="1:11" x14ac:dyDescent="0.2">
      <c r="A444" t="s">
        <v>4537</v>
      </c>
      <c r="B444" t="s">
        <v>4538</v>
      </c>
      <c r="C444" t="s">
        <v>1596</v>
      </c>
      <c r="D444" t="s">
        <v>1597</v>
      </c>
      <c r="E444" t="s">
        <v>4</v>
      </c>
      <c r="F444">
        <v>4</v>
      </c>
      <c r="G444">
        <v>0</v>
      </c>
      <c r="H444" t="s">
        <v>13</v>
      </c>
      <c r="I444" t="b">
        <v>0</v>
      </c>
      <c r="J444">
        <f t="shared" si="12"/>
        <v>0</v>
      </c>
      <c r="K444" t="str">
        <f t="shared" si="13"/>
        <v>Neutral</v>
      </c>
    </row>
    <row r="445" spans="1:11" x14ac:dyDescent="0.2">
      <c r="A445" t="s">
        <v>4148</v>
      </c>
      <c r="B445" t="s">
        <v>4149</v>
      </c>
      <c r="C445" t="s">
        <v>177</v>
      </c>
      <c r="D445" t="s">
        <v>3</v>
      </c>
      <c r="E445" t="s">
        <v>4</v>
      </c>
      <c r="F445">
        <v>19</v>
      </c>
      <c r="G445">
        <v>51</v>
      </c>
      <c r="H445" t="s">
        <v>13</v>
      </c>
      <c r="I445" t="b">
        <v>0</v>
      </c>
      <c r="J445">
        <f t="shared" si="12"/>
        <v>0</v>
      </c>
      <c r="K445" t="str">
        <f t="shared" si="13"/>
        <v>Neutral</v>
      </c>
    </row>
    <row r="446" spans="1:11" x14ac:dyDescent="0.2">
      <c r="A446" t="s">
        <v>3591</v>
      </c>
      <c r="B446" t="s">
        <v>3592</v>
      </c>
      <c r="C446" t="s">
        <v>104</v>
      </c>
      <c r="D446" t="s">
        <v>3593</v>
      </c>
      <c r="E446" t="s">
        <v>4</v>
      </c>
      <c r="F446">
        <v>154</v>
      </c>
      <c r="G446">
        <v>288</v>
      </c>
      <c r="H446" t="s">
        <v>13</v>
      </c>
      <c r="I446" t="b">
        <v>0</v>
      </c>
      <c r="J446">
        <f t="shared" si="12"/>
        <v>0</v>
      </c>
      <c r="K446" t="str">
        <f t="shared" si="13"/>
        <v>Neutral</v>
      </c>
    </row>
    <row r="447" spans="1:11" x14ac:dyDescent="0.2">
      <c r="A447" t="s">
        <v>3310</v>
      </c>
      <c r="B447" t="s">
        <v>3311</v>
      </c>
      <c r="C447" t="s">
        <v>305</v>
      </c>
      <c r="D447" t="s">
        <v>306</v>
      </c>
      <c r="E447" t="s">
        <v>4</v>
      </c>
      <c r="F447">
        <v>459</v>
      </c>
      <c r="G447">
        <v>133</v>
      </c>
      <c r="H447" t="s">
        <v>13</v>
      </c>
      <c r="I447" t="b">
        <v>0</v>
      </c>
      <c r="J447">
        <f t="shared" si="12"/>
        <v>0</v>
      </c>
      <c r="K447" t="str">
        <f t="shared" si="13"/>
        <v>Neutral</v>
      </c>
    </row>
    <row r="448" spans="1:11" x14ac:dyDescent="0.2">
      <c r="A448" t="s">
        <v>4308</v>
      </c>
      <c r="B448" t="s">
        <v>4309</v>
      </c>
      <c r="C448" t="s">
        <v>3293</v>
      </c>
      <c r="D448" t="s">
        <v>3</v>
      </c>
      <c r="E448" t="s">
        <v>4</v>
      </c>
      <c r="F448">
        <v>12</v>
      </c>
      <c r="G448">
        <v>35</v>
      </c>
      <c r="H448" t="s">
        <v>13</v>
      </c>
      <c r="I448" t="b">
        <v>0</v>
      </c>
      <c r="J448">
        <f t="shared" si="12"/>
        <v>-10</v>
      </c>
      <c r="K448" t="str">
        <f t="shared" si="13"/>
        <v>Negative</v>
      </c>
    </row>
    <row r="449" spans="1:11" x14ac:dyDescent="0.2">
      <c r="A449" t="s">
        <v>5332</v>
      </c>
      <c r="B449" t="s">
        <v>5333</v>
      </c>
      <c r="C449" t="s">
        <v>279</v>
      </c>
      <c r="D449" t="s">
        <v>569</v>
      </c>
      <c r="E449" t="s">
        <v>4</v>
      </c>
      <c r="F449">
        <v>299</v>
      </c>
      <c r="G449">
        <v>310</v>
      </c>
      <c r="H449" t="s">
        <v>13</v>
      </c>
      <c r="I449" t="b">
        <v>0</v>
      </c>
      <c r="J449">
        <f t="shared" si="12"/>
        <v>0</v>
      </c>
      <c r="K449" t="str">
        <f t="shared" si="13"/>
        <v>Neutral</v>
      </c>
    </row>
    <row r="450" spans="1:11" x14ac:dyDescent="0.2">
      <c r="A450" t="s">
        <v>2031</v>
      </c>
      <c r="B450" t="s">
        <v>2032</v>
      </c>
      <c r="C450" t="s">
        <v>2033</v>
      </c>
      <c r="D450" t="s">
        <v>113</v>
      </c>
      <c r="E450" t="s">
        <v>4</v>
      </c>
      <c r="F450">
        <v>648</v>
      </c>
      <c r="G450">
        <v>45</v>
      </c>
      <c r="H450" t="s">
        <v>13</v>
      </c>
      <c r="I450" t="b">
        <v>0</v>
      </c>
      <c r="J450">
        <f t="shared" si="12"/>
        <v>0</v>
      </c>
      <c r="K450" t="str">
        <f t="shared" si="13"/>
        <v>Neutral</v>
      </c>
    </row>
    <row r="451" spans="1:11" x14ac:dyDescent="0.2">
      <c r="A451" t="s">
        <v>6278</v>
      </c>
      <c r="B451" t="s">
        <v>6279</v>
      </c>
      <c r="C451" t="s">
        <v>6280</v>
      </c>
      <c r="D451" t="s">
        <v>6281</v>
      </c>
      <c r="E451" t="s">
        <v>4</v>
      </c>
      <c r="F451">
        <v>12</v>
      </c>
      <c r="G451">
        <v>54</v>
      </c>
      <c r="H451" t="s">
        <v>342</v>
      </c>
      <c r="I451" t="b">
        <v>0</v>
      </c>
      <c r="J451">
        <f t="shared" ref="J451:J514" si="14">sentimentCalc(B451)</f>
        <v>0</v>
      </c>
      <c r="K451" t="str">
        <f t="shared" ref="K451:K514" si="15">sentimentCategory(J451)</f>
        <v>Neutral</v>
      </c>
    </row>
    <row r="452" spans="1:11" x14ac:dyDescent="0.2">
      <c r="A452" t="s">
        <v>3251</v>
      </c>
      <c r="B452" t="s">
        <v>3255</v>
      </c>
      <c r="C452" t="s">
        <v>818</v>
      </c>
      <c r="D452" t="s">
        <v>3256</v>
      </c>
      <c r="E452" t="s">
        <v>4</v>
      </c>
      <c r="F452">
        <v>719</v>
      </c>
      <c r="G452">
        <v>733</v>
      </c>
      <c r="H452" t="s">
        <v>13</v>
      </c>
      <c r="I452" t="b">
        <v>0</v>
      </c>
      <c r="J452">
        <f t="shared" si="14"/>
        <v>-10</v>
      </c>
      <c r="K452" t="str">
        <f t="shared" si="15"/>
        <v>Negative</v>
      </c>
    </row>
    <row r="453" spans="1:11" x14ac:dyDescent="0.2">
      <c r="A453" t="s">
        <v>2575</v>
      </c>
      <c r="B453" t="s">
        <v>2576</v>
      </c>
      <c r="C453" t="s">
        <v>2577</v>
      </c>
      <c r="D453" t="s">
        <v>2578</v>
      </c>
      <c r="E453" t="s">
        <v>4</v>
      </c>
      <c r="F453">
        <v>67</v>
      </c>
      <c r="G453">
        <v>152</v>
      </c>
      <c r="H453" t="s">
        <v>13</v>
      </c>
      <c r="I453" t="b">
        <v>0</v>
      </c>
      <c r="J453">
        <f t="shared" si="14"/>
        <v>0</v>
      </c>
      <c r="K453" t="str">
        <f t="shared" si="15"/>
        <v>Neutral</v>
      </c>
    </row>
    <row r="454" spans="1:11" x14ac:dyDescent="0.2">
      <c r="A454" t="s">
        <v>1767</v>
      </c>
      <c r="B454" t="s">
        <v>1768</v>
      </c>
      <c r="C454" t="s">
        <v>353</v>
      </c>
      <c r="D454" t="s">
        <v>3</v>
      </c>
      <c r="E454" t="s">
        <v>4</v>
      </c>
      <c r="F454">
        <v>6</v>
      </c>
      <c r="G454">
        <v>77</v>
      </c>
      <c r="H454" t="s">
        <v>13</v>
      </c>
      <c r="I454" t="b">
        <v>0</v>
      </c>
      <c r="J454">
        <f t="shared" si="14"/>
        <v>-30</v>
      </c>
      <c r="K454" t="str">
        <f t="shared" si="15"/>
        <v>Negative</v>
      </c>
    </row>
    <row r="455" spans="1:11" x14ac:dyDescent="0.2">
      <c r="A455" t="s">
        <v>6740</v>
      </c>
      <c r="B455" t="s">
        <v>6744</v>
      </c>
      <c r="C455" t="s">
        <v>1249</v>
      </c>
      <c r="D455" t="s">
        <v>2276</v>
      </c>
      <c r="E455" t="s">
        <v>4</v>
      </c>
      <c r="F455">
        <v>14</v>
      </c>
      <c r="G455">
        <v>157</v>
      </c>
      <c r="H455" t="s">
        <v>13</v>
      </c>
      <c r="I455" t="b">
        <v>0</v>
      </c>
      <c r="J455">
        <f t="shared" si="14"/>
        <v>0</v>
      </c>
      <c r="K455" t="str">
        <f t="shared" si="15"/>
        <v>Neutral</v>
      </c>
    </row>
    <row r="456" spans="1:11" x14ac:dyDescent="0.2">
      <c r="A456" t="s">
        <v>1388</v>
      </c>
      <c r="B456" t="s">
        <v>1389</v>
      </c>
      <c r="C456" t="s">
        <v>758</v>
      </c>
      <c r="D456" t="s">
        <v>3</v>
      </c>
      <c r="E456" t="s">
        <v>4</v>
      </c>
      <c r="F456">
        <v>697</v>
      </c>
      <c r="G456">
        <v>411</v>
      </c>
      <c r="H456" t="s">
        <v>13</v>
      </c>
      <c r="I456" t="b">
        <v>0</v>
      </c>
      <c r="J456">
        <f t="shared" si="14"/>
        <v>0</v>
      </c>
      <c r="K456" t="str">
        <f t="shared" si="15"/>
        <v>Neutral</v>
      </c>
    </row>
    <row r="457" spans="1:11" x14ac:dyDescent="0.2">
      <c r="A457" t="s">
        <v>375</v>
      </c>
      <c r="B457" t="s">
        <v>376</v>
      </c>
      <c r="C457" t="s">
        <v>377</v>
      </c>
      <c r="D457" t="s">
        <v>3</v>
      </c>
      <c r="E457" t="s">
        <v>4</v>
      </c>
      <c r="F457">
        <v>1438</v>
      </c>
      <c r="G457">
        <v>29</v>
      </c>
      <c r="H457" t="s">
        <v>50</v>
      </c>
      <c r="I457" t="b">
        <v>0</v>
      </c>
      <c r="J457">
        <f t="shared" si="14"/>
        <v>0</v>
      </c>
      <c r="K457" t="str">
        <f t="shared" si="15"/>
        <v>Neutral</v>
      </c>
    </row>
    <row r="458" spans="1:11" x14ac:dyDescent="0.2">
      <c r="A458" t="s">
        <v>5093</v>
      </c>
      <c r="B458" t="s">
        <v>5097</v>
      </c>
      <c r="C458" t="s">
        <v>2304</v>
      </c>
      <c r="D458" t="s">
        <v>101</v>
      </c>
      <c r="E458" t="s">
        <v>4</v>
      </c>
      <c r="F458">
        <v>548</v>
      </c>
      <c r="G458">
        <v>932</v>
      </c>
      <c r="H458" t="s">
        <v>33</v>
      </c>
      <c r="I458" t="b">
        <v>0</v>
      </c>
      <c r="J458">
        <f t="shared" si="14"/>
        <v>0</v>
      </c>
      <c r="K458" t="str">
        <f t="shared" si="15"/>
        <v>Neutral</v>
      </c>
    </row>
    <row r="459" spans="1:11" x14ac:dyDescent="0.2">
      <c r="A459" t="s">
        <v>356</v>
      </c>
      <c r="B459" t="s">
        <v>357</v>
      </c>
      <c r="C459" t="s">
        <v>358</v>
      </c>
      <c r="D459" t="s">
        <v>359</v>
      </c>
      <c r="E459" t="s">
        <v>4</v>
      </c>
      <c r="F459">
        <v>9948</v>
      </c>
      <c r="G459">
        <v>389</v>
      </c>
      <c r="H459" t="s">
        <v>13</v>
      </c>
      <c r="I459" t="b">
        <v>0</v>
      </c>
      <c r="J459">
        <f t="shared" si="14"/>
        <v>-10</v>
      </c>
      <c r="K459" t="str">
        <f t="shared" si="15"/>
        <v>Negative</v>
      </c>
    </row>
    <row r="460" spans="1:11" x14ac:dyDescent="0.2">
      <c r="A460" t="s">
        <v>7137</v>
      </c>
      <c r="B460" t="s">
        <v>7138</v>
      </c>
      <c r="C460" t="s">
        <v>7139</v>
      </c>
      <c r="D460" t="s">
        <v>3</v>
      </c>
      <c r="E460" t="s">
        <v>4</v>
      </c>
      <c r="F460">
        <v>3764</v>
      </c>
      <c r="G460">
        <v>508</v>
      </c>
      <c r="H460" t="s">
        <v>13</v>
      </c>
      <c r="I460" t="b">
        <v>0</v>
      </c>
      <c r="J460">
        <f t="shared" si="14"/>
        <v>0</v>
      </c>
      <c r="K460" t="str">
        <f t="shared" si="15"/>
        <v>Neutral</v>
      </c>
    </row>
    <row r="461" spans="1:11" x14ac:dyDescent="0.2">
      <c r="A461" t="s">
        <v>3667</v>
      </c>
      <c r="B461" t="s">
        <v>3668</v>
      </c>
      <c r="C461" t="s">
        <v>3669</v>
      </c>
      <c r="D461" t="s">
        <v>3670</v>
      </c>
      <c r="E461" t="s">
        <v>4</v>
      </c>
      <c r="F461">
        <v>116</v>
      </c>
      <c r="G461">
        <v>250</v>
      </c>
      <c r="H461" t="s">
        <v>114</v>
      </c>
      <c r="I461" t="b">
        <v>0</v>
      </c>
      <c r="J461">
        <f t="shared" si="14"/>
        <v>0</v>
      </c>
      <c r="K461" t="str">
        <f t="shared" si="15"/>
        <v>Neutral</v>
      </c>
    </row>
    <row r="462" spans="1:11" x14ac:dyDescent="0.2">
      <c r="A462" t="s">
        <v>760</v>
      </c>
      <c r="B462" t="s">
        <v>761</v>
      </c>
      <c r="C462" t="s">
        <v>608</v>
      </c>
      <c r="D462" t="s">
        <v>3</v>
      </c>
      <c r="E462" t="s">
        <v>4</v>
      </c>
      <c r="F462">
        <v>428</v>
      </c>
      <c r="G462">
        <v>599</v>
      </c>
      <c r="H462" t="s">
        <v>13</v>
      </c>
      <c r="I462" t="b">
        <v>0</v>
      </c>
      <c r="J462">
        <f t="shared" si="14"/>
        <v>0</v>
      </c>
      <c r="K462" t="str">
        <f t="shared" si="15"/>
        <v>Neutral</v>
      </c>
    </row>
    <row r="463" spans="1:11" x14ac:dyDescent="0.2">
      <c r="A463" t="s">
        <v>768</v>
      </c>
      <c r="B463" t="s">
        <v>769</v>
      </c>
      <c r="C463" t="s">
        <v>770</v>
      </c>
      <c r="D463" t="s">
        <v>3</v>
      </c>
      <c r="E463" t="s">
        <v>4</v>
      </c>
      <c r="F463">
        <v>141</v>
      </c>
      <c r="G463">
        <v>292</v>
      </c>
      <c r="H463" t="s">
        <v>13</v>
      </c>
      <c r="I463" t="b">
        <v>0</v>
      </c>
      <c r="J463">
        <f t="shared" si="14"/>
        <v>20</v>
      </c>
      <c r="K463" t="str">
        <f t="shared" si="15"/>
        <v>Positive</v>
      </c>
    </row>
    <row r="464" spans="1:11" x14ac:dyDescent="0.2">
      <c r="A464" t="s">
        <v>3406</v>
      </c>
      <c r="B464" t="s">
        <v>3407</v>
      </c>
      <c r="C464" t="s">
        <v>3408</v>
      </c>
      <c r="D464" t="s">
        <v>1427</v>
      </c>
      <c r="E464" t="s">
        <v>4</v>
      </c>
      <c r="F464">
        <v>27</v>
      </c>
      <c r="G464">
        <v>141</v>
      </c>
      <c r="H464" t="s">
        <v>86</v>
      </c>
      <c r="I464" t="b">
        <v>0</v>
      </c>
      <c r="J464">
        <f t="shared" si="14"/>
        <v>0</v>
      </c>
      <c r="K464" t="str">
        <f t="shared" si="15"/>
        <v>Neutral</v>
      </c>
    </row>
    <row r="465" spans="1:11" x14ac:dyDescent="0.2">
      <c r="A465" t="s">
        <v>6833</v>
      </c>
      <c r="B465" t="s">
        <v>6834</v>
      </c>
      <c r="C465" t="s">
        <v>2942</v>
      </c>
      <c r="D465" t="s">
        <v>6835</v>
      </c>
      <c r="E465" t="s">
        <v>4</v>
      </c>
      <c r="F465">
        <v>2725</v>
      </c>
      <c r="G465">
        <v>3875</v>
      </c>
      <c r="H465" t="s">
        <v>13</v>
      </c>
      <c r="I465" t="b">
        <v>0</v>
      </c>
      <c r="J465">
        <f t="shared" si="14"/>
        <v>0</v>
      </c>
      <c r="K465" t="str">
        <f t="shared" si="15"/>
        <v>Neutral</v>
      </c>
    </row>
    <row r="466" spans="1:11" x14ac:dyDescent="0.2">
      <c r="A466" t="s">
        <v>4645</v>
      </c>
      <c r="B466" t="s">
        <v>4646</v>
      </c>
      <c r="C466" t="s">
        <v>4647</v>
      </c>
      <c r="D466" t="s">
        <v>3</v>
      </c>
      <c r="E466" t="s">
        <v>4</v>
      </c>
      <c r="F466">
        <v>3795</v>
      </c>
      <c r="G466">
        <v>95</v>
      </c>
      <c r="H466" t="s">
        <v>50</v>
      </c>
      <c r="I466" t="b">
        <v>0</v>
      </c>
      <c r="J466">
        <f t="shared" si="14"/>
        <v>0</v>
      </c>
      <c r="K466" t="str">
        <f t="shared" si="15"/>
        <v>Neutral</v>
      </c>
    </row>
    <row r="467" spans="1:11" x14ac:dyDescent="0.2">
      <c r="A467" t="s">
        <v>5284</v>
      </c>
      <c r="B467" t="s">
        <v>5285</v>
      </c>
      <c r="C467" t="s">
        <v>1324</v>
      </c>
      <c r="D467" t="s">
        <v>3</v>
      </c>
      <c r="E467" t="s">
        <v>4</v>
      </c>
      <c r="F467">
        <v>1</v>
      </c>
      <c r="G467">
        <v>42</v>
      </c>
      <c r="H467" t="s">
        <v>13</v>
      </c>
      <c r="I467" t="b">
        <v>0</v>
      </c>
      <c r="J467">
        <f t="shared" si="14"/>
        <v>10</v>
      </c>
      <c r="K467" t="str">
        <f t="shared" si="15"/>
        <v>Positive</v>
      </c>
    </row>
    <row r="468" spans="1:11" x14ac:dyDescent="0.2">
      <c r="A468" t="s">
        <v>3624</v>
      </c>
      <c r="B468" t="s">
        <v>3625</v>
      </c>
      <c r="C468" t="s">
        <v>487</v>
      </c>
      <c r="D468" t="s">
        <v>3</v>
      </c>
      <c r="E468" t="s">
        <v>4</v>
      </c>
      <c r="F468">
        <v>14</v>
      </c>
      <c r="G468">
        <v>5</v>
      </c>
      <c r="H468" t="s">
        <v>13</v>
      </c>
      <c r="I468" t="b">
        <v>0</v>
      </c>
      <c r="J468">
        <f t="shared" si="14"/>
        <v>0</v>
      </c>
      <c r="K468" t="str">
        <f t="shared" si="15"/>
        <v>Neutral</v>
      </c>
    </row>
    <row r="469" spans="1:11" x14ac:dyDescent="0.2">
      <c r="A469" t="s">
        <v>7140</v>
      </c>
      <c r="B469" t="s">
        <v>7141</v>
      </c>
      <c r="C469" t="s">
        <v>293</v>
      </c>
      <c r="D469" t="s">
        <v>3</v>
      </c>
      <c r="E469" t="s">
        <v>4</v>
      </c>
      <c r="F469">
        <v>3637</v>
      </c>
      <c r="G469">
        <v>3735</v>
      </c>
      <c r="H469" t="s">
        <v>13</v>
      </c>
      <c r="I469" t="b">
        <v>0</v>
      </c>
      <c r="J469">
        <f t="shared" si="14"/>
        <v>10</v>
      </c>
      <c r="K469" t="str">
        <f t="shared" si="15"/>
        <v>Positive</v>
      </c>
    </row>
    <row r="470" spans="1:11" x14ac:dyDescent="0.2">
      <c r="A470" t="s">
        <v>2889</v>
      </c>
      <c r="B470" t="s">
        <v>2890</v>
      </c>
      <c r="C470" t="s">
        <v>2028</v>
      </c>
      <c r="D470" t="s">
        <v>2771</v>
      </c>
      <c r="E470" t="s">
        <v>4</v>
      </c>
      <c r="F470">
        <v>1322</v>
      </c>
      <c r="G470">
        <v>1009</v>
      </c>
      <c r="H470" t="s">
        <v>13</v>
      </c>
      <c r="I470" t="b">
        <v>0</v>
      </c>
      <c r="J470">
        <f t="shared" si="14"/>
        <v>-10</v>
      </c>
      <c r="K470" t="str">
        <f t="shared" si="15"/>
        <v>Negative</v>
      </c>
    </row>
    <row r="471" spans="1:11" x14ac:dyDescent="0.2">
      <c r="A471" t="s">
        <v>589</v>
      </c>
      <c r="B471" t="s">
        <v>590</v>
      </c>
      <c r="C471" t="s">
        <v>591</v>
      </c>
      <c r="D471" t="s">
        <v>592</v>
      </c>
      <c r="E471" t="s">
        <v>4</v>
      </c>
      <c r="F471">
        <v>1</v>
      </c>
      <c r="G471">
        <v>0</v>
      </c>
      <c r="H471" t="s">
        <v>13</v>
      </c>
      <c r="I471" t="b">
        <v>0</v>
      </c>
      <c r="J471">
        <f t="shared" si="14"/>
        <v>0</v>
      </c>
      <c r="K471" t="str">
        <f t="shared" si="15"/>
        <v>Neutral</v>
      </c>
    </row>
    <row r="472" spans="1:11" x14ac:dyDescent="0.2">
      <c r="A472" t="s">
        <v>1786</v>
      </c>
      <c r="B472" t="s">
        <v>1787</v>
      </c>
      <c r="C472" t="s">
        <v>1788</v>
      </c>
      <c r="D472" t="s">
        <v>3</v>
      </c>
      <c r="E472" t="s">
        <v>4</v>
      </c>
      <c r="F472">
        <v>619</v>
      </c>
      <c r="G472">
        <v>1376</v>
      </c>
      <c r="H472" t="s">
        <v>13</v>
      </c>
      <c r="I472" t="b">
        <v>0</v>
      </c>
      <c r="J472">
        <f t="shared" si="14"/>
        <v>10</v>
      </c>
      <c r="K472" t="str">
        <f t="shared" si="15"/>
        <v>Positive</v>
      </c>
    </row>
    <row r="473" spans="1:11" x14ac:dyDescent="0.2">
      <c r="A473" t="s">
        <v>1191</v>
      </c>
      <c r="B473" t="s">
        <v>1192</v>
      </c>
      <c r="C473" t="s">
        <v>1193</v>
      </c>
      <c r="D473" t="s">
        <v>1194</v>
      </c>
      <c r="E473" t="s">
        <v>4</v>
      </c>
      <c r="F473">
        <v>7993</v>
      </c>
      <c r="G473">
        <v>410</v>
      </c>
      <c r="H473" t="s">
        <v>13</v>
      </c>
      <c r="I473" t="b">
        <v>0</v>
      </c>
      <c r="J473">
        <f t="shared" si="14"/>
        <v>0</v>
      </c>
      <c r="K473" t="str">
        <f t="shared" si="15"/>
        <v>Neutral</v>
      </c>
    </row>
    <row r="474" spans="1:11" x14ac:dyDescent="0.2">
      <c r="A474" t="s">
        <v>7012</v>
      </c>
      <c r="B474" t="s">
        <v>7013</v>
      </c>
      <c r="C474" t="s">
        <v>97</v>
      </c>
      <c r="D474" t="s">
        <v>7014</v>
      </c>
      <c r="E474" t="s">
        <v>4</v>
      </c>
      <c r="F474">
        <v>360</v>
      </c>
      <c r="G474">
        <v>1610</v>
      </c>
      <c r="H474" t="s">
        <v>50</v>
      </c>
      <c r="I474" t="b">
        <v>0</v>
      </c>
      <c r="J474">
        <f t="shared" si="14"/>
        <v>10</v>
      </c>
      <c r="K474" t="str">
        <f t="shared" si="15"/>
        <v>Positive</v>
      </c>
    </row>
    <row r="475" spans="1:11" x14ac:dyDescent="0.2">
      <c r="A475" t="s">
        <v>5826</v>
      </c>
      <c r="B475" t="s">
        <v>5827</v>
      </c>
      <c r="C475" t="s">
        <v>640</v>
      </c>
      <c r="D475" t="s">
        <v>3</v>
      </c>
      <c r="E475" t="s">
        <v>4</v>
      </c>
      <c r="F475">
        <v>3087</v>
      </c>
      <c r="G475">
        <v>553</v>
      </c>
      <c r="H475" t="s">
        <v>13</v>
      </c>
      <c r="I475" t="b">
        <v>0</v>
      </c>
      <c r="J475">
        <f t="shared" si="14"/>
        <v>20</v>
      </c>
      <c r="K475" t="str">
        <f t="shared" si="15"/>
        <v>Positive</v>
      </c>
    </row>
    <row r="476" spans="1:11" x14ac:dyDescent="0.2">
      <c r="A476" t="s">
        <v>3801</v>
      </c>
      <c r="B476" t="s">
        <v>3802</v>
      </c>
      <c r="C476" t="s">
        <v>2102</v>
      </c>
      <c r="D476" t="s">
        <v>57</v>
      </c>
      <c r="E476" t="s">
        <v>38</v>
      </c>
      <c r="F476">
        <v>149787</v>
      </c>
      <c r="G476">
        <v>949</v>
      </c>
      <c r="H476" t="s">
        <v>5</v>
      </c>
      <c r="I476" t="b">
        <v>0</v>
      </c>
      <c r="J476">
        <f t="shared" si="14"/>
        <v>20</v>
      </c>
      <c r="K476" t="str">
        <f t="shared" si="15"/>
        <v>Positive</v>
      </c>
    </row>
    <row r="477" spans="1:11" x14ac:dyDescent="0.2">
      <c r="A477" t="s">
        <v>2967</v>
      </c>
      <c r="B477" t="s">
        <v>2968</v>
      </c>
      <c r="C477" t="s">
        <v>293</v>
      </c>
      <c r="D477" t="s">
        <v>3</v>
      </c>
      <c r="E477" t="s">
        <v>4</v>
      </c>
      <c r="F477">
        <v>3635</v>
      </c>
      <c r="G477">
        <v>3732</v>
      </c>
      <c r="H477" t="s">
        <v>13</v>
      </c>
      <c r="I477" t="b">
        <v>0</v>
      </c>
      <c r="J477">
        <f t="shared" si="14"/>
        <v>0</v>
      </c>
      <c r="K477" t="str">
        <f t="shared" si="15"/>
        <v>Neutral</v>
      </c>
    </row>
    <row r="478" spans="1:11" x14ac:dyDescent="0.2">
      <c r="A478" t="s">
        <v>4809</v>
      </c>
      <c r="B478" t="s">
        <v>4810</v>
      </c>
      <c r="C478" t="s">
        <v>1892</v>
      </c>
      <c r="D478" t="s">
        <v>4811</v>
      </c>
      <c r="E478" t="s">
        <v>4</v>
      </c>
      <c r="F478">
        <v>425</v>
      </c>
      <c r="G478">
        <v>330</v>
      </c>
      <c r="H478" t="s">
        <v>13</v>
      </c>
      <c r="I478" t="b">
        <v>0</v>
      </c>
      <c r="J478">
        <f t="shared" si="14"/>
        <v>0</v>
      </c>
      <c r="K478" t="str">
        <f t="shared" si="15"/>
        <v>Neutral</v>
      </c>
    </row>
    <row r="479" spans="1:11" x14ac:dyDescent="0.2">
      <c r="A479" t="s">
        <v>5390</v>
      </c>
      <c r="B479" t="s">
        <v>5391</v>
      </c>
      <c r="C479" t="s">
        <v>4541</v>
      </c>
      <c r="D479" t="s">
        <v>2720</v>
      </c>
      <c r="E479" t="s">
        <v>4</v>
      </c>
      <c r="F479">
        <v>5788</v>
      </c>
      <c r="G479">
        <v>6216</v>
      </c>
      <c r="H479" t="s">
        <v>13</v>
      </c>
      <c r="I479" t="b">
        <v>0</v>
      </c>
      <c r="J479">
        <f t="shared" si="14"/>
        <v>0</v>
      </c>
      <c r="K479" t="str">
        <f t="shared" si="15"/>
        <v>Neutral</v>
      </c>
    </row>
    <row r="480" spans="1:11" x14ac:dyDescent="0.2">
      <c r="A480" t="s">
        <v>4861</v>
      </c>
      <c r="B480" t="s">
        <v>4862</v>
      </c>
      <c r="C480" t="s">
        <v>4754</v>
      </c>
      <c r="D480" t="s">
        <v>3</v>
      </c>
      <c r="E480" t="s">
        <v>4</v>
      </c>
      <c r="F480">
        <v>18</v>
      </c>
      <c r="G480">
        <v>107</v>
      </c>
      <c r="H480" t="s">
        <v>13</v>
      </c>
      <c r="I480" t="b">
        <v>0</v>
      </c>
      <c r="J480">
        <f t="shared" si="14"/>
        <v>0</v>
      </c>
      <c r="K480" t="str">
        <f t="shared" si="15"/>
        <v>Neutral</v>
      </c>
    </row>
    <row r="481" spans="1:11" x14ac:dyDescent="0.2">
      <c r="A481" t="s">
        <v>4731</v>
      </c>
      <c r="B481" t="s">
        <v>4732</v>
      </c>
      <c r="C481" t="s">
        <v>1230</v>
      </c>
      <c r="D481" t="s">
        <v>320</v>
      </c>
      <c r="E481" t="s">
        <v>4</v>
      </c>
      <c r="F481">
        <v>595</v>
      </c>
      <c r="G481">
        <v>141</v>
      </c>
      <c r="H481" t="s">
        <v>13</v>
      </c>
      <c r="I481" t="b">
        <v>0</v>
      </c>
      <c r="J481">
        <f t="shared" si="14"/>
        <v>0</v>
      </c>
      <c r="K481" t="str">
        <f t="shared" si="15"/>
        <v>Neutral</v>
      </c>
    </row>
    <row r="482" spans="1:11" x14ac:dyDescent="0.2">
      <c r="A482" t="s">
        <v>953</v>
      </c>
      <c r="B482" t="s">
        <v>954</v>
      </c>
      <c r="C482" t="s">
        <v>955</v>
      </c>
      <c r="D482" t="s">
        <v>956</v>
      </c>
      <c r="E482" t="s">
        <v>4</v>
      </c>
      <c r="F482">
        <v>393</v>
      </c>
      <c r="G482">
        <v>888</v>
      </c>
      <c r="H482" t="s">
        <v>13</v>
      </c>
      <c r="I482" t="b">
        <v>0</v>
      </c>
      <c r="J482">
        <f t="shared" si="14"/>
        <v>20</v>
      </c>
      <c r="K482" t="str">
        <f t="shared" si="15"/>
        <v>Positive</v>
      </c>
    </row>
    <row r="483" spans="1:11" x14ac:dyDescent="0.2">
      <c r="A483" t="s">
        <v>4388</v>
      </c>
      <c r="B483" t="s">
        <v>4389</v>
      </c>
      <c r="C483" t="s">
        <v>212</v>
      </c>
      <c r="D483" t="s">
        <v>3</v>
      </c>
      <c r="E483" t="s">
        <v>4</v>
      </c>
      <c r="F483">
        <v>17687</v>
      </c>
      <c r="G483">
        <v>14204</v>
      </c>
      <c r="H483" t="s">
        <v>13</v>
      </c>
      <c r="I483" t="b">
        <v>0</v>
      </c>
      <c r="J483">
        <f t="shared" si="14"/>
        <v>10</v>
      </c>
      <c r="K483" t="str">
        <f t="shared" si="15"/>
        <v>Positive</v>
      </c>
    </row>
    <row r="484" spans="1:11" x14ac:dyDescent="0.2">
      <c r="A484" t="s">
        <v>5594</v>
      </c>
      <c r="B484" t="s">
        <v>5595</v>
      </c>
      <c r="C484" t="s">
        <v>1701</v>
      </c>
      <c r="D484" t="s">
        <v>705</v>
      </c>
      <c r="E484" t="s">
        <v>4</v>
      </c>
      <c r="F484">
        <v>24</v>
      </c>
      <c r="G484">
        <v>74</v>
      </c>
      <c r="H484" t="s">
        <v>13</v>
      </c>
      <c r="I484" t="b">
        <v>0</v>
      </c>
      <c r="J484">
        <f t="shared" si="14"/>
        <v>0</v>
      </c>
      <c r="K484" t="str">
        <f t="shared" si="15"/>
        <v>Neutral</v>
      </c>
    </row>
    <row r="485" spans="1:11" x14ac:dyDescent="0.2">
      <c r="A485" t="s">
        <v>5180</v>
      </c>
      <c r="B485" t="s">
        <v>5181</v>
      </c>
      <c r="C485" t="s">
        <v>4267</v>
      </c>
      <c r="D485" t="s">
        <v>5182</v>
      </c>
      <c r="E485" t="s">
        <v>4</v>
      </c>
      <c r="F485">
        <v>164</v>
      </c>
      <c r="G485">
        <v>77</v>
      </c>
      <c r="H485" t="s">
        <v>13</v>
      </c>
      <c r="I485" t="b">
        <v>0</v>
      </c>
      <c r="J485">
        <f t="shared" si="14"/>
        <v>0</v>
      </c>
      <c r="K485" t="str">
        <f t="shared" si="15"/>
        <v>Neutral</v>
      </c>
    </row>
    <row r="486" spans="1:11" x14ac:dyDescent="0.2">
      <c r="A486" t="s">
        <v>6100</v>
      </c>
      <c r="B486" t="s">
        <v>6101</v>
      </c>
      <c r="C486" t="s">
        <v>2230</v>
      </c>
      <c r="D486" t="s">
        <v>4473</v>
      </c>
      <c r="E486" t="s">
        <v>4</v>
      </c>
      <c r="F486">
        <v>1953</v>
      </c>
      <c r="G486">
        <v>2435</v>
      </c>
      <c r="H486" t="s">
        <v>13</v>
      </c>
      <c r="I486" t="b">
        <v>0</v>
      </c>
      <c r="J486">
        <f t="shared" si="14"/>
        <v>0</v>
      </c>
      <c r="K486" t="str">
        <f t="shared" si="15"/>
        <v>Neutral</v>
      </c>
    </row>
    <row r="487" spans="1:11" x14ac:dyDescent="0.2">
      <c r="A487" t="s">
        <v>4278</v>
      </c>
      <c r="B487" t="s">
        <v>4280</v>
      </c>
      <c r="C487" t="s">
        <v>4281</v>
      </c>
      <c r="D487" t="s">
        <v>4282</v>
      </c>
      <c r="E487" t="s">
        <v>4</v>
      </c>
      <c r="F487">
        <v>244</v>
      </c>
      <c r="G487">
        <v>240</v>
      </c>
      <c r="H487" t="s">
        <v>13</v>
      </c>
      <c r="I487" t="b">
        <v>0</v>
      </c>
      <c r="J487">
        <f t="shared" si="14"/>
        <v>0</v>
      </c>
      <c r="K487" t="str">
        <f t="shared" si="15"/>
        <v>Neutral</v>
      </c>
    </row>
    <row r="488" spans="1:11" x14ac:dyDescent="0.2">
      <c r="A488" t="s">
        <v>6067</v>
      </c>
      <c r="B488" t="s">
        <v>6068</v>
      </c>
      <c r="C488" t="s">
        <v>1201</v>
      </c>
      <c r="D488" t="s">
        <v>3</v>
      </c>
      <c r="E488" t="s">
        <v>4</v>
      </c>
      <c r="F488">
        <v>9</v>
      </c>
      <c r="G488">
        <v>232</v>
      </c>
      <c r="H488" t="s">
        <v>374</v>
      </c>
      <c r="I488" t="b">
        <v>0</v>
      </c>
      <c r="J488">
        <f t="shared" si="14"/>
        <v>0</v>
      </c>
      <c r="K488" t="str">
        <f t="shared" si="15"/>
        <v>Neutral</v>
      </c>
    </row>
    <row r="489" spans="1:11" x14ac:dyDescent="0.2">
      <c r="A489" t="s">
        <v>5790</v>
      </c>
      <c r="B489" t="s">
        <v>5791</v>
      </c>
      <c r="C489" t="s">
        <v>3041</v>
      </c>
      <c r="D489" t="s">
        <v>5792</v>
      </c>
      <c r="E489" t="s">
        <v>4</v>
      </c>
      <c r="F489">
        <v>11</v>
      </c>
      <c r="G489">
        <v>32</v>
      </c>
      <c r="H489" t="s">
        <v>13</v>
      </c>
      <c r="I489" t="b">
        <v>0</v>
      </c>
      <c r="J489">
        <f t="shared" si="14"/>
        <v>0</v>
      </c>
      <c r="K489" t="str">
        <f t="shared" si="15"/>
        <v>Neutral</v>
      </c>
    </row>
    <row r="490" spans="1:11" x14ac:dyDescent="0.2">
      <c r="A490" t="s">
        <v>4803</v>
      </c>
      <c r="B490" t="s">
        <v>4804</v>
      </c>
      <c r="C490" t="s">
        <v>161</v>
      </c>
      <c r="D490" t="s">
        <v>3</v>
      </c>
      <c r="E490" t="s">
        <v>4</v>
      </c>
      <c r="F490">
        <v>276</v>
      </c>
      <c r="G490">
        <v>503</v>
      </c>
      <c r="H490" t="s">
        <v>13</v>
      </c>
      <c r="I490" t="b">
        <v>0</v>
      </c>
      <c r="J490">
        <f t="shared" si="14"/>
        <v>-10</v>
      </c>
      <c r="K490" t="str">
        <f t="shared" si="15"/>
        <v>Negative</v>
      </c>
    </row>
    <row r="491" spans="1:11" x14ac:dyDescent="0.2">
      <c r="A491" t="s">
        <v>5912</v>
      </c>
      <c r="B491" t="s">
        <v>5913</v>
      </c>
      <c r="C491" t="s">
        <v>161</v>
      </c>
      <c r="D491" t="s">
        <v>3</v>
      </c>
      <c r="E491" t="s">
        <v>4</v>
      </c>
      <c r="F491">
        <v>276</v>
      </c>
      <c r="G491">
        <v>503</v>
      </c>
      <c r="H491" t="s">
        <v>13</v>
      </c>
      <c r="I491" t="b">
        <v>0</v>
      </c>
      <c r="J491">
        <f t="shared" si="14"/>
        <v>0</v>
      </c>
      <c r="K491" t="str">
        <f t="shared" si="15"/>
        <v>Neutral</v>
      </c>
    </row>
    <row r="492" spans="1:11" x14ac:dyDescent="0.2">
      <c r="A492" t="s">
        <v>521</v>
      </c>
      <c r="B492" t="s">
        <v>522</v>
      </c>
      <c r="C492" t="s">
        <v>171</v>
      </c>
      <c r="D492" t="s">
        <v>523</v>
      </c>
      <c r="E492" t="s">
        <v>4</v>
      </c>
      <c r="F492">
        <v>680</v>
      </c>
      <c r="G492">
        <v>30</v>
      </c>
      <c r="H492" t="s">
        <v>13</v>
      </c>
      <c r="I492" t="b">
        <v>0</v>
      </c>
      <c r="J492">
        <f t="shared" si="14"/>
        <v>10</v>
      </c>
      <c r="K492" t="str">
        <f t="shared" si="15"/>
        <v>Positive</v>
      </c>
    </row>
    <row r="493" spans="1:11" x14ac:dyDescent="0.2">
      <c r="A493" t="s">
        <v>754</v>
      </c>
      <c r="B493" t="s">
        <v>755</v>
      </c>
      <c r="C493" t="s">
        <v>353</v>
      </c>
      <c r="D493" t="s">
        <v>3</v>
      </c>
      <c r="E493" t="s">
        <v>4</v>
      </c>
      <c r="F493">
        <v>6</v>
      </c>
      <c r="G493">
        <v>77</v>
      </c>
      <c r="H493" t="s">
        <v>13</v>
      </c>
      <c r="I493" t="b">
        <v>0</v>
      </c>
      <c r="J493">
        <f t="shared" si="14"/>
        <v>-10</v>
      </c>
      <c r="K493" t="str">
        <f t="shared" si="15"/>
        <v>Negative</v>
      </c>
    </row>
    <row r="494" spans="1:11" x14ac:dyDescent="0.2">
      <c r="A494" t="s">
        <v>6869</v>
      </c>
      <c r="B494" t="s">
        <v>6870</v>
      </c>
      <c r="C494" t="s">
        <v>4735</v>
      </c>
      <c r="D494" t="s">
        <v>6871</v>
      </c>
      <c r="E494" t="s">
        <v>4</v>
      </c>
      <c r="F494">
        <v>764</v>
      </c>
      <c r="G494">
        <v>479</v>
      </c>
      <c r="H494" t="s">
        <v>1692</v>
      </c>
      <c r="I494" t="b">
        <v>0</v>
      </c>
      <c r="J494">
        <f t="shared" si="14"/>
        <v>0</v>
      </c>
      <c r="K494" t="str">
        <f t="shared" si="15"/>
        <v>Neutral</v>
      </c>
    </row>
    <row r="495" spans="1:11" x14ac:dyDescent="0.2">
      <c r="A495" t="s">
        <v>646</v>
      </c>
      <c r="B495" t="s">
        <v>647</v>
      </c>
      <c r="C495" t="s">
        <v>648</v>
      </c>
      <c r="D495" t="s">
        <v>3</v>
      </c>
      <c r="E495" t="s">
        <v>4</v>
      </c>
      <c r="F495">
        <v>31241</v>
      </c>
      <c r="G495">
        <v>146</v>
      </c>
      <c r="H495" t="s">
        <v>266</v>
      </c>
      <c r="I495" t="b">
        <v>0</v>
      </c>
      <c r="J495">
        <f t="shared" si="14"/>
        <v>0</v>
      </c>
      <c r="K495" t="str">
        <f t="shared" si="15"/>
        <v>Neutral</v>
      </c>
    </row>
    <row r="496" spans="1:11" x14ac:dyDescent="0.2">
      <c r="A496" t="s">
        <v>6577</v>
      </c>
      <c r="B496" t="s">
        <v>6578</v>
      </c>
      <c r="C496" t="s">
        <v>800</v>
      </c>
      <c r="D496" t="s">
        <v>2692</v>
      </c>
      <c r="E496" t="s">
        <v>4</v>
      </c>
      <c r="F496">
        <v>13</v>
      </c>
      <c r="G496">
        <v>27</v>
      </c>
      <c r="H496" t="s">
        <v>13</v>
      </c>
      <c r="I496" t="b">
        <v>0</v>
      </c>
      <c r="J496">
        <f t="shared" si="14"/>
        <v>-10</v>
      </c>
      <c r="K496" t="str">
        <f t="shared" si="15"/>
        <v>Negative</v>
      </c>
    </row>
    <row r="497" spans="1:11" x14ac:dyDescent="0.2">
      <c r="A497" t="s">
        <v>4568</v>
      </c>
      <c r="B497" t="s">
        <v>4569</v>
      </c>
      <c r="C497" t="s">
        <v>41</v>
      </c>
      <c r="D497" t="s">
        <v>3</v>
      </c>
      <c r="E497" t="s">
        <v>4</v>
      </c>
      <c r="F497">
        <v>5</v>
      </c>
      <c r="G497">
        <v>66</v>
      </c>
      <c r="H497" t="s">
        <v>13</v>
      </c>
      <c r="I497" t="b">
        <v>0</v>
      </c>
      <c r="J497">
        <f t="shared" si="14"/>
        <v>0</v>
      </c>
      <c r="K497" t="str">
        <f t="shared" si="15"/>
        <v>Neutral</v>
      </c>
    </row>
    <row r="498" spans="1:11" x14ac:dyDescent="0.2">
      <c r="A498" t="s">
        <v>5945</v>
      </c>
      <c r="B498" t="s">
        <v>5946</v>
      </c>
      <c r="C498" t="s">
        <v>5947</v>
      </c>
      <c r="D498" t="s">
        <v>5948</v>
      </c>
      <c r="E498" t="s">
        <v>4</v>
      </c>
      <c r="F498">
        <v>91</v>
      </c>
      <c r="G498">
        <v>129</v>
      </c>
      <c r="H498" t="s">
        <v>13</v>
      </c>
      <c r="I498" t="b">
        <v>0</v>
      </c>
      <c r="J498">
        <f t="shared" si="14"/>
        <v>-10</v>
      </c>
      <c r="K498" t="str">
        <f t="shared" si="15"/>
        <v>Negative</v>
      </c>
    </row>
    <row r="499" spans="1:11" x14ac:dyDescent="0.2">
      <c r="A499" t="s">
        <v>5993</v>
      </c>
      <c r="B499" t="s">
        <v>5994</v>
      </c>
      <c r="C499" t="s">
        <v>4911</v>
      </c>
      <c r="D499" t="s">
        <v>5995</v>
      </c>
      <c r="E499" t="s">
        <v>4</v>
      </c>
      <c r="F499">
        <v>516</v>
      </c>
      <c r="G499">
        <v>493</v>
      </c>
      <c r="H499" t="s">
        <v>13</v>
      </c>
      <c r="I499" t="b">
        <v>0</v>
      </c>
      <c r="J499">
        <f t="shared" si="14"/>
        <v>0</v>
      </c>
      <c r="K499" t="str">
        <f t="shared" si="15"/>
        <v>Neutral</v>
      </c>
    </row>
    <row r="500" spans="1:11" x14ac:dyDescent="0.2">
      <c r="A500" t="s">
        <v>6702</v>
      </c>
      <c r="B500" t="s">
        <v>6703</v>
      </c>
      <c r="C500" t="s">
        <v>2665</v>
      </c>
      <c r="D500" t="s">
        <v>64</v>
      </c>
      <c r="E500" t="s">
        <v>4</v>
      </c>
      <c r="F500">
        <v>96</v>
      </c>
      <c r="G500">
        <v>78</v>
      </c>
      <c r="H500" t="s">
        <v>13</v>
      </c>
      <c r="I500" t="b">
        <v>0</v>
      </c>
      <c r="J500">
        <f t="shared" si="14"/>
        <v>-10</v>
      </c>
      <c r="K500" t="str">
        <f t="shared" si="15"/>
        <v>Negative</v>
      </c>
    </row>
    <row r="501" spans="1:11" x14ac:dyDescent="0.2">
      <c r="A501" t="s">
        <v>1377</v>
      </c>
      <c r="B501" t="s">
        <v>1378</v>
      </c>
      <c r="C501" t="s">
        <v>329</v>
      </c>
      <c r="D501" t="s">
        <v>1379</v>
      </c>
      <c r="E501" t="s">
        <v>4</v>
      </c>
      <c r="F501">
        <v>54</v>
      </c>
      <c r="G501">
        <v>11</v>
      </c>
      <c r="H501" t="s">
        <v>363</v>
      </c>
      <c r="I501" t="b">
        <v>0</v>
      </c>
      <c r="J501">
        <f t="shared" si="14"/>
        <v>0</v>
      </c>
      <c r="K501" t="str">
        <f t="shared" si="15"/>
        <v>Neutral</v>
      </c>
    </row>
    <row r="502" spans="1:11" x14ac:dyDescent="0.2">
      <c r="A502" t="s">
        <v>2775</v>
      </c>
      <c r="B502" t="s">
        <v>2776</v>
      </c>
      <c r="C502" t="s">
        <v>279</v>
      </c>
      <c r="D502" t="s">
        <v>3</v>
      </c>
      <c r="E502" t="s">
        <v>4</v>
      </c>
      <c r="F502">
        <v>256</v>
      </c>
      <c r="G502">
        <v>149</v>
      </c>
      <c r="H502" t="s">
        <v>50</v>
      </c>
      <c r="I502" t="b">
        <v>0</v>
      </c>
      <c r="J502">
        <f t="shared" si="14"/>
        <v>0</v>
      </c>
      <c r="K502" t="str">
        <f t="shared" si="15"/>
        <v>Neutral</v>
      </c>
    </row>
    <row r="503" spans="1:11" x14ac:dyDescent="0.2">
      <c r="A503" t="s">
        <v>1594</v>
      </c>
      <c r="B503" t="s">
        <v>1595</v>
      </c>
      <c r="C503" t="s">
        <v>1596</v>
      </c>
      <c r="D503" t="s">
        <v>1597</v>
      </c>
      <c r="E503" t="s">
        <v>4</v>
      </c>
      <c r="F503">
        <v>4</v>
      </c>
      <c r="G503">
        <v>0</v>
      </c>
      <c r="H503" t="s">
        <v>13</v>
      </c>
      <c r="I503" t="b">
        <v>0</v>
      </c>
      <c r="J503">
        <f t="shared" si="14"/>
        <v>0</v>
      </c>
      <c r="K503" t="str">
        <f t="shared" si="15"/>
        <v>Neutral</v>
      </c>
    </row>
    <row r="504" spans="1:11" x14ac:dyDescent="0.2">
      <c r="A504" t="s">
        <v>224</v>
      </c>
      <c r="B504" t="s">
        <v>225</v>
      </c>
      <c r="C504" t="s">
        <v>226</v>
      </c>
      <c r="D504" t="s">
        <v>227</v>
      </c>
      <c r="E504" t="s">
        <v>4</v>
      </c>
      <c r="F504">
        <v>9221</v>
      </c>
      <c r="G504">
        <v>7169</v>
      </c>
      <c r="H504" t="s">
        <v>13</v>
      </c>
      <c r="I504" t="b">
        <v>0</v>
      </c>
      <c r="J504">
        <f t="shared" si="14"/>
        <v>0</v>
      </c>
      <c r="K504" t="str">
        <f t="shared" si="15"/>
        <v>Neutral</v>
      </c>
    </row>
    <row r="505" spans="1:11" x14ac:dyDescent="0.2">
      <c r="A505" t="s">
        <v>1553</v>
      </c>
      <c r="B505" t="s">
        <v>1554</v>
      </c>
      <c r="C505" t="s">
        <v>1555</v>
      </c>
      <c r="D505" t="s">
        <v>1556</v>
      </c>
      <c r="E505" t="s">
        <v>4</v>
      </c>
      <c r="F505">
        <v>3944</v>
      </c>
      <c r="G505">
        <v>848</v>
      </c>
      <c r="H505" t="s">
        <v>13</v>
      </c>
      <c r="I505" t="b">
        <v>0</v>
      </c>
      <c r="J505">
        <f t="shared" si="14"/>
        <v>-10</v>
      </c>
      <c r="K505" t="str">
        <f t="shared" si="15"/>
        <v>Negative</v>
      </c>
    </row>
    <row r="506" spans="1:11" x14ac:dyDescent="0.2">
      <c r="A506" t="s">
        <v>4489</v>
      </c>
      <c r="B506" t="s">
        <v>4490</v>
      </c>
      <c r="C506" t="s">
        <v>2520</v>
      </c>
      <c r="D506" t="s">
        <v>3</v>
      </c>
      <c r="E506" t="s">
        <v>4</v>
      </c>
      <c r="F506">
        <v>143</v>
      </c>
      <c r="G506">
        <v>166</v>
      </c>
      <c r="H506" t="s">
        <v>645</v>
      </c>
      <c r="I506" t="b">
        <v>0</v>
      </c>
      <c r="J506">
        <f t="shared" si="14"/>
        <v>0</v>
      </c>
      <c r="K506" t="str">
        <f t="shared" si="15"/>
        <v>Neutral</v>
      </c>
    </row>
    <row r="507" spans="1:11" x14ac:dyDescent="0.2">
      <c r="A507" t="s">
        <v>6680</v>
      </c>
      <c r="B507" t="s">
        <v>6681</v>
      </c>
      <c r="C507" t="s">
        <v>2220</v>
      </c>
      <c r="D507" t="s">
        <v>101</v>
      </c>
      <c r="E507" t="s">
        <v>4</v>
      </c>
      <c r="F507">
        <v>10</v>
      </c>
      <c r="G507">
        <v>59</v>
      </c>
      <c r="H507" t="s">
        <v>1692</v>
      </c>
      <c r="I507" t="b">
        <v>0</v>
      </c>
      <c r="J507">
        <f t="shared" si="14"/>
        <v>-10</v>
      </c>
      <c r="K507" t="str">
        <f t="shared" si="15"/>
        <v>Negative</v>
      </c>
    </row>
    <row r="508" spans="1:11" x14ac:dyDescent="0.2">
      <c r="A508" t="s">
        <v>3739</v>
      </c>
      <c r="B508" t="s">
        <v>3740</v>
      </c>
      <c r="C508" t="s">
        <v>3741</v>
      </c>
      <c r="D508" t="s">
        <v>3742</v>
      </c>
      <c r="E508" t="s">
        <v>4</v>
      </c>
      <c r="F508">
        <v>80</v>
      </c>
      <c r="G508">
        <v>266</v>
      </c>
      <c r="H508" t="s">
        <v>645</v>
      </c>
      <c r="I508" t="b">
        <v>0</v>
      </c>
      <c r="J508">
        <f t="shared" si="14"/>
        <v>0</v>
      </c>
      <c r="K508" t="str">
        <f t="shared" si="15"/>
        <v>Neutral</v>
      </c>
    </row>
    <row r="509" spans="1:11" x14ac:dyDescent="0.2">
      <c r="A509" t="s">
        <v>4101</v>
      </c>
      <c r="B509" t="s">
        <v>4102</v>
      </c>
      <c r="C509" t="s">
        <v>3286</v>
      </c>
      <c r="D509" t="s">
        <v>3287</v>
      </c>
      <c r="E509" t="s">
        <v>4</v>
      </c>
      <c r="F509">
        <v>1977</v>
      </c>
      <c r="G509">
        <v>964</v>
      </c>
      <c r="H509" t="s">
        <v>13</v>
      </c>
      <c r="I509" t="b">
        <v>0</v>
      </c>
      <c r="J509">
        <f t="shared" si="14"/>
        <v>0</v>
      </c>
      <c r="K509" t="str">
        <f t="shared" si="15"/>
        <v>Neutral</v>
      </c>
    </row>
    <row r="510" spans="1:11" x14ac:dyDescent="0.2">
      <c r="A510" t="s">
        <v>3135</v>
      </c>
      <c r="B510" t="s">
        <v>3136</v>
      </c>
      <c r="C510" t="s">
        <v>1602</v>
      </c>
      <c r="D510" t="s">
        <v>3137</v>
      </c>
      <c r="E510" t="s">
        <v>4</v>
      </c>
      <c r="F510">
        <v>312</v>
      </c>
      <c r="G510">
        <v>1283</v>
      </c>
      <c r="H510" t="s">
        <v>13</v>
      </c>
      <c r="I510" t="b">
        <v>0</v>
      </c>
      <c r="J510">
        <f t="shared" si="14"/>
        <v>-10</v>
      </c>
      <c r="K510" t="str">
        <f t="shared" si="15"/>
        <v>Negative</v>
      </c>
    </row>
    <row r="511" spans="1:11" x14ac:dyDescent="0.2">
      <c r="A511" t="s">
        <v>2194</v>
      </c>
      <c r="B511" t="s">
        <v>2195</v>
      </c>
      <c r="C511" t="s">
        <v>1116</v>
      </c>
      <c r="D511" t="s">
        <v>2017</v>
      </c>
      <c r="E511" t="s">
        <v>4</v>
      </c>
      <c r="F511">
        <v>1605</v>
      </c>
      <c r="G511">
        <v>288</v>
      </c>
      <c r="H511" t="s">
        <v>13</v>
      </c>
      <c r="I511" t="b">
        <v>0</v>
      </c>
      <c r="J511">
        <f t="shared" si="14"/>
        <v>0</v>
      </c>
      <c r="K511" t="str">
        <f t="shared" si="15"/>
        <v>Neutral</v>
      </c>
    </row>
    <row r="512" spans="1:11" x14ac:dyDescent="0.2">
      <c r="A512" t="s">
        <v>524</v>
      </c>
      <c r="B512" t="s">
        <v>525</v>
      </c>
      <c r="C512" t="s">
        <v>526</v>
      </c>
      <c r="D512" t="s">
        <v>527</v>
      </c>
      <c r="E512" t="s">
        <v>4</v>
      </c>
      <c r="F512">
        <v>1431</v>
      </c>
      <c r="G512">
        <v>1784</v>
      </c>
      <c r="H512" t="s">
        <v>13</v>
      </c>
      <c r="I512" t="b">
        <v>0</v>
      </c>
      <c r="J512">
        <f t="shared" si="14"/>
        <v>0</v>
      </c>
      <c r="K512" t="str">
        <f t="shared" si="15"/>
        <v>Neutral</v>
      </c>
    </row>
    <row r="513" spans="1:11" x14ac:dyDescent="0.2">
      <c r="A513" t="s">
        <v>7100</v>
      </c>
      <c r="B513" t="s">
        <v>7101</v>
      </c>
      <c r="C513" t="s">
        <v>5036</v>
      </c>
      <c r="D513" t="s">
        <v>491</v>
      </c>
      <c r="E513" t="s">
        <v>4</v>
      </c>
      <c r="F513">
        <v>285</v>
      </c>
      <c r="G513">
        <v>355</v>
      </c>
      <c r="H513" t="s">
        <v>13</v>
      </c>
      <c r="I513" t="b">
        <v>0</v>
      </c>
      <c r="J513">
        <f t="shared" si="14"/>
        <v>0</v>
      </c>
      <c r="K513" t="str">
        <f t="shared" si="15"/>
        <v>Neutral</v>
      </c>
    </row>
    <row r="514" spans="1:11" x14ac:dyDescent="0.2">
      <c r="A514" t="s">
        <v>935</v>
      </c>
      <c r="B514" t="s">
        <v>936</v>
      </c>
      <c r="C514" t="s">
        <v>417</v>
      </c>
      <c r="D514" t="s">
        <v>3</v>
      </c>
      <c r="E514" t="s">
        <v>4</v>
      </c>
      <c r="F514">
        <v>300</v>
      </c>
      <c r="G514">
        <v>321</v>
      </c>
      <c r="H514" t="s">
        <v>13</v>
      </c>
      <c r="I514" t="b">
        <v>0</v>
      </c>
      <c r="J514">
        <f t="shared" si="14"/>
        <v>0</v>
      </c>
      <c r="K514" t="str">
        <f t="shared" si="15"/>
        <v>Neutral</v>
      </c>
    </row>
    <row r="515" spans="1:11" x14ac:dyDescent="0.2">
      <c r="A515" t="s">
        <v>4295</v>
      </c>
      <c r="B515" t="s">
        <v>4296</v>
      </c>
      <c r="C515" t="s">
        <v>4297</v>
      </c>
      <c r="D515" t="s">
        <v>3</v>
      </c>
      <c r="E515" t="s">
        <v>4</v>
      </c>
      <c r="F515">
        <v>57</v>
      </c>
      <c r="G515">
        <v>102</v>
      </c>
      <c r="H515" t="s">
        <v>13</v>
      </c>
      <c r="I515" t="b">
        <v>0</v>
      </c>
      <c r="J515">
        <f t="shared" ref="J515:J578" si="16">sentimentCalc(B515)</f>
        <v>0</v>
      </c>
      <c r="K515" t="str">
        <f t="shared" ref="K515:K578" si="17">sentimentCategory(J515)</f>
        <v>Neutral</v>
      </c>
    </row>
    <row r="516" spans="1:11" x14ac:dyDescent="0.2">
      <c r="A516" t="s">
        <v>6340</v>
      </c>
      <c r="B516" t="s">
        <v>6341</v>
      </c>
      <c r="C516" t="s">
        <v>28</v>
      </c>
      <c r="D516" t="s">
        <v>6342</v>
      </c>
      <c r="E516" t="s">
        <v>4</v>
      </c>
      <c r="F516">
        <v>668</v>
      </c>
      <c r="G516">
        <v>784</v>
      </c>
      <c r="H516" t="s">
        <v>13</v>
      </c>
      <c r="I516" t="b">
        <v>0</v>
      </c>
      <c r="J516">
        <f t="shared" si="16"/>
        <v>0</v>
      </c>
      <c r="K516" t="str">
        <f t="shared" si="17"/>
        <v>Neutral</v>
      </c>
    </row>
    <row r="517" spans="1:11" x14ac:dyDescent="0.2">
      <c r="A517" t="s">
        <v>1913</v>
      </c>
      <c r="B517" t="s">
        <v>1914</v>
      </c>
      <c r="C517" t="s">
        <v>1877</v>
      </c>
      <c r="D517" t="s">
        <v>3</v>
      </c>
      <c r="E517" t="s">
        <v>4</v>
      </c>
      <c r="F517">
        <v>14</v>
      </c>
      <c r="G517">
        <v>65</v>
      </c>
      <c r="H517" t="s">
        <v>13</v>
      </c>
      <c r="I517" t="b">
        <v>0</v>
      </c>
      <c r="J517">
        <f t="shared" si="16"/>
        <v>0</v>
      </c>
      <c r="K517" t="str">
        <f t="shared" si="17"/>
        <v>Neutral</v>
      </c>
    </row>
    <row r="518" spans="1:11" x14ac:dyDescent="0.2">
      <c r="A518" t="s">
        <v>2160</v>
      </c>
      <c r="B518" t="s">
        <v>2161</v>
      </c>
      <c r="C518" t="s">
        <v>28</v>
      </c>
      <c r="D518" t="s">
        <v>3</v>
      </c>
      <c r="E518" t="s">
        <v>4</v>
      </c>
      <c r="F518">
        <v>3</v>
      </c>
      <c r="G518">
        <v>1</v>
      </c>
      <c r="H518" t="s">
        <v>13</v>
      </c>
      <c r="I518" t="b">
        <v>0</v>
      </c>
      <c r="J518">
        <f t="shared" si="16"/>
        <v>0</v>
      </c>
      <c r="K518" t="str">
        <f t="shared" si="17"/>
        <v>Neutral</v>
      </c>
    </row>
    <row r="519" spans="1:11" x14ac:dyDescent="0.2">
      <c r="A519" t="s">
        <v>5460</v>
      </c>
      <c r="B519" t="s">
        <v>5461</v>
      </c>
      <c r="C519" t="s">
        <v>2091</v>
      </c>
      <c r="D519" t="s">
        <v>3</v>
      </c>
      <c r="E519" t="s">
        <v>4</v>
      </c>
      <c r="F519">
        <v>8</v>
      </c>
      <c r="G519">
        <v>79</v>
      </c>
      <c r="H519" t="s">
        <v>13</v>
      </c>
      <c r="I519" t="b">
        <v>0</v>
      </c>
      <c r="J519">
        <f t="shared" si="16"/>
        <v>0</v>
      </c>
      <c r="K519" t="str">
        <f t="shared" si="17"/>
        <v>Neutral</v>
      </c>
    </row>
    <row r="520" spans="1:11" x14ac:dyDescent="0.2">
      <c r="A520" t="s">
        <v>3693</v>
      </c>
      <c r="B520" t="s">
        <v>3694</v>
      </c>
      <c r="C520" t="s">
        <v>1510</v>
      </c>
      <c r="D520" t="s">
        <v>3</v>
      </c>
      <c r="E520" t="s">
        <v>4</v>
      </c>
      <c r="F520">
        <v>0</v>
      </c>
      <c r="G520">
        <v>5</v>
      </c>
      <c r="H520" t="s">
        <v>13</v>
      </c>
      <c r="I520" t="b">
        <v>0</v>
      </c>
      <c r="J520">
        <f t="shared" si="16"/>
        <v>0</v>
      </c>
      <c r="K520" t="str">
        <f t="shared" si="17"/>
        <v>Neutral</v>
      </c>
    </row>
    <row r="521" spans="1:11" x14ac:dyDescent="0.2">
      <c r="A521" t="s">
        <v>6771</v>
      </c>
      <c r="B521" t="s">
        <v>6772</v>
      </c>
      <c r="C521" t="s">
        <v>6773</v>
      </c>
      <c r="D521" t="s">
        <v>6774</v>
      </c>
      <c r="E521" t="s">
        <v>4</v>
      </c>
      <c r="F521">
        <v>2105</v>
      </c>
      <c r="G521">
        <v>3280</v>
      </c>
      <c r="H521" t="s">
        <v>13</v>
      </c>
      <c r="I521" t="b">
        <v>0</v>
      </c>
      <c r="J521">
        <f t="shared" si="16"/>
        <v>0</v>
      </c>
      <c r="K521" t="str">
        <f t="shared" si="17"/>
        <v>Neutral</v>
      </c>
    </row>
    <row r="522" spans="1:11" x14ac:dyDescent="0.2">
      <c r="A522" t="s">
        <v>826</v>
      </c>
      <c r="B522" t="s">
        <v>827</v>
      </c>
      <c r="C522" t="s">
        <v>828</v>
      </c>
      <c r="D522" t="s">
        <v>829</v>
      </c>
      <c r="E522" t="s">
        <v>4</v>
      </c>
      <c r="F522">
        <v>505</v>
      </c>
      <c r="G522">
        <v>82</v>
      </c>
      <c r="H522" t="s">
        <v>645</v>
      </c>
      <c r="I522" t="b">
        <v>0</v>
      </c>
      <c r="J522">
        <f t="shared" si="16"/>
        <v>0</v>
      </c>
      <c r="K522" t="str">
        <f t="shared" si="17"/>
        <v>Neutral</v>
      </c>
    </row>
    <row r="523" spans="1:11" x14ac:dyDescent="0.2">
      <c r="A523" t="s">
        <v>2935</v>
      </c>
      <c r="B523" t="s">
        <v>2936</v>
      </c>
      <c r="C523" t="s">
        <v>1656</v>
      </c>
      <c r="D523" t="s">
        <v>2937</v>
      </c>
      <c r="E523" t="s">
        <v>4</v>
      </c>
      <c r="F523">
        <v>438</v>
      </c>
      <c r="G523">
        <v>134</v>
      </c>
      <c r="H523" t="s">
        <v>13</v>
      </c>
      <c r="I523" t="b">
        <v>0</v>
      </c>
      <c r="J523">
        <f t="shared" si="16"/>
        <v>0</v>
      </c>
      <c r="K523" t="str">
        <f t="shared" si="17"/>
        <v>Neutral</v>
      </c>
    </row>
    <row r="524" spans="1:11" x14ac:dyDescent="0.2">
      <c r="A524" t="s">
        <v>287</v>
      </c>
      <c r="B524" t="s">
        <v>288</v>
      </c>
      <c r="C524" t="s">
        <v>289</v>
      </c>
      <c r="D524" t="s">
        <v>290</v>
      </c>
      <c r="E524" t="s">
        <v>4</v>
      </c>
      <c r="F524">
        <v>228</v>
      </c>
      <c r="G524">
        <v>1</v>
      </c>
      <c r="H524" t="s">
        <v>13</v>
      </c>
      <c r="I524" t="b">
        <v>0</v>
      </c>
      <c r="J524">
        <f t="shared" si="16"/>
        <v>0</v>
      </c>
      <c r="K524" t="str">
        <f t="shared" si="17"/>
        <v>Neutral</v>
      </c>
    </row>
    <row r="525" spans="1:11" x14ac:dyDescent="0.2">
      <c r="A525" t="s">
        <v>572</v>
      </c>
      <c r="B525" t="s">
        <v>573</v>
      </c>
      <c r="C525" t="s">
        <v>289</v>
      </c>
      <c r="D525" t="s">
        <v>290</v>
      </c>
      <c r="E525" t="s">
        <v>4</v>
      </c>
      <c r="F525">
        <v>228</v>
      </c>
      <c r="G525">
        <v>1</v>
      </c>
      <c r="H525" t="s">
        <v>13</v>
      </c>
      <c r="I525" t="b">
        <v>0</v>
      </c>
      <c r="J525">
        <f t="shared" si="16"/>
        <v>0</v>
      </c>
      <c r="K525" t="str">
        <f t="shared" si="17"/>
        <v>Neutral</v>
      </c>
    </row>
    <row r="526" spans="1:11" x14ac:dyDescent="0.2">
      <c r="A526" t="s">
        <v>888</v>
      </c>
      <c r="B526" t="s">
        <v>889</v>
      </c>
      <c r="C526" t="s">
        <v>289</v>
      </c>
      <c r="D526" t="s">
        <v>290</v>
      </c>
      <c r="E526" t="s">
        <v>4</v>
      </c>
      <c r="F526">
        <v>228</v>
      </c>
      <c r="G526">
        <v>1</v>
      </c>
      <c r="H526" t="s">
        <v>13</v>
      </c>
      <c r="I526" t="b">
        <v>0</v>
      </c>
      <c r="J526">
        <f t="shared" si="16"/>
        <v>0</v>
      </c>
      <c r="K526" t="str">
        <f t="shared" si="17"/>
        <v>Neutral</v>
      </c>
    </row>
    <row r="527" spans="1:11" x14ac:dyDescent="0.2">
      <c r="A527" t="s">
        <v>1557</v>
      </c>
      <c r="B527" t="s">
        <v>1558</v>
      </c>
      <c r="C527" t="s">
        <v>289</v>
      </c>
      <c r="D527" t="s">
        <v>290</v>
      </c>
      <c r="E527" t="s">
        <v>4</v>
      </c>
      <c r="F527">
        <v>228</v>
      </c>
      <c r="G527">
        <v>1</v>
      </c>
      <c r="H527" t="s">
        <v>13</v>
      </c>
      <c r="I527" t="b">
        <v>0</v>
      </c>
      <c r="J527">
        <f t="shared" si="16"/>
        <v>0</v>
      </c>
      <c r="K527" t="str">
        <f t="shared" si="17"/>
        <v>Neutral</v>
      </c>
    </row>
    <row r="528" spans="1:11" x14ac:dyDescent="0.2">
      <c r="A528" t="s">
        <v>1180</v>
      </c>
      <c r="B528" t="s">
        <v>1183</v>
      </c>
      <c r="C528" t="s">
        <v>289</v>
      </c>
      <c r="D528" t="s">
        <v>290</v>
      </c>
      <c r="E528" t="s">
        <v>4</v>
      </c>
      <c r="F528">
        <v>228</v>
      </c>
      <c r="G528">
        <v>1</v>
      </c>
      <c r="H528" t="s">
        <v>13</v>
      </c>
      <c r="I528" t="b">
        <v>0</v>
      </c>
      <c r="J528">
        <f t="shared" si="16"/>
        <v>0</v>
      </c>
      <c r="K528" t="str">
        <f t="shared" si="17"/>
        <v>Neutral</v>
      </c>
    </row>
    <row r="529" spans="1:11" x14ac:dyDescent="0.2">
      <c r="A529" t="s">
        <v>3894</v>
      </c>
      <c r="B529" t="s">
        <v>3895</v>
      </c>
      <c r="C529" t="s">
        <v>289</v>
      </c>
      <c r="D529" t="s">
        <v>290</v>
      </c>
      <c r="E529" t="s">
        <v>4</v>
      </c>
      <c r="F529">
        <v>228</v>
      </c>
      <c r="G529">
        <v>1</v>
      </c>
      <c r="H529" t="s">
        <v>13</v>
      </c>
      <c r="I529" t="b">
        <v>0</v>
      </c>
      <c r="J529">
        <f t="shared" si="16"/>
        <v>0</v>
      </c>
      <c r="K529" t="str">
        <f t="shared" si="17"/>
        <v>Neutral</v>
      </c>
    </row>
    <row r="530" spans="1:11" x14ac:dyDescent="0.2">
      <c r="A530" t="s">
        <v>5328</v>
      </c>
      <c r="B530" t="s">
        <v>5329</v>
      </c>
      <c r="C530" t="s">
        <v>289</v>
      </c>
      <c r="D530" t="s">
        <v>290</v>
      </c>
      <c r="E530" t="s">
        <v>4</v>
      </c>
      <c r="F530">
        <v>227</v>
      </c>
      <c r="G530">
        <v>1</v>
      </c>
      <c r="H530" t="s">
        <v>13</v>
      </c>
      <c r="I530" t="b">
        <v>0</v>
      </c>
      <c r="J530">
        <f t="shared" si="16"/>
        <v>0</v>
      </c>
      <c r="K530" t="str">
        <f t="shared" si="17"/>
        <v>Neutral</v>
      </c>
    </row>
    <row r="531" spans="1:11" x14ac:dyDescent="0.2">
      <c r="A531" t="s">
        <v>4972</v>
      </c>
      <c r="B531" t="s">
        <v>4978</v>
      </c>
      <c r="C531" t="s">
        <v>289</v>
      </c>
      <c r="D531" t="s">
        <v>290</v>
      </c>
      <c r="E531" t="s">
        <v>4</v>
      </c>
      <c r="F531">
        <v>227</v>
      </c>
      <c r="G531">
        <v>1</v>
      </c>
      <c r="H531" t="s">
        <v>13</v>
      </c>
      <c r="I531" t="b">
        <v>0</v>
      </c>
      <c r="J531">
        <f t="shared" si="16"/>
        <v>0</v>
      </c>
      <c r="K531" t="str">
        <f t="shared" si="17"/>
        <v>Neutral</v>
      </c>
    </row>
    <row r="532" spans="1:11" x14ac:dyDescent="0.2">
      <c r="A532" t="s">
        <v>1917</v>
      </c>
      <c r="B532" t="s">
        <v>1920</v>
      </c>
      <c r="C532" t="s">
        <v>289</v>
      </c>
      <c r="D532" t="s">
        <v>290</v>
      </c>
      <c r="E532" t="s">
        <v>4</v>
      </c>
      <c r="F532">
        <v>228</v>
      </c>
      <c r="G532">
        <v>1</v>
      </c>
      <c r="H532" t="s">
        <v>13</v>
      </c>
      <c r="I532" t="b">
        <v>0</v>
      </c>
      <c r="J532">
        <f t="shared" si="16"/>
        <v>0</v>
      </c>
      <c r="K532" t="str">
        <f t="shared" si="17"/>
        <v>Neutral</v>
      </c>
    </row>
    <row r="533" spans="1:11" x14ac:dyDescent="0.2">
      <c r="A533" t="s">
        <v>3500</v>
      </c>
      <c r="B533" t="s">
        <v>3503</v>
      </c>
      <c r="C533" t="s">
        <v>289</v>
      </c>
      <c r="D533" t="s">
        <v>290</v>
      </c>
      <c r="E533" t="s">
        <v>4</v>
      </c>
      <c r="F533">
        <v>228</v>
      </c>
      <c r="G533">
        <v>1</v>
      </c>
      <c r="H533" t="s">
        <v>13</v>
      </c>
      <c r="I533" t="b">
        <v>0</v>
      </c>
      <c r="J533">
        <f t="shared" si="16"/>
        <v>0</v>
      </c>
      <c r="K533" t="str">
        <f t="shared" si="17"/>
        <v>Neutral</v>
      </c>
    </row>
    <row r="534" spans="1:11" x14ac:dyDescent="0.2">
      <c r="A534" t="s">
        <v>4259</v>
      </c>
      <c r="B534" t="s">
        <v>4262</v>
      </c>
      <c r="C534" t="s">
        <v>289</v>
      </c>
      <c r="D534" t="s">
        <v>290</v>
      </c>
      <c r="E534" t="s">
        <v>4</v>
      </c>
      <c r="F534">
        <v>228</v>
      </c>
      <c r="G534">
        <v>1</v>
      </c>
      <c r="H534" t="s">
        <v>13</v>
      </c>
      <c r="I534" t="b">
        <v>0</v>
      </c>
      <c r="J534">
        <f t="shared" si="16"/>
        <v>0</v>
      </c>
      <c r="K534" t="str">
        <f t="shared" si="17"/>
        <v>Neutral</v>
      </c>
    </row>
    <row r="535" spans="1:11" x14ac:dyDescent="0.2">
      <c r="A535" t="s">
        <v>4639</v>
      </c>
      <c r="B535" t="s">
        <v>4641</v>
      </c>
      <c r="C535" t="s">
        <v>289</v>
      </c>
      <c r="D535" t="s">
        <v>290</v>
      </c>
      <c r="E535" t="s">
        <v>4</v>
      </c>
      <c r="F535">
        <v>228</v>
      </c>
      <c r="G535">
        <v>1</v>
      </c>
      <c r="H535" t="s">
        <v>13</v>
      </c>
      <c r="I535" t="b">
        <v>0</v>
      </c>
      <c r="J535">
        <f t="shared" si="16"/>
        <v>0</v>
      </c>
      <c r="K535" t="str">
        <f t="shared" si="17"/>
        <v>Neutral</v>
      </c>
    </row>
    <row r="536" spans="1:11" x14ac:dyDescent="0.2">
      <c r="A536" t="s">
        <v>5614</v>
      </c>
      <c r="B536" t="s">
        <v>5615</v>
      </c>
      <c r="C536" t="s">
        <v>289</v>
      </c>
      <c r="D536" t="s">
        <v>290</v>
      </c>
      <c r="E536" t="s">
        <v>4</v>
      </c>
      <c r="F536">
        <v>227</v>
      </c>
      <c r="G536">
        <v>1</v>
      </c>
      <c r="H536" t="s">
        <v>13</v>
      </c>
      <c r="I536" t="b">
        <v>0</v>
      </c>
      <c r="J536">
        <f t="shared" si="16"/>
        <v>0</v>
      </c>
      <c r="K536" t="str">
        <f t="shared" si="17"/>
        <v>Neutral</v>
      </c>
    </row>
    <row r="537" spans="1:11" x14ac:dyDescent="0.2">
      <c r="A537" t="s">
        <v>6419</v>
      </c>
      <c r="B537" t="s">
        <v>6420</v>
      </c>
      <c r="C537" t="s">
        <v>289</v>
      </c>
      <c r="D537" t="s">
        <v>290</v>
      </c>
      <c r="E537" t="s">
        <v>4</v>
      </c>
      <c r="F537">
        <v>227</v>
      </c>
      <c r="G537">
        <v>1</v>
      </c>
      <c r="H537" t="s">
        <v>13</v>
      </c>
      <c r="I537" t="b">
        <v>0</v>
      </c>
      <c r="J537">
        <f t="shared" si="16"/>
        <v>0</v>
      </c>
      <c r="K537" t="str">
        <f t="shared" si="17"/>
        <v>Neutral</v>
      </c>
    </row>
    <row r="538" spans="1:11" x14ac:dyDescent="0.2">
      <c r="A538" t="s">
        <v>7054</v>
      </c>
      <c r="B538" t="s">
        <v>7056</v>
      </c>
      <c r="C538" t="s">
        <v>289</v>
      </c>
      <c r="D538" t="s">
        <v>290</v>
      </c>
      <c r="E538" t="s">
        <v>4</v>
      </c>
      <c r="F538">
        <v>227</v>
      </c>
      <c r="G538">
        <v>1</v>
      </c>
      <c r="H538" t="s">
        <v>13</v>
      </c>
      <c r="I538" t="b">
        <v>0</v>
      </c>
      <c r="J538">
        <f t="shared" si="16"/>
        <v>0</v>
      </c>
      <c r="K538" t="str">
        <f t="shared" si="17"/>
        <v>Neutral</v>
      </c>
    </row>
    <row r="539" spans="1:11" x14ac:dyDescent="0.2">
      <c r="A539" t="s">
        <v>2316</v>
      </c>
      <c r="B539" t="s">
        <v>2317</v>
      </c>
      <c r="C539" t="s">
        <v>289</v>
      </c>
      <c r="D539" t="s">
        <v>290</v>
      </c>
      <c r="E539" t="s">
        <v>4</v>
      </c>
      <c r="F539">
        <v>228</v>
      </c>
      <c r="G539">
        <v>1</v>
      </c>
      <c r="H539" t="s">
        <v>13</v>
      </c>
      <c r="I539" t="b">
        <v>0</v>
      </c>
      <c r="J539">
        <f t="shared" si="16"/>
        <v>0</v>
      </c>
      <c r="K539" t="str">
        <f t="shared" si="17"/>
        <v>Neutral</v>
      </c>
    </row>
    <row r="540" spans="1:11" x14ac:dyDescent="0.2">
      <c r="A540" t="s">
        <v>6014</v>
      </c>
      <c r="B540" t="s">
        <v>6017</v>
      </c>
      <c r="C540" t="s">
        <v>289</v>
      </c>
      <c r="D540" t="s">
        <v>290</v>
      </c>
      <c r="E540" t="s">
        <v>4</v>
      </c>
      <c r="F540">
        <v>227</v>
      </c>
      <c r="G540">
        <v>1</v>
      </c>
      <c r="H540" t="s">
        <v>13</v>
      </c>
      <c r="I540" t="b">
        <v>0</v>
      </c>
      <c r="J540">
        <f t="shared" si="16"/>
        <v>0</v>
      </c>
      <c r="K540" t="str">
        <f t="shared" si="17"/>
        <v>Neutral</v>
      </c>
    </row>
    <row r="541" spans="1:11" x14ac:dyDescent="0.2">
      <c r="A541" t="s">
        <v>2670</v>
      </c>
      <c r="B541" t="s">
        <v>2672</v>
      </c>
      <c r="C541" t="s">
        <v>289</v>
      </c>
      <c r="D541" t="s">
        <v>290</v>
      </c>
      <c r="E541" t="s">
        <v>4</v>
      </c>
      <c r="F541">
        <v>227</v>
      </c>
      <c r="G541">
        <v>1</v>
      </c>
      <c r="H541" t="s">
        <v>13</v>
      </c>
      <c r="I541" t="b">
        <v>0</v>
      </c>
      <c r="J541">
        <f t="shared" si="16"/>
        <v>0</v>
      </c>
      <c r="K541" t="str">
        <f t="shared" si="17"/>
        <v>Neutral</v>
      </c>
    </row>
    <row r="542" spans="1:11" x14ac:dyDescent="0.2">
      <c r="A542" t="s">
        <v>3091</v>
      </c>
      <c r="B542" t="s">
        <v>3092</v>
      </c>
      <c r="C542" t="s">
        <v>289</v>
      </c>
      <c r="D542" t="s">
        <v>290</v>
      </c>
      <c r="E542" t="s">
        <v>4</v>
      </c>
      <c r="F542">
        <v>228</v>
      </c>
      <c r="G542">
        <v>1</v>
      </c>
      <c r="H542" t="s">
        <v>13</v>
      </c>
      <c r="I542" t="b">
        <v>0</v>
      </c>
      <c r="J542">
        <f t="shared" si="16"/>
        <v>0</v>
      </c>
      <c r="K542" t="str">
        <f t="shared" si="17"/>
        <v>Neutral</v>
      </c>
    </row>
    <row r="543" spans="1:11" x14ac:dyDescent="0.2">
      <c r="A543" t="s">
        <v>6777</v>
      </c>
      <c r="B543" t="s">
        <v>6779</v>
      </c>
      <c r="C543" t="s">
        <v>289</v>
      </c>
      <c r="D543" t="s">
        <v>290</v>
      </c>
      <c r="E543" t="s">
        <v>4</v>
      </c>
      <c r="F543">
        <v>227</v>
      </c>
      <c r="G543">
        <v>1</v>
      </c>
      <c r="H543" t="s">
        <v>13</v>
      </c>
      <c r="I543" t="b">
        <v>0</v>
      </c>
      <c r="J543">
        <f t="shared" si="16"/>
        <v>0</v>
      </c>
      <c r="K543" t="str">
        <f t="shared" si="17"/>
        <v>Neutral</v>
      </c>
    </row>
    <row r="544" spans="1:11" x14ac:dyDescent="0.2">
      <c r="A544" t="s">
        <v>6632</v>
      </c>
      <c r="B544" t="s">
        <v>6633</v>
      </c>
      <c r="C544" t="s">
        <v>2520</v>
      </c>
      <c r="D544" t="s">
        <v>6634</v>
      </c>
      <c r="E544" t="s">
        <v>4</v>
      </c>
      <c r="F544">
        <v>79</v>
      </c>
      <c r="G544">
        <v>235</v>
      </c>
      <c r="H544" t="s">
        <v>13</v>
      </c>
      <c r="I544" t="b">
        <v>0</v>
      </c>
      <c r="J544">
        <f t="shared" si="16"/>
        <v>0</v>
      </c>
      <c r="K544" t="str">
        <f t="shared" si="17"/>
        <v>Neutral</v>
      </c>
    </row>
    <row r="545" spans="1:11" x14ac:dyDescent="0.2">
      <c r="A545" t="s">
        <v>1017</v>
      </c>
      <c r="B545" t="s">
        <v>1018</v>
      </c>
      <c r="C545" t="s">
        <v>1019</v>
      </c>
      <c r="D545" t="s">
        <v>3</v>
      </c>
      <c r="E545" t="s">
        <v>4</v>
      </c>
      <c r="F545">
        <v>1104</v>
      </c>
      <c r="G545">
        <v>1998</v>
      </c>
      <c r="H545" t="s">
        <v>13</v>
      </c>
      <c r="I545" t="b">
        <v>0</v>
      </c>
      <c r="J545">
        <f t="shared" si="16"/>
        <v>0</v>
      </c>
      <c r="K545" t="str">
        <f t="shared" si="17"/>
        <v>Neutral</v>
      </c>
    </row>
    <row r="546" spans="1:11" x14ac:dyDescent="0.2">
      <c r="A546" t="s">
        <v>5049</v>
      </c>
      <c r="B546" t="s">
        <v>5050</v>
      </c>
      <c r="C546" t="s">
        <v>653</v>
      </c>
      <c r="D546" t="s">
        <v>3</v>
      </c>
      <c r="E546" t="s">
        <v>4</v>
      </c>
      <c r="F546">
        <v>38</v>
      </c>
      <c r="G546">
        <v>14</v>
      </c>
      <c r="H546" t="s">
        <v>33</v>
      </c>
      <c r="I546" t="b">
        <v>0</v>
      </c>
      <c r="J546">
        <f t="shared" si="16"/>
        <v>0</v>
      </c>
      <c r="K546" t="str">
        <f t="shared" si="17"/>
        <v>Neutral</v>
      </c>
    </row>
    <row r="547" spans="1:11" x14ac:dyDescent="0.2">
      <c r="A547" t="s">
        <v>3676</v>
      </c>
      <c r="B547" t="s">
        <v>3677</v>
      </c>
      <c r="C547" t="s">
        <v>1210</v>
      </c>
      <c r="D547" t="s">
        <v>3</v>
      </c>
      <c r="E547" t="s">
        <v>4</v>
      </c>
      <c r="F547">
        <v>217</v>
      </c>
      <c r="G547">
        <v>238</v>
      </c>
      <c r="H547" t="s">
        <v>13</v>
      </c>
      <c r="I547" t="b">
        <v>0</v>
      </c>
      <c r="J547">
        <f t="shared" si="16"/>
        <v>0</v>
      </c>
      <c r="K547" t="str">
        <f t="shared" si="17"/>
        <v>Neutral</v>
      </c>
    </row>
    <row r="548" spans="1:11" x14ac:dyDescent="0.2">
      <c r="A548" t="s">
        <v>3872</v>
      </c>
      <c r="B548" t="s">
        <v>3873</v>
      </c>
      <c r="C548" t="s">
        <v>3874</v>
      </c>
      <c r="D548" t="s">
        <v>3</v>
      </c>
      <c r="E548" t="s">
        <v>4</v>
      </c>
      <c r="F548">
        <v>56</v>
      </c>
      <c r="G548">
        <v>314</v>
      </c>
      <c r="H548" t="s">
        <v>13</v>
      </c>
      <c r="I548" t="b">
        <v>0</v>
      </c>
      <c r="J548">
        <f t="shared" si="16"/>
        <v>0</v>
      </c>
      <c r="K548" t="str">
        <f t="shared" si="17"/>
        <v>Neutral</v>
      </c>
    </row>
    <row r="549" spans="1:11" x14ac:dyDescent="0.2">
      <c r="A549" t="s">
        <v>7008</v>
      </c>
      <c r="B549" t="s">
        <v>7009</v>
      </c>
      <c r="C549" t="s">
        <v>7010</v>
      </c>
      <c r="D549" t="s">
        <v>7011</v>
      </c>
      <c r="E549" t="s">
        <v>4</v>
      </c>
      <c r="F549">
        <v>28</v>
      </c>
      <c r="G549">
        <v>56</v>
      </c>
      <c r="H549" t="s">
        <v>13</v>
      </c>
      <c r="I549" t="b">
        <v>0</v>
      </c>
      <c r="J549">
        <f t="shared" si="16"/>
        <v>10</v>
      </c>
      <c r="K549" t="str">
        <f t="shared" si="17"/>
        <v>Positive</v>
      </c>
    </row>
    <row r="550" spans="1:11" x14ac:dyDescent="0.2">
      <c r="A550" t="s">
        <v>4019</v>
      </c>
      <c r="B550" t="s">
        <v>4020</v>
      </c>
      <c r="C550" t="s">
        <v>4003</v>
      </c>
      <c r="D550" t="s">
        <v>4004</v>
      </c>
      <c r="E550" t="s">
        <v>4</v>
      </c>
      <c r="F550">
        <v>2396</v>
      </c>
      <c r="G550">
        <v>500</v>
      </c>
      <c r="H550" t="s">
        <v>13</v>
      </c>
      <c r="I550" t="b">
        <v>0</v>
      </c>
      <c r="J550">
        <f t="shared" si="16"/>
        <v>0</v>
      </c>
      <c r="K550" t="str">
        <f t="shared" si="17"/>
        <v>Neutral</v>
      </c>
    </row>
    <row r="551" spans="1:11" x14ac:dyDescent="0.2">
      <c r="A551" t="s">
        <v>5743</v>
      </c>
      <c r="B551" t="s">
        <v>5744</v>
      </c>
      <c r="C551" t="s">
        <v>219</v>
      </c>
      <c r="D551" t="s">
        <v>5745</v>
      </c>
      <c r="E551" t="s">
        <v>4</v>
      </c>
      <c r="F551">
        <v>465</v>
      </c>
      <c r="G551">
        <v>111</v>
      </c>
      <c r="H551" t="s">
        <v>13</v>
      </c>
      <c r="I551" t="b">
        <v>0</v>
      </c>
      <c r="J551">
        <f t="shared" si="16"/>
        <v>10</v>
      </c>
      <c r="K551" t="str">
        <f t="shared" si="17"/>
        <v>Positive</v>
      </c>
    </row>
    <row r="552" spans="1:11" x14ac:dyDescent="0.2">
      <c r="A552" t="s">
        <v>6251</v>
      </c>
      <c r="B552" t="s">
        <v>6252</v>
      </c>
      <c r="C552" t="s">
        <v>6253</v>
      </c>
      <c r="D552" t="s">
        <v>3</v>
      </c>
      <c r="E552" t="s">
        <v>4</v>
      </c>
      <c r="F552">
        <v>1306</v>
      </c>
      <c r="G552">
        <v>1716</v>
      </c>
      <c r="H552" t="s">
        <v>13</v>
      </c>
      <c r="I552" t="b">
        <v>0</v>
      </c>
      <c r="J552">
        <f t="shared" si="16"/>
        <v>0</v>
      </c>
      <c r="K552" t="str">
        <f t="shared" si="17"/>
        <v>Neutral</v>
      </c>
    </row>
    <row r="553" spans="1:11" x14ac:dyDescent="0.2">
      <c r="A553" t="s">
        <v>3176</v>
      </c>
      <c r="B553" t="s">
        <v>3177</v>
      </c>
      <c r="C553" t="s">
        <v>476</v>
      </c>
      <c r="D553" t="s">
        <v>477</v>
      </c>
      <c r="E553" t="s">
        <v>4</v>
      </c>
      <c r="F553">
        <v>292</v>
      </c>
      <c r="G553">
        <v>0</v>
      </c>
      <c r="H553" t="s">
        <v>114</v>
      </c>
      <c r="I553" t="b">
        <v>0</v>
      </c>
      <c r="J553">
        <f t="shared" si="16"/>
        <v>0</v>
      </c>
      <c r="K553" t="str">
        <f t="shared" si="17"/>
        <v>Neutral</v>
      </c>
    </row>
    <row r="554" spans="1:11" x14ac:dyDescent="0.2">
      <c r="A554" t="s">
        <v>3278</v>
      </c>
      <c r="B554" t="s">
        <v>3279</v>
      </c>
      <c r="C554" t="s">
        <v>293</v>
      </c>
      <c r="D554" t="s">
        <v>3</v>
      </c>
      <c r="E554" t="s">
        <v>4</v>
      </c>
      <c r="F554">
        <v>3634</v>
      </c>
      <c r="G554">
        <v>3732</v>
      </c>
      <c r="H554" t="s">
        <v>13</v>
      </c>
      <c r="I554" t="b">
        <v>0</v>
      </c>
      <c r="J554">
        <f t="shared" si="16"/>
        <v>0</v>
      </c>
      <c r="K554" t="str">
        <f t="shared" si="17"/>
        <v>Neutral</v>
      </c>
    </row>
    <row r="555" spans="1:11" x14ac:dyDescent="0.2">
      <c r="A555" t="s">
        <v>4413</v>
      </c>
      <c r="B555" t="s">
        <v>4414</v>
      </c>
      <c r="C555" t="s">
        <v>4415</v>
      </c>
      <c r="D555" t="s">
        <v>4416</v>
      </c>
      <c r="E555" t="s">
        <v>4</v>
      </c>
      <c r="F555">
        <v>648</v>
      </c>
      <c r="G555">
        <v>784</v>
      </c>
      <c r="H555" t="s">
        <v>4417</v>
      </c>
      <c r="I555" t="b">
        <v>0</v>
      </c>
      <c r="J555">
        <f t="shared" si="16"/>
        <v>10</v>
      </c>
      <c r="K555" t="str">
        <f t="shared" si="17"/>
        <v>Positive</v>
      </c>
    </row>
    <row r="556" spans="1:11" x14ac:dyDescent="0.2">
      <c r="A556" t="s">
        <v>2038</v>
      </c>
      <c r="B556" t="s">
        <v>2039</v>
      </c>
      <c r="C556" t="s">
        <v>2040</v>
      </c>
      <c r="D556" t="s">
        <v>3</v>
      </c>
      <c r="E556" t="s">
        <v>4</v>
      </c>
      <c r="F556">
        <v>27</v>
      </c>
      <c r="G556">
        <v>168</v>
      </c>
      <c r="H556" t="s">
        <v>1092</v>
      </c>
      <c r="I556" t="b">
        <v>0</v>
      </c>
      <c r="J556">
        <f t="shared" si="16"/>
        <v>0</v>
      </c>
      <c r="K556" t="str">
        <f t="shared" si="17"/>
        <v>Neutral</v>
      </c>
    </row>
    <row r="557" spans="1:11" x14ac:dyDescent="0.2">
      <c r="A557" t="s">
        <v>4723</v>
      </c>
      <c r="B557" t="s">
        <v>4724</v>
      </c>
      <c r="C557" t="s">
        <v>3968</v>
      </c>
      <c r="D557" t="s">
        <v>113</v>
      </c>
      <c r="E557" t="s">
        <v>4</v>
      </c>
      <c r="F557">
        <v>71</v>
      </c>
      <c r="G557">
        <v>179</v>
      </c>
      <c r="H557" t="s">
        <v>13</v>
      </c>
      <c r="I557" t="b">
        <v>0</v>
      </c>
      <c r="J557">
        <f t="shared" si="16"/>
        <v>0</v>
      </c>
      <c r="K557" t="str">
        <f t="shared" si="17"/>
        <v>Neutral</v>
      </c>
    </row>
    <row r="558" spans="1:11" x14ac:dyDescent="0.2">
      <c r="A558" t="s">
        <v>5168</v>
      </c>
      <c r="B558" t="s">
        <v>5169</v>
      </c>
      <c r="C558" t="s">
        <v>5170</v>
      </c>
      <c r="D558" t="s">
        <v>5171</v>
      </c>
      <c r="E558" t="s">
        <v>4</v>
      </c>
      <c r="F558">
        <v>5153</v>
      </c>
      <c r="G558">
        <v>508</v>
      </c>
      <c r="H558" t="s">
        <v>5</v>
      </c>
      <c r="I558" t="b">
        <v>0</v>
      </c>
      <c r="J558">
        <f t="shared" si="16"/>
        <v>0</v>
      </c>
      <c r="K558" t="str">
        <f t="shared" si="17"/>
        <v>Neutral</v>
      </c>
    </row>
    <row r="559" spans="1:11" x14ac:dyDescent="0.2">
      <c r="A559" t="s">
        <v>6780</v>
      </c>
      <c r="B559" t="s">
        <v>6781</v>
      </c>
      <c r="C559" t="s">
        <v>6782</v>
      </c>
      <c r="D559" t="s">
        <v>1817</v>
      </c>
      <c r="E559" t="s">
        <v>4</v>
      </c>
      <c r="F559">
        <v>3752</v>
      </c>
      <c r="G559">
        <v>1</v>
      </c>
      <c r="H559" t="s">
        <v>13</v>
      </c>
      <c r="I559" t="b">
        <v>0</v>
      </c>
      <c r="J559">
        <f t="shared" si="16"/>
        <v>0</v>
      </c>
      <c r="K559" t="str">
        <f t="shared" si="17"/>
        <v>Neutral</v>
      </c>
    </row>
    <row r="560" spans="1:11" x14ac:dyDescent="0.2">
      <c r="A560" t="s">
        <v>294</v>
      </c>
      <c r="B560" t="s">
        <v>295</v>
      </c>
      <c r="C560" t="s">
        <v>296</v>
      </c>
      <c r="D560" t="s">
        <v>3</v>
      </c>
      <c r="E560" t="s">
        <v>4</v>
      </c>
      <c r="F560">
        <v>27</v>
      </c>
      <c r="G560">
        <v>23</v>
      </c>
      <c r="H560" t="s">
        <v>13</v>
      </c>
      <c r="I560" t="b">
        <v>0</v>
      </c>
      <c r="J560">
        <f t="shared" si="16"/>
        <v>0</v>
      </c>
      <c r="K560" t="str">
        <f t="shared" si="17"/>
        <v>Neutral</v>
      </c>
    </row>
    <row r="561" spans="1:11" x14ac:dyDescent="0.2">
      <c r="A561" t="s">
        <v>4418</v>
      </c>
      <c r="B561" t="s">
        <v>4419</v>
      </c>
      <c r="C561" t="s">
        <v>4420</v>
      </c>
      <c r="D561" t="s">
        <v>4421</v>
      </c>
      <c r="E561" t="s">
        <v>4</v>
      </c>
      <c r="F561">
        <v>240</v>
      </c>
      <c r="G561">
        <v>154</v>
      </c>
      <c r="H561" t="s">
        <v>13</v>
      </c>
      <c r="I561" t="b">
        <v>0</v>
      </c>
      <c r="J561">
        <f t="shared" si="16"/>
        <v>10</v>
      </c>
      <c r="K561" t="str">
        <f t="shared" si="17"/>
        <v>Positive</v>
      </c>
    </row>
    <row r="562" spans="1:11" x14ac:dyDescent="0.2">
      <c r="A562" t="s">
        <v>5369</v>
      </c>
      <c r="B562" t="s">
        <v>5370</v>
      </c>
      <c r="C562" t="s">
        <v>177</v>
      </c>
      <c r="D562" t="s">
        <v>3</v>
      </c>
      <c r="E562" t="s">
        <v>4</v>
      </c>
      <c r="F562">
        <v>517</v>
      </c>
      <c r="G562">
        <v>411</v>
      </c>
      <c r="H562" t="s">
        <v>13</v>
      </c>
      <c r="I562" t="b">
        <v>0</v>
      </c>
      <c r="J562">
        <f t="shared" si="16"/>
        <v>0</v>
      </c>
      <c r="K562" t="str">
        <f t="shared" si="17"/>
        <v>Neutral</v>
      </c>
    </row>
    <row r="563" spans="1:11" x14ac:dyDescent="0.2">
      <c r="A563" t="s">
        <v>4549</v>
      </c>
      <c r="B563" t="s">
        <v>4550</v>
      </c>
      <c r="C563" t="s">
        <v>1009</v>
      </c>
      <c r="D563" t="s">
        <v>4551</v>
      </c>
      <c r="E563" t="s">
        <v>4</v>
      </c>
      <c r="F563">
        <v>713</v>
      </c>
      <c r="G563">
        <v>798</v>
      </c>
      <c r="H563" t="s">
        <v>13</v>
      </c>
      <c r="I563" t="b">
        <v>0</v>
      </c>
      <c r="J563">
        <f t="shared" si="16"/>
        <v>0</v>
      </c>
      <c r="K563" t="str">
        <f t="shared" si="17"/>
        <v>Neutral</v>
      </c>
    </row>
    <row r="564" spans="1:11" x14ac:dyDescent="0.2">
      <c r="A564" t="s">
        <v>444</v>
      </c>
      <c r="B564" t="s">
        <v>445</v>
      </c>
      <c r="C564" t="s">
        <v>446</v>
      </c>
      <c r="D564" t="s">
        <v>447</v>
      </c>
      <c r="E564" t="s">
        <v>4</v>
      </c>
      <c r="F564">
        <v>6122</v>
      </c>
      <c r="G564">
        <v>384</v>
      </c>
      <c r="H564" t="s">
        <v>13</v>
      </c>
      <c r="I564" t="b">
        <v>0</v>
      </c>
      <c r="J564">
        <f t="shared" si="16"/>
        <v>0</v>
      </c>
      <c r="K564" t="str">
        <f t="shared" si="17"/>
        <v>Neutral</v>
      </c>
    </row>
    <row r="565" spans="1:11" x14ac:dyDescent="0.2">
      <c r="A565" t="s">
        <v>5828</v>
      </c>
      <c r="B565" t="s">
        <v>5829</v>
      </c>
      <c r="C565" t="s">
        <v>4363</v>
      </c>
      <c r="D565" t="s">
        <v>3</v>
      </c>
      <c r="E565" t="s">
        <v>4</v>
      </c>
      <c r="F565">
        <v>83</v>
      </c>
      <c r="G565">
        <v>149</v>
      </c>
      <c r="H565" t="s">
        <v>13</v>
      </c>
      <c r="I565" t="b">
        <v>0</v>
      </c>
      <c r="J565">
        <f t="shared" si="16"/>
        <v>-10</v>
      </c>
      <c r="K565" t="str">
        <f t="shared" si="17"/>
        <v>Negative</v>
      </c>
    </row>
    <row r="566" spans="1:11" x14ac:dyDescent="0.2">
      <c r="A566" t="s">
        <v>933</v>
      </c>
      <c r="B566" t="s">
        <v>934</v>
      </c>
      <c r="C566" t="s">
        <v>895</v>
      </c>
      <c r="D566" t="s">
        <v>3</v>
      </c>
      <c r="E566" t="s">
        <v>4</v>
      </c>
      <c r="F566">
        <v>1564</v>
      </c>
      <c r="G566">
        <v>5000</v>
      </c>
      <c r="H566" t="s">
        <v>13</v>
      </c>
      <c r="I566" t="b">
        <v>0</v>
      </c>
      <c r="J566">
        <f t="shared" si="16"/>
        <v>-10</v>
      </c>
      <c r="K566" t="str">
        <f t="shared" si="17"/>
        <v>Negative</v>
      </c>
    </row>
    <row r="567" spans="1:11" x14ac:dyDescent="0.2">
      <c r="A567" t="s">
        <v>4383</v>
      </c>
      <c r="B567" t="s">
        <v>4384</v>
      </c>
      <c r="C567" t="s">
        <v>1138</v>
      </c>
      <c r="D567" t="s">
        <v>3</v>
      </c>
      <c r="E567" t="s">
        <v>4</v>
      </c>
      <c r="F567">
        <v>4537</v>
      </c>
      <c r="G567">
        <v>398</v>
      </c>
      <c r="H567" t="s">
        <v>13</v>
      </c>
      <c r="I567" t="b">
        <v>0</v>
      </c>
      <c r="J567">
        <f t="shared" si="16"/>
        <v>0</v>
      </c>
      <c r="K567" t="str">
        <f t="shared" si="17"/>
        <v>Neutral</v>
      </c>
    </row>
    <row r="568" spans="1:11" x14ac:dyDescent="0.2">
      <c r="A568" t="s">
        <v>2685</v>
      </c>
      <c r="B568" t="s">
        <v>2686</v>
      </c>
      <c r="C568" t="s">
        <v>568</v>
      </c>
      <c r="D568" t="s">
        <v>3</v>
      </c>
      <c r="E568" t="s">
        <v>4</v>
      </c>
      <c r="F568">
        <v>93</v>
      </c>
      <c r="G568">
        <v>2</v>
      </c>
      <c r="H568" t="s">
        <v>76</v>
      </c>
      <c r="I568" t="b">
        <v>0</v>
      </c>
      <c r="J568">
        <f t="shared" si="16"/>
        <v>0</v>
      </c>
      <c r="K568" t="str">
        <f t="shared" si="17"/>
        <v>Neutral</v>
      </c>
    </row>
    <row r="569" spans="1:11" x14ac:dyDescent="0.2">
      <c r="A569" t="s">
        <v>6188</v>
      </c>
      <c r="B569" t="s">
        <v>6189</v>
      </c>
      <c r="C569" t="s">
        <v>6190</v>
      </c>
      <c r="D569" t="s">
        <v>6191</v>
      </c>
      <c r="E569" t="s">
        <v>4</v>
      </c>
      <c r="F569">
        <v>2604</v>
      </c>
      <c r="G569">
        <v>370</v>
      </c>
      <c r="H569" t="s">
        <v>13</v>
      </c>
      <c r="I569" t="b">
        <v>0</v>
      </c>
      <c r="J569">
        <f t="shared" si="16"/>
        <v>10</v>
      </c>
      <c r="K569" t="str">
        <f t="shared" si="17"/>
        <v>Positive</v>
      </c>
    </row>
    <row r="570" spans="1:11" x14ac:dyDescent="0.2">
      <c r="A570" t="s">
        <v>6507</v>
      </c>
      <c r="B570" t="s">
        <v>6508</v>
      </c>
      <c r="C570" t="s">
        <v>1618</v>
      </c>
      <c r="D570" t="s">
        <v>3</v>
      </c>
      <c r="E570" t="s">
        <v>4</v>
      </c>
      <c r="F570">
        <v>15</v>
      </c>
      <c r="G570">
        <v>0</v>
      </c>
      <c r="H570" t="s">
        <v>33</v>
      </c>
      <c r="I570" t="b">
        <v>0</v>
      </c>
      <c r="J570">
        <f t="shared" si="16"/>
        <v>0</v>
      </c>
      <c r="K570" t="str">
        <f t="shared" si="17"/>
        <v>Neutral</v>
      </c>
    </row>
    <row r="571" spans="1:11" x14ac:dyDescent="0.2">
      <c r="A571" t="s">
        <v>7021</v>
      </c>
      <c r="B571" t="s">
        <v>7022</v>
      </c>
      <c r="C571" t="s">
        <v>568</v>
      </c>
      <c r="D571" t="s">
        <v>3</v>
      </c>
      <c r="E571" t="s">
        <v>4</v>
      </c>
      <c r="F571">
        <v>19</v>
      </c>
      <c r="G571">
        <v>184</v>
      </c>
      <c r="H571" t="s">
        <v>645</v>
      </c>
      <c r="I571" t="b">
        <v>0</v>
      </c>
      <c r="J571">
        <f t="shared" si="16"/>
        <v>0</v>
      </c>
      <c r="K571" t="str">
        <f t="shared" si="17"/>
        <v>Neutral</v>
      </c>
    </row>
    <row r="572" spans="1:11" x14ac:dyDescent="0.2">
      <c r="A572" t="s">
        <v>6956</v>
      </c>
      <c r="B572" t="s">
        <v>6957</v>
      </c>
      <c r="C572" t="s">
        <v>293</v>
      </c>
      <c r="D572" t="s">
        <v>569</v>
      </c>
      <c r="E572" t="s">
        <v>4</v>
      </c>
      <c r="F572">
        <v>1032</v>
      </c>
      <c r="G572">
        <v>189</v>
      </c>
      <c r="H572" t="s">
        <v>13</v>
      </c>
      <c r="I572" t="b">
        <v>0</v>
      </c>
      <c r="J572">
        <f t="shared" si="16"/>
        <v>0</v>
      </c>
      <c r="K572" t="str">
        <f t="shared" si="17"/>
        <v>Neutral</v>
      </c>
    </row>
    <row r="573" spans="1:11" x14ac:dyDescent="0.2">
      <c r="A573" t="s">
        <v>5537</v>
      </c>
      <c r="B573" t="s">
        <v>5538</v>
      </c>
      <c r="C573" t="s">
        <v>293</v>
      </c>
      <c r="D573" t="s">
        <v>569</v>
      </c>
      <c r="E573" t="s">
        <v>4</v>
      </c>
      <c r="F573">
        <v>1032</v>
      </c>
      <c r="G573">
        <v>189</v>
      </c>
      <c r="H573" t="s">
        <v>13</v>
      </c>
      <c r="I573" t="b">
        <v>0</v>
      </c>
      <c r="J573">
        <f t="shared" si="16"/>
        <v>0</v>
      </c>
      <c r="K573" t="str">
        <f t="shared" si="17"/>
        <v>Neutral</v>
      </c>
    </row>
    <row r="574" spans="1:11" x14ac:dyDescent="0.2">
      <c r="A574" t="s">
        <v>2205</v>
      </c>
      <c r="B574" t="s">
        <v>2206</v>
      </c>
      <c r="C574" t="s">
        <v>293</v>
      </c>
      <c r="D574" t="s">
        <v>569</v>
      </c>
      <c r="E574" t="s">
        <v>4</v>
      </c>
      <c r="F574">
        <v>1032</v>
      </c>
      <c r="G574">
        <v>189</v>
      </c>
      <c r="H574" t="s">
        <v>13</v>
      </c>
      <c r="I574" t="b">
        <v>0</v>
      </c>
      <c r="J574">
        <f t="shared" si="16"/>
        <v>0</v>
      </c>
      <c r="K574" t="str">
        <f t="shared" si="17"/>
        <v>Neutral</v>
      </c>
    </row>
    <row r="575" spans="1:11" x14ac:dyDescent="0.2">
      <c r="A575" t="s">
        <v>5770</v>
      </c>
      <c r="B575" t="s">
        <v>5771</v>
      </c>
      <c r="C575" t="s">
        <v>293</v>
      </c>
      <c r="D575" t="s">
        <v>569</v>
      </c>
      <c r="E575" t="s">
        <v>4</v>
      </c>
      <c r="F575">
        <v>1032</v>
      </c>
      <c r="G575">
        <v>189</v>
      </c>
      <c r="H575" t="s">
        <v>13</v>
      </c>
      <c r="I575" t="b">
        <v>0</v>
      </c>
      <c r="J575">
        <f t="shared" si="16"/>
        <v>0</v>
      </c>
      <c r="K575" t="str">
        <f t="shared" si="17"/>
        <v>Neutral</v>
      </c>
    </row>
    <row r="576" spans="1:11" x14ac:dyDescent="0.2">
      <c r="A576" t="s">
        <v>6777</v>
      </c>
      <c r="B576" t="s">
        <v>6778</v>
      </c>
      <c r="C576" t="s">
        <v>293</v>
      </c>
      <c r="D576" t="s">
        <v>569</v>
      </c>
      <c r="E576" t="s">
        <v>4</v>
      </c>
      <c r="F576">
        <v>1032</v>
      </c>
      <c r="G576">
        <v>189</v>
      </c>
      <c r="H576" t="s">
        <v>13</v>
      </c>
      <c r="I576" t="b">
        <v>0</v>
      </c>
      <c r="J576">
        <f t="shared" si="16"/>
        <v>0</v>
      </c>
      <c r="K576" t="str">
        <f t="shared" si="17"/>
        <v>Neutral</v>
      </c>
    </row>
    <row r="577" spans="1:11" x14ac:dyDescent="0.2">
      <c r="A577" t="s">
        <v>811</v>
      </c>
      <c r="B577" t="s">
        <v>812</v>
      </c>
      <c r="C577" t="s">
        <v>293</v>
      </c>
      <c r="D577" t="s">
        <v>569</v>
      </c>
      <c r="E577" t="s">
        <v>4</v>
      </c>
      <c r="F577">
        <v>1031</v>
      </c>
      <c r="G577">
        <v>189</v>
      </c>
      <c r="H577" t="s">
        <v>13</v>
      </c>
      <c r="I577" t="b">
        <v>0</v>
      </c>
      <c r="J577">
        <f t="shared" si="16"/>
        <v>0</v>
      </c>
      <c r="K577" t="str">
        <f t="shared" si="17"/>
        <v>Neutral</v>
      </c>
    </row>
    <row r="578" spans="1:11" x14ac:dyDescent="0.2">
      <c r="A578" t="s">
        <v>3500</v>
      </c>
      <c r="B578" t="s">
        <v>3501</v>
      </c>
      <c r="C578" t="s">
        <v>293</v>
      </c>
      <c r="D578" t="s">
        <v>569</v>
      </c>
      <c r="E578" t="s">
        <v>4</v>
      </c>
      <c r="F578">
        <v>1031</v>
      </c>
      <c r="G578">
        <v>189</v>
      </c>
      <c r="H578" t="s">
        <v>13</v>
      </c>
      <c r="I578" t="b">
        <v>0</v>
      </c>
      <c r="J578">
        <f t="shared" si="16"/>
        <v>0</v>
      </c>
      <c r="K578" t="str">
        <f t="shared" si="17"/>
        <v>Neutral</v>
      </c>
    </row>
    <row r="579" spans="1:11" x14ac:dyDescent="0.2">
      <c r="A579" t="s">
        <v>1495</v>
      </c>
      <c r="B579" t="s">
        <v>1496</v>
      </c>
      <c r="C579" t="s">
        <v>53</v>
      </c>
      <c r="D579" t="s">
        <v>54</v>
      </c>
      <c r="E579" t="s">
        <v>4</v>
      </c>
      <c r="F579">
        <v>629</v>
      </c>
      <c r="G579">
        <v>139</v>
      </c>
      <c r="H579" t="s">
        <v>13</v>
      </c>
      <c r="I579" t="b">
        <v>0</v>
      </c>
      <c r="J579">
        <f t="shared" ref="J579:J642" si="18">sentimentCalc(B579)</f>
        <v>0</v>
      </c>
      <c r="K579" t="str">
        <f t="shared" ref="K579:K642" si="19">sentimentCategory(J579)</f>
        <v>Neutral</v>
      </c>
    </row>
    <row r="580" spans="1:11" x14ac:dyDescent="0.2">
      <c r="A580" t="s">
        <v>5877</v>
      </c>
      <c r="B580" t="s">
        <v>5878</v>
      </c>
      <c r="C580" t="s">
        <v>3435</v>
      </c>
      <c r="D580" t="s">
        <v>3</v>
      </c>
      <c r="E580" t="s">
        <v>4</v>
      </c>
      <c r="F580">
        <v>19</v>
      </c>
      <c r="G580">
        <v>57</v>
      </c>
      <c r="H580" t="s">
        <v>13</v>
      </c>
      <c r="I580" t="b">
        <v>0</v>
      </c>
      <c r="J580">
        <f t="shared" si="18"/>
        <v>0</v>
      </c>
      <c r="K580" t="str">
        <f t="shared" si="19"/>
        <v>Neutral</v>
      </c>
    </row>
    <row r="581" spans="1:11" x14ac:dyDescent="0.2">
      <c r="A581" t="s">
        <v>2991</v>
      </c>
      <c r="B581" t="s">
        <v>2992</v>
      </c>
      <c r="C581" t="s">
        <v>2020</v>
      </c>
      <c r="D581" t="s">
        <v>3</v>
      </c>
      <c r="E581" t="s">
        <v>4</v>
      </c>
      <c r="F581">
        <v>7</v>
      </c>
      <c r="G581">
        <v>88</v>
      </c>
      <c r="H581" t="s">
        <v>13</v>
      </c>
      <c r="I581" t="b">
        <v>0</v>
      </c>
      <c r="J581">
        <f t="shared" si="18"/>
        <v>0</v>
      </c>
      <c r="K581" t="str">
        <f t="shared" si="19"/>
        <v>Neutral</v>
      </c>
    </row>
    <row r="582" spans="1:11" x14ac:dyDescent="0.2">
      <c r="A582" t="s">
        <v>1860</v>
      </c>
      <c r="B582" t="s">
        <v>1861</v>
      </c>
      <c r="C582" t="s">
        <v>1862</v>
      </c>
      <c r="D582" t="s">
        <v>1863</v>
      </c>
      <c r="E582" t="s">
        <v>4</v>
      </c>
      <c r="F582">
        <v>339</v>
      </c>
      <c r="G582">
        <v>430</v>
      </c>
      <c r="H582" t="s">
        <v>13</v>
      </c>
      <c r="I582" t="b">
        <v>0</v>
      </c>
      <c r="J582">
        <f t="shared" si="18"/>
        <v>0</v>
      </c>
      <c r="K582" t="str">
        <f t="shared" si="19"/>
        <v>Neutral</v>
      </c>
    </row>
    <row r="583" spans="1:11" x14ac:dyDescent="0.2">
      <c r="A583" t="s">
        <v>3202</v>
      </c>
      <c r="B583" t="s">
        <v>3203</v>
      </c>
      <c r="C583" t="s">
        <v>3204</v>
      </c>
      <c r="D583" t="s">
        <v>3</v>
      </c>
      <c r="E583" t="s">
        <v>4</v>
      </c>
      <c r="F583">
        <v>474</v>
      </c>
      <c r="G583">
        <v>247</v>
      </c>
      <c r="H583" t="s">
        <v>13</v>
      </c>
      <c r="I583" t="b">
        <v>0</v>
      </c>
      <c r="J583">
        <f t="shared" si="18"/>
        <v>0</v>
      </c>
      <c r="K583" t="str">
        <f t="shared" si="19"/>
        <v>Neutral</v>
      </c>
    </row>
    <row r="584" spans="1:11" x14ac:dyDescent="0.2">
      <c r="A584" t="s">
        <v>5843</v>
      </c>
      <c r="B584" t="s">
        <v>5844</v>
      </c>
      <c r="C584" t="s">
        <v>5845</v>
      </c>
      <c r="D584" t="s">
        <v>5846</v>
      </c>
      <c r="E584" t="s">
        <v>4</v>
      </c>
      <c r="F584">
        <v>474</v>
      </c>
      <c r="G584">
        <v>626</v>
      </c>
      <c r="H584" t="s">
        <v>13</v>
      </c>
      <c r="I584" t="b">
        <v>0</v>
      </c>
      <c r="J584">
        <f t="shared" si="18"/>
        <v>0</v>
      </c>
      <c r="K584" t="str">
        <f t="shared" si="19"/>
        <v>Neutral</v>
      </c>
    </row>
    <row r="585" spans="1:11" x14ac:dyDescent="0.2">
      <c r="A585" t="s">
        <v>1864</v>
      </c>
      <c r="B585" t="s">
        <v>1865</v>
      </c>
      <c r="C585" t="s">
        <v>1866</v>
      </c>
      <c r="D585" t="s">
        <v>1867</v>
      </c>
      <c r="E585" t="s">
        <v>4</v>
      </c>
      <c r="F585">
        <v>463</v>
      </c>
      <c r="G585">
        <v>222</v>
      </c>
      <c r="H585" t="s">
        <v>13</v>
      </c>
      <c r="I585" t="b">
        <v>0</v>
      </c>
      <c r="J585">
        <f t="shared" si="18"/>
        <v>10</v>
      </c>
      <c r="K585" t="str">
        <f t="shared" si="19"/>
        <v>Positive</v>
      </c>
    </row>
    <row r="586" spans="1:11" x14ac:dyDescent="0.2">
      <c r="A586" t="s">
        <v>5365</v>
      </c>
      <c r="B586" t="s">
        <v>5366</v>
      </c>
      <c r="C586" t="s">
        <v>520</v>
      </c>
      <c r="D586" t="s">
        <v>1848</v>
      </c>
      <c r="E586" t="s">
        <v>4</v>
      </c>
      <c r="F586">
        <v>239</v>
      </c>
      <c r="G586">
        <v>226</v>
      </c>
      <c r="H586" t="s">
        <v>13</v>
      </c>
      <c r="I586" t="b">
        <v>0</v>
      </c>
      <c r="J586">
        <f t="shared" si="18"/>
        <v>0</v>
      </c>
      <c r="K586" t="str">
        <f t="shared" si="19"/>
        <v>Neutral</v>
      </c>
    </row>
    <row r="587" spans="1:11" x14ac:dyDescent="0.2">
      <c r="A587" t="s">
        <v>6053</v>
      </c>
      <c r="B587" t="s">
        <v>6054</v>
      </c>
      <c r="C587" t="s">
        <v>2425</v>
      </c>
      <c r="D587" t="s">
        <v>6055</v>
      </c>
      <c r="E587" t="s">
        <v>4</v>
      </c>
      <c r="F587">
        <v>1055</v>
      </c>
      <c r="G587">
        <v>1475</v>
      </c>
      <c r="H587" t="s">
        <v>13</v>
      </c>
      <c r="I587" t="b">
        <v>0</v>
      </c>
      <c r="J587">
        <f t="shared" si="18"/>
        <v>0</v>
      </c>
      <c r="K587" t="str">
        <f t="shared" si="19"/>
        <v>Neutral</v>
      </c>
    </row>
    <row r="588" spans="1:11" x14ac:dyDescent="0.2">
      <c r="A588" t="s">
        <v>6014</v>
      </c>
      <c r="B588" t="s">
        <v>6015</v>
      </c>
      <c r="C588" t="s">
        <v>476</v>
      </c>
      <c r="D588" t="s">
        <v>5523</v>
      </c>
      <c r="E588" t="s">
        <v>4</v>
      </c>
      <c r="F588">
        <v>241</v>
      </c>
      <c r="G588">
        <v>317</v>
      </c>
      <c r="H588" t="s">
        <v>13</v>
      </c>
      <c r="I588" t="b">
        <v>0</v>
      </c>
      <c r="J588">
        <f t="shared" si="18"/>
        <v>10</v>
      </c>
      <c r="K588" t="str">
        <f t="shared" si="19"/>
        <v>Positive</v>
      </c>
    </row>
    <row r="589" spans="1:11" x14ac:dyDescent="0.2">
      <c r="A589" t="s">
        <v>5815</v>
      </c>
      <c r="B589" t="s">
        <v>5816</v>
      </c>
      <c r="C589" t="s">
        <v>828</v>
      </c>
      <c r="D589" t="s">
        <v>3</v>
      </c>
      <c r="E589" t="s">
        <v>4</v>
      </c>
      <c r="F589">
        <v>204</v>
      </c>
      <c r="G589">
        <v>328</v>
      </c>
      <c r="H589" t="s">
        <v>13</v>
      </c>
      <c r="I589" t="b">
        <v>0</v>
      </c>
      <c r="J589">
        <f t="shared" si="18"/>
        <v>0</v>
      </c>
      <c r="K589" t="str">
        <f t="shared" si="19"/>
        <v>Neutral</v>
      </c>
    </row>
    <row r="590" spans="1:11" x14ac:dyDescent="0.2">
      <c r="A590" t="s">
        <v>5068</v>
      </c>
      <c r="B590" t="s">
        <v>5069</v>
      </c>
      <c r="C590" t="s">
        <v>5070</v>
      </c>
      <c r="D590" t="s">
        <v>5071</v>
      </c>
      <c r="E590" t="s">
        <v>4</v>
      </c>
      <c r="F590">
        <v>392</v>
      </c>
      <c r="G590">
        <v>408</v>
      </c>
      <c r="H590" t="s">
        <v>13</v>
      </c>
      <c r="I590" t="b">
        <v>0</v>
      </c>
      <c r="J590">
        <f t="shared" si="18"/>
        <v>0</v>
      </c>
      <c r="K590" t="str">
        <f t="shared" si="19"/>
        <v>Neutral</v>
      </c>
    </row>
    <row r="591" spans="1:11" x14ac:dyDescent="0.2">
      <c r="A591" t="s">
        <v>5803</v>
      </c>
      <c r="B591" t="s">
        <v>5804</v>
      </c>
      <c r="C591" t="s">
        <v>5805</v>
      </c>
      <c r="D591" t="s">
        <v>3471</v>
      </c>
      <c r="E591" t="s">
        <v>4</v>
      </c>
      <c r="F591">
        <v>4091</v>
      </c>
      <c r="G591">
        <v>2393</v>
      </c>
      <c r="H591" t="s">
        <v>13</v>
      </c>
      <c r="I591" t="b">
        <v>0</v>
      </c>
      <c r="J591">
        <f t="shared" si="18"/>
        <v>10</v>
      </c>
      <c r="K591" t="str">
        <f t="shared" si="19"/>
        <v>Positive</v>
      </c>
    </row>
    <row r="592" spans="1:11" x14ac:dyDescent="0.2">
      <c r="A592" t="s">
        <v>5307</v>
      </c>
      <c r="B592" t="s">
        <v>5308</v>
      </c>
      <c r="C592" t="s">
        <v>226</v>
      </c>
      <c r="D592" t="s">
        <v>3</v>
      </c>
      <c r="E592" t="s">
        <v>4</v>
      </c>
      <c r="F592">
        <v>741</v>
      </c>
      <c r="G592">
        <v>848</v>
      </c>
      <c r="H592" t="s">
        <v>13</v>
      </c>
      <c r="I592" t="b">
        <v>0</v>
      </c>
      <c r="J592">
        <f t="shared" si="18"/>
        <v>10</v>
      </c>
      <c r="K592" t="str">
        <f t="shared" si="19"/>
        <v>Positive</v>
      </c>
    </row>
    <row r="593" spans="1:11" x14ac:dyDescent="0.2">
      <c r="A593" t="s">
        <v>2245</v>
      </c>
      <c r="B593" t="s">
        <v>2246</v>
      </c>
      <c r="C593" t="s">
        <v>1828</v>
      </c>
      <c r="D593" t="s">
        <v>64</v>
      </c>
      <c r="E593" t="s">
        <v>4</v>
      </c>
      <c r="F593">
        <v>141</v>
      </c>
      <c r="G593">
        <v>313</v>
      </c>
      <c r="H593" t="s">
        <v>13</v>
      </c>
      <c r="I593" t="b">
        <v>0</v>
      </c>
      <c r="J593">
        <f t="shared" si="18"/>
        <v>0</v>
      </c>
      <c r="K593" t="str">
        <f t="shared" si="19"/>
        <v>Neutral</v>
      </c>
    </row>
    <row r="594" spans="1:11" x14ac:dyDescent="0.2">
      <c r="A594" t="s">
        <v>1461</v>
      </c>
      <c r="B594" t="s">
        <v>1462</v>
      </c>
      <c r="C594" t="s">
        <v>1048</v>
      </c>
      <c r="D594" t="s">
        <v>1463</v>
      </c>
      <c r="E594" t="s">
        <v>4</v>
      </c>
      <c r="F594">
        <v>6</v>
      </c>
      <c r="G594">
        <v>65</v>
      </c>
      <c r="H594" t="s">
        <v>13</v>
      </c>
      <c r="I594" t="b">
        <v>0</v>
      </c>
      <c r="J594">
        <f t="shared" si="18"/>
        <v>10</v>
      </c>
      <c r="K594" t="str">
        <f t="shared" si="19"/>
        <v>Positive</v>
      </c>
    </row>
    <row r="595" spans="1:11" x14ac:dyDescent="0.2">
      <c r="A595" t="s">
        <v>1858</v>
      </c>
      <c r="B595" t="s">
        <v>1859</v>
      </c>
      <c r="C595" t="s">
        <v>1254</v>
      </c>
      <c r="D595" t="s">
        <v>1255</v>
      </c>
      <c r="E595" t="s">
        <v>4</v>
      </c>
      <c r="F595">
        <v>1355</v>
      </c>
      <c r="G595">
        <v>1069</v>
      </c>
      <c r="H595" t="s">
        <v>13</v>
      </c>
      <c r="I595" t="b">
        <v>0</v>
      </c>
      <c r="J595">
        <f t="shared" si="18"/>
        <v>10</v>
      </c>
      <c r="K595" t="str">
        <f t="shared" si="19"/>
        <v>Positive</v>
      </c>
    </row>
    <row r="596" spans="1:11" x14ac:dyDescent="0.2">
      <c r="A596" t="s">
        <v>6058</v>
      </c>
      <c r="B596" t="s">
        <v>6059</v>
      </c>
      <c r="C596" t="s">
        <v>6060</v>
      </c>
      <c r="D596" t="s">
        <v>3</v>
      </c>
      <c r="E596" t="s">
        <v>4</v>
      </c>
      <c r="F596">
        <v>3</v>
      </c>
      <c r="G596">
        <v>21</v>
      </c>
      <c r="H596" t="s">
        <v>13</v>
      </c>
      <c r="I596" t="b">
        <v>0</v>
      </c>
      <c r="J596">
        <f t="shared" si="18"/>
        <v>10</v>
      </c>
      <c r="K596" t="str">
        <f t="shared" si="19"/>
        <v>Positive</v>
      </c>
    </row>
    <row r="597" spans="1:11" x14ac:dyDescent="0.2">
      <c r="A597" t="s">
        <v>6619</v>
      </c>
      <c r="B597" t="s">
        <v>6620</v>
      </c>
      <c r="C597" t="s">
        <v>895</v>
      </c>
      <c r="D597" t="s">
        <v>6621</v>
      </c>
      <c r="E597" t="s">
        <v>4</v>
      </c>
      <c r="F597">
        <v>1465</v>
      </c>
      <c r="G597">
        <v>174</v>
      </c>
      <c r="H597" t="s">
        <v>13</v>
      </c>
      <c r="I597" t="b">
        <v>0</v>
      </c>
      <c r="J597">
        <f t="shared" si="18"/>
        <v>10</v>
      </c>
      <c r="K597" t="str">
        <f t="shared" si="19"/>
        <v>Positive</v>
      </c>
    </row>
    <row r="598" spans="1:11" x14ac:dyDescent="0.2">
      <c r="A598" t="s">
        <v>3688</v>
      </c>
      <c r="B598" t="s">
        <v>3689</v>
      </c>
      <c r="C598" t="s">
        <v>2646</v>
      </c>
      <c r="D598" t="s">
        <v>3690</v>
      </c>
      <c r="E598" t="s">
        <v>4</v>
      </c>
      <c r="F598">
        <v>39272</v>
      </c>
      <c r="G598">
        <v>193</v>
      </c>
      <c r="H598" t="s">
        <v>13</v>
      </c>
      <c r="I598" t="b">
        <v>0</v>
      </c>
      <c r="J598">
        <f t="shared" si="18"/>
        <v>0</v>
      </c>
      <c r="K598" t="str">
        <f t="shared" si="19"/>
        <v>Neutral</v>
      </c>
    </row>
    <row r="599" spans="1:11" x14ac:dyDescent="0.2">
      <c r="A599" t="s">
        <v>3621</v>
      </c>
      <c r="B599" t="s">
        <v>3622</v>
      </c>
      <c r="C599" t="s">
        <v>1324</v>
      </c>
      <c r="D599" t="s">
        <v>3623</v>
      </c>
      <c r="E599" t="s">
        <v>4</v>
      </c>
      <c r="F599">
        <v>1047</v>
      </c>
      <c r="G599">
        <v>2009</v>
      </c>
      <c r="H599" t="s">
        <v>13</v>
      </c>
      <c r="I599" t="b">
        <v>0</v>
      </c>
      <c r="J599">
        <f t="shared" si="18"/>
        <v>10</v>
      </c>
      <c r="K599" t="str">
        <f t="shared" si="19"/>
        <v>Positive</v>
      </c>
    </row>
    <row r="600" spans="1:11" x14ac:dyDescent="0.2">
      <c r="A600" t="s">
        <v>1128</v>
      </c>
      <c r="B600" t="s">
        <v>1129</v>
      </c>
      <c r="C600" t="s">
        <v>1130</v>
      </c>
      <c r="D600" t="s">
        <v>1131</v>
      </c>
      <c r="E600" t="s">
        <v>4</v>
      </c>
      <c r="F600">
        <v>10</v>
      </c>
      <c r="G600">
        <v>85</v>
      </c>
      <c r="H600" t="s">
        <v>13</v>
      </c>
      <c r="I600" t="b">
        <v>0</v>
      </c>
      <c r="J600">
        <f t="shared" si="18"/>
        <v>10</v>
      </c>
      <c r="K600" t="str">
        <f t="shared" si="19"/>
        <v>Positive</v>
      </c>
    </row>
    <row r="601" spans="1:11" x14ac:dyDescent="0.2">
      <c r="A601" t="s">
        <v>3782</v>
      </c>
      <c r="B601" t="s">
        <v>3783</v>
      </c>
      <c r="C601" t="s">
        <v>704</v>
      </c>
      <c r="D601" t="s">
        <v>2139</v>
      </c>
      <c r="E601" t="s">
        <v>4</v>
      </c>
      <c r="F601">
        <v>197</v>
      </c>
      <c r="G601">
        <v>403</v>
      </c>
      <c r="H601" t="s">
        <v>13</v>
      </c>
      <c r="I601" t="b">
        <v>0</v>
      </c>
      <c r="J601">
        <f t="shared" si="18"/>
        <v>10</v>
      </c>
      <c r="K601" t="str">
        <f t="shared" si="19"/>
        <v>Positive</v>
      </c>
    </row>
    <row r="602" spans="1:11" x14ac:dyDescent="0.2">
      <c r="A602" t="s">
        <v>515</v>
      </c>
      <c r="B602" t="s">
        <v>516</v>
      </c>
      <c r="C602" t="s">
        <v>517</v>
      </c>
      <c r="D602" t="s">
        <v>3</v>
      </c>
      <c r="E602" t="s">
        <v>4</v>
      </c>
      <c r="F602">
        <v>6759</v>
      </c>
      <c r="G602">
        <v>97</v>
      </c>
      <c r="H602" t="s">
        <v>374</v>
      </c>
      <c r="I602" t="b">
        <v>0</v>
      </c>
      <c r="J602">
        <f t="shared" si="18"/>
        <v>10</v>
      </c>
      <c r="K602" t="str">
        <f t="shared" si="19"/>
        <v>Positive</v>
      </c>
    </row>
    <row r="603" spans="1:11" x14ac:dyDescent="0.2">
      <c r="A603" t="s">
        <v>4888</v>
      </c>
      <c r="B603" t="s">
        <v>4889</v>
      </c>
      <c r="C603" t="s">
        <v>4890</v>
      </c>
      <c r="D603" t="s">
        <v>2957</v>
      </c>
      <c r="E603" t="s">
        <v>4</v>
      </c>
      <c r="F603">
        <v>582</v>
      </c>
      <c r="G603">
        <v>1849</v>
      </c>
      <c r="H603" t="s">
        <v>13</v>
      </c>
      <c r="I603" t="b">
        <v>0</v>
      </c>
      <c r="J603">
        <f t="shared" si="18"/>
        <v>0</v>
      </c>
      <c r="K603" t="str">
        <f t="shared" si="19"/>
        <v>Neutral</v>
      </c>
    </row>
    <row r="604" spans="1:11" x14ac:dyDescent="0.2">
      <c r="A604" t="s">
        <v>4836</v>
      </c>
      <c r="B604" t="s">
        <v>4837</v>
      </c>
      <c r="C604" t="s">
        <v>1258</v>
      </c>
      <c r="D604" t="s">
        <v>3</v>
      </c>
      <c r="E604" t="s">
        <v>4</v>
      </c>
      <c r="F604">
        <v>201</v>
      </c>
      <c r="G604">
        <v>266</v>
      </c>
      <c r="H604" t="s">
        <v>13</v>
      </c>
      <c r="I604" t="b">
        <v>0</v>
      </c>
      <c r="J604">
        <f t="shared" si="18"/>
        <v>10</v>
      </c>
      <c r="K604" t="str">
        <f t="shared" si="19"/>
        <v>Positive</v>
      </c>
    </row>
    <row r="605" spans="1:11" x14ac:dyDescent="0.2">
      <c r="A605" t="s">
        <v>3579</v>
      </c>
      <c r="B605" t="s">
        <v>3580</v>
      </c>
      <c r="C605" t="s">
        <v>3581</v>
      </c>
      <c r="D605" t="s">
        <v>3582</v>
      </c>
      <c r="E605" t="s">
        <v>4</v>
      </c>
      <c r="F605">
        <v>65</v>
      </c>
      <c r="G605">
        <v>102</v>
      </c>
      <c r="H605" t="s">
        <v>13</v>
      </c>
      <c r="I605" t="b">
        <v>0</v>
      </c>
      <c r="J605">
        <f t="shared" si="18"/>
        <v>20</v>
      </c>
      <c r="K605" t="str">
        <f t="shared" si="19"/>
        <v>Positive</v>
      </c>
    </row>
    <row r="606" spans="1:11" x14ac:dyDescent="0.2">
      <c r="A606" t="s">
        <v>6183</v>
      </c>
      <c r="B606" t="s">
        <v>6184</v>
      </c>
      <c r="C606" t="s">
        <v>137</v>
      </c>
      <c r="D606" t="s">
        <v>6185</v>
      </c>
      <c r="E606" t="s">
        <v>4</v>
      </c>
      <c r="F606">
        <v>40</v>
      </c>
      <c r="G606">
        <v>141</v>
      </c>
      <c r="H606" t="s">
        <v>13</v>
      </c>
      <c r="I606" t="b">
        <v>0</v>
      </c>
      <c r="J606">
        <f t="shared" si="18"/>
        <v>10</v>
      </c>
      <c r="K606" t="str">
        <f t="shared" si="19"/>
        <v>Positive</v>
      </c>
    </row>
    <row r="607" spans="1:11" x14ac:dyDescent="0.2">
      <c r="A607" t="s">
        <v>5941</v>
      </c>
      <c r="B607" t="s">
        <v>5942</v>
      </c>
      <c r="C607" t="s">
        <v>2417</v>
      </c>
      <c r="D607" t="s">
        <v>3</v>
      </c>
      <c r="E607" t="s">
        <v>4</v>
      </c>
      <c r="F607">
        <v>243</v>
      </c>
      <c r="G607">
        <v>297</v>
      </c>
      <c r="H607" t="s">
        <v>13</v>
      </c>
      <c r="I607" t="b">
        <v>0</v>
      </c>
      <c r="J607">
        <f t="shared" si="18"/>
        <v>10</v>
      </c>
      <c r="K607" t="str">
        <f t="shared" si="19"/>
        <v>Positive</v>
      </c>
    </row>
    <row r="608" spans="1:11" x14ac:dyDescent="0.2">
      <c r="A608" t="s">
        <v>195</v>
      </c>
      <c r="B608" t="s">
        <v>196</v>
      </c>
      <c r="C608" t="s">
        <v>197</v>
      </c>
      <c r="D608" t="s">
        <v>198</v>
      </c>
      <c r="E608" t="s">
        <v>4</v>
      </c>
      <c r="F608">
        <v>593</v>
      </c>
      <c r="G608">
        <v>236</v>
      </c>
      <c r="H608" t="s">
        <v>13</v>
      </c>
      <c r="I608" t="b">
        <v>0</v>
      </c>
      <c r="J608">
        <f t="shared" si="18"/>
        <v>10</v>
      </c>
      <c r="K608" t="str">
        <f t="shared" si="19"/>
        <v>Positive</v>
      </c>
    </row>
    <row r="609" spans="1:11" x14ac:dyDescent="0.2">
      <c r="A609" t="s">
        <v>3424</v>
      </c>
      <c r="B609" t="s">
        <v>3425</v>
      </c>
      <c r="C609" t="s">
        <v>786</v>
      </c>
      <c r="D609" t="s">
        <v>3426</v>
      </c>
      <c r="E609" t="s">
        <v>4</v>
      </c>
      <c r="F609">
        <v>14775</v>
      </c>
      <c r="G609">
        <v>424</v>
      </c>
      <c r="H609" t="s">
        <v>13</v>
      </c>
      <c r="I609" t="b">
        <v>0</v>
      </c>
      <c r="J609">
        <f t="shared" si="18"/>
        <v>0</v>
      </c>
      <c r="K609" t="str">
        <f t="shared" si="19"/>
        <v>Neutral</v>
      </c>
    </row>
    <row r="610" spans="1:11" x14ac:dyDescent="0.2">
      <c r="A610" t="s">
        <v>3280</v>
      </c>
      <c r="B610" t="s">
        <v>3281</v>
      </c>
      <c r="C610" t="s">
        <v>3282</v>
      </c>
      <c r="D610" t="s">
        <v>3283</v>
      </c>
      <c r="E610" t="s">
        <v>4</v>
      </c>
      <c r="F610">
        <v>5343</v>
      </c>
      <c r="G610">
        <v>1341</v>
      </c>
      <c r="H610" t="s">
        <v>13</v>
      </c>
      <c r="I610" t="b">
        <v>0</v>
      </c>
      <c r="J610">
        <f t="shared" si="18"/>
        <v>0</v>
      </c>
      <c r="K610" t="str">
        <f t="shared" si="19"/>
        <v>Neutral</v>
      </c>
    </row>
    <row r="611" spans="1:11" x14ac:dyDescent="0.2">
      <c r="A611" t="s">
        <v>4818</v>
      </c>
      <c r="B611" t="s">
        <v>4819</v>
      </c>
      <c r="C611" t="s">
        <v>2608</v>
      </c>
      <c r="D611" t="s">
        <v>4820</v>
      </c>
      <c r="E611" t="s">
        <v>4</v>
      </c>
      <c r="F611">
        <v>17</v>
      </c>
      <c r="G611">
        <v>72</v>
      </c>
      <c r="H611" t="s">
        <v>114</v>
      </c>
      <c r="I611" t="b">
        <v>0</v>
      </c>
      <c r="J611">
        <f t="shared" si="18"/>
        <v>0</v>
      </c>
      <c r="K611" t="str">
        <f t="shared" si="19"/>
        <v>Neutral</v>
      </c>
    </row>
    <row r="612" spans="1:11" x14ac:dyDescent="0.2">
      <c r="A612" t="s">
        <v>1538</v>
      </c>
      <c r="B612" t="s">
        <v>1539</v>
      </c>
      <c r="C612" t="s">
        <v>1540</v>
      </c>
      <c r="D612" t="s">
        <v>852</v>
      </c>
      <c r="E612" t="s">
        <v>4</v>
      </c>
      <c r="F612">
        <v>31</v>
      </c>
      <c r="G612">
        <v>106</v>
      </c>
      <c r="H612" t="s">
        <v>13</v>
      </c>
      <c r="I612" t="b">
        <v>0</v>
      </c>
      <c r="J612">
        <f t="shared" si="18"/>
        <v>-10</v>
      </c>
      <c r="K612" t="str">
        <f t="shared" si="19"/>
        <v>Negative</v>
      </c>
    </row>
    <row r="613" spans="1:11" x14ac:dyDescent="0.2">
      <c r="A613" t="s">
        <v>2253</v>
      </c>
      <c r="B613" t="s">
        <v>2254</v>
      </c>
      <c r="C613" t="s">
        <v>2255</v>
      </c>
      <c r="D613" t="s">
        <v>2256</v>
      </c>
      <c r="E613" t="s">
        <v>4</v>
      </c>
      <c r="F613">
        <v>175</v>
      </c>
      <c r="G613">
        <v>189</v>
      </c>
      <c r="H613" t="s">
        <v>13</v>
      </c>
      <c r="I613" t="b">
        <v>0</v>
      </c>
      <c r="J613">
        <f t="shared" si="18"/>
        <v>10</v>
      </c>
      <c r="K613" t="str">
        <f t="shared" si="19"/>
        <v>Positive</v>
      </c>
    </row>
    <row r="614" spans="1:11" x14ac:dyDescent="0.2">
      <c r="A614" t="s">
        <v>2218</v>
      </c>
      <c r="B614" t="s">
        <v>2219</v>
      </c>
      <c r="C614" t="s">
        <v>2220</v>
      </c>
      <c r="D614" t="s">
        <v>101</v>
      </c>
      <c r="E614" t="s">
        <v>4</v>
      </c>
      <c r="F614">
        <v>9</v>
      </c>
      <c r="G614">
        <v>58</v>
      </c>
      <c r="H614" t="s">
        <v>1692</v>
      </c>
      <c r="I614" t="b">
        <v>0</v>
      </c>
      <c r="J614">
        <f t="shared" si="18"/>
        <v>10</v>
      </c>
      <c r="K614" t="str">
        <f t="shared" si="19"/>
        <v>Positive</v>
      </c>
    </row>
    <row r="615" spans="1:11" x14ac:dyDescent="0.2">
      <c r="A615" t="s">
        <v>3029</v>
      </c>
      <c r="B615" t="s">
        <v>3030</v>
      </c>
      <c r="C615" t="s">
        <v>3031</v>
      </c>
      <c r="D615" t="s">
        <v>3032</v>
      </c>
      <c r="E615" t="s">
        <v>4</v>
      </c>
      <c r="F615">
        <v>24</v>
      </c>
      <c r="G615">
        <v>105</v>
      </c>
      <c r="H615" t="s">
        <v>13</v>
      </c>
      <c r="I615" t="b">
        <v>0</v>
      </c>
      <c r="J615">
        <f t="shared" si="18"/>
        <v>0</v>
      </c>
      <c r="K615" t="str">
        <f t="shared" si="19"/>
        <v>Neutral</v>
      </c>
    </row>
    <row r="616" spans="1:11" x14ac:dyDescent="0.2">
      <c r="A616" t="s">
        <v>3701</v>
      </c>
      <c r="B616" t="s">
        <v>3702</v>
      </c>
      <c r="C616" t="s">
        <v>730</v>
      </c>
      <c r="D616" t="s">
        <v>265</v>
      </c>
      <c r="E616" t="s">
        <v>4</v>
      </c>
      <c r="F616">
        <v>5477</v>
      </c>
      <c r="G616">
        <v>109</v>
      </c>
      <c r="H616" t="s">
        <v>13</v>
      </c>
      <c r="I616" t="b">
        <v>0</v>
      </c>
      <c r="J616">
        <f t="shared" si="18"/>
        <v>0</v>
      </c>
      <c r="K616" t="str">
        <f t="shared" si="19"/>
        <v>Neutral</v>
      </c>
    </row>
    <row r="617" spans="1:11" x14ac:dyDescent="0.2">
      <c r="A617" t="s">
        <v>3787</v>
      </c>
      <c r="B617" t="s">
        <v>3788</v>
      </c>
      <c r="C617" t="s">
        <v>3789</v>
      </c>
      <c r="D617" t="s">
        <v>3790</v>
      </c>
      <c r="E617" t="s">
        <v>4</v>
      </c>
      <c r="F617">
        <v>85</v>
      </c>
      <c r="G617">
        <v>342</v>
      </c>
      <c r="H617" t="s">
        <v>13</v>
      </c>
      <c r="I617" t="b">
        <v>0</v>
      </c>
      <c r="J617">
        <f t="shared" si="18"/>
        <v>-10</v>
      </c>
      <c r="K617" t="str">
        <f t="shared" si="19"/>
        <v>Negative</v>
      </c>
    </row>
    <row r="618" spans="1:11" x14ac:dyDescent="0.2">
      <c r="A618" t="s">
        <v>5584</v>
      </c>
      <c r="B618" t="s">
        <v>5585</v>
      </c>
      <c r="C618" t="s">
        <v>3710</v>
      </c>
      <c r="D618" t="s">
        <v>592</v>
      </c>
      <c r="E618" t="s">
        <v>4</v>
      </c>
      <c r="F618">
        <v>3454</v>
      </c>
      <c r="G618">
        <v>2616</v>
      </c>
      <c r="H618" t="s">
        <v>13</v>
      </c>
      <c r="I618" t="b">
        <v>0</v>
      </c>
      <c r="J618">
        <f t="shared" si="18"/>
        <v>10</v>
      </c>
      <c r="K618" t="str">
        <f t="shared" si="19"/>
        <v>Positive</v>
      </c>
    </row>
    <row r="619" spans="1:11" x14ac:dyDescent="0.2">
      <c r="A619" t="s">
        <v>5884</v>
      </c>
      <c r="B619" t="s">
        <v>5885</v>
      </c>
      <c r="C619" t="s">
        <v>5886</v>
      </c>
      <c r="D619" t="s">
        <v>4444</v>
      </c>
      <c r="E619" t="s">
        <v>4</v>
      </c>
      <c r="F619">
        <v>130</v>
      </c>
      <c r="G619">
        <v>225</v>
      </c>
      <c r="H619" t="s">
        <v>13</v>
      </c>
      <c r="I619" t="b">
        <v>0</v>
      </c>
      <c r="J619">
        <f t="shared" si="18"/>
        <v>10</v>
      </c>
      <c r="K619" t="str">
        <f t="shared" si="19"/>
        <v>Positive</v>
      </c>
    </row>
    <row r="620" spans="1:11" x14ac:dyDescent="0.2">
      <c r="A620" t="s">
        <v>1563</v>
      </c>
      <c r="B620" t="s">
        <v>1564</v>
      </c>
      <c r="C620" t="s">
        <v>1565</v>
      </c>
      <c r="D620" t="s">
        <v>3</v>
      </c>
      <c r="E620" t="s">
        <v>4</v>
      </c>
      <c r="F620">
        <v>1035</v>
      </c>
      <c r="G620">
        <v>803</v>
      </c>
      <c r="H620" t="s">
        <v>13</v>
      </c>
      <c r="I620" t="b">
        <v>0</v>
      </c>
      <c r="J620">
        <f t="shared" si="18"/>
        <v>0</v>
      </c>
      <c r="K620" t="str">
        <f t="shared" si="19"/>
        <v>Neutral</v>
      </c>
    </row>
    <row r="621" spans="1:11" x14ac:dyDescent="0.2">
      <c r="A621" t="s">
        <v>4746</v>
      </c>
      <c r="B621" t="s">
        <v>4747</v>
      </c>
      <c r="C621" t="s">
        <v>2679</v>
      </c>
      <c r="D621" t="s">
        <v>3</v>
      </c>
      <c r="E621" t="s">
        <v>4</v>
      </c>
      <c r="F621">
        <v>88</v>
      </c>
      <c r="G621">
        <v>362</v>
      </c>
      <c r="H621" t="s">
        <v>13</v>
      </c>
      <c r="I621" t="b">
        <v>0</v>
      </c>
      <c r="J621">
        <f t="shared" si="18"/>
        <v>0</v>
      </c>
      <c r="K621" t="str">
        <f t="shared" si="19"/>
        <v>Neutral</v>
      </c>
    </row>
    <row r="622" spans="1:11" x14ac:dyDescent="0.2">
      <c r="A622" t="s">
        <v>6426</v>
      </c>
      <c r="B622" t="s">
        <v>6427</v>
      </c>
      <c r="C622" t="s">
        <v>3778</v>
      </c>
      <c r="D622" t="s">
        <v>3</v>
      </c>
      <c r="E622" t="s">
        <v>4</v>
      </c>
      <c r="F622">
        <v>326</v>
      </c>
      <c r="G622">
        <v>249</v>
      </c>
      <c r="H622" t="s">
        <v>13</v>
      </c>
      <c r="I622" t="b">
        <v>0</v>
      </c>
      <c r="J622">
        <f t="shared" si="18"/>
        <v>0</v>
      </c>
      <c r="K622" t="str">
        <f t="shared" si="19"/>
        <v>Neutral</v>
      </c>
    </row>
    <row r="623" spans="1:11" x14ac:dyDescent="0.2">
      <c r="A623" t="s">
        <v>412</v>
      </c>
      <c r="B623" t="s">
        <v>413</v>
      </c>
      <c r="C623" t="s">
        <v>414</v>
      </c>
      <c r="D623" t="s">
        <v>3</v>
      </c>
      <c r="E623" t="s">
        <v>4</v>
      </c>
      <c r="F623">
        <v>38</v>
      </c>
      <c r="G623">
        <v>284</v>
      </c>
      <c r="H623" t="s">
        <v>13</v>
      </c>
      <c r="I623" t="b">
        <v>0</v>
      </c>
      <c r="J623">
        <f t="shared" si="18"/>
        <v>0</v>
      </c>
      <c r="K623" t="str">
        <f t="shared" si="19"/>
        <v>Neutral</v>
      </c>
    </row>
    <row r="624" spans="1:11" x14ac:dyDescent="0.2">
      <c r="A624" t="s">
        <v>1578</v>
      </c>
      <c r="B624" t="s">
        <v>1579</v>
      </c>
      <c r="C624" t="s">
        <v>1012</v>
      </c>
      <c r="D624" t="s">
        <v>1580</v>
      </c>
      <c r="E624" t="s">
        <v>4</v>
      </c>
      <c r="F624">
        <v>2715</v>
      </c>
      <c r="G624">
        <v>142</v>
      </c>
      <c r="H624" t="s">
        <v>13</v>
      </c>
      <c r="I624" t="b">
        <v>0</v>
      </c>
      <c r="J624">
        <f t="shared" si="18"/>
        <v>0</v>
      </c>
      <c r="K624" t="str">
        <f t="shared" si="19"/>
        <v>Neutral</v>
      </c>
    </row>
    <row r="625" spans="1:11" x14ac:dyDescent="0.2">
      <c r="A625" t="s">
        <v>1444</v>
      </c>
      <c r="B625" t="s">
        <v>1445</v>
      </c>
      <c r="C625" t="s">
        <v>1446</v>
      </c>
      <c r="D625" t="s">
        <v>1447</v>
      </c>
      <c r="E625" t="s">
        <v>4</v>
      </c>
      <c r="F625">
        <v>308</v>
      </c>
      <c r="G625">
        <v>257</v>
      </c>
      <c r="H625" t="s">
        <v>13</v>
      </c>
      <c r="I625" t="b">
        <v>0</v>
      </c>
      <c r="J625">
        <f t="shared" si="18"/>
        <v>0</v>
      </c>
      <c r="K625" t="str">
        <f t="shared" si="19"/>
        <v>Neutral</v>
      </c>
    </row>
    <row r="626" spans="1:11" x14ac:dyDescent="0.2">
      <c r="A626" t="s">
        <v>3413</v>
      </c>
      <c r="B626" t="s">
        <v>3414</v>
      </c>
      <c r="C626" t="s">
        <v>3415</v>
      </c>
      <c r="D626" t="s">
        <v>3416</v>
      </c>
      <c r="E626" t="s">
        <v>4</v>
      </c>
      <c r="F626">
        <v>117</v>
      </c>
      <c r="G626">
        <v>269</v>
      </c>
      <c r="H626" t="s">
        <v>13</v>
      </c>
      <c r="I626" t="b">
        <v>0</v>
      </c>
      <c r="J626">
        <f t="shared" si="18"/>
        <v>0</v>
      </c>
      <c r="K626" t="str">
        <f t="shared" si="19"/>
        <v>Neutral</v>
      </c>
    </row>
    <row r="627" spans="1:11" x14ac:dyDescent="0.2">
      <c r="A627" t="s">
        <v>4441</v>
      </c>
      <c r="B627" t="s">
        <v>4442</v>
      </c>
      <c r="C627" t="s">
        <v>4443</v>
      </c>
      <c r="D627" t="s">
        <v>4444</v>
      </c>
      <c r="E627" t="s">
        <v>4</v>
      </c>
      <c r="F627">
        <v>70</v>
      </c>
      <c r="G627">
        <v>134</v>
      </c>
      <c r="H627" t="s">
        <v>13</v>
      </c>
      <c r="I627" t="b">
        <v>0</v>
      </c>
      <c r="J627">
        <f t="shared" si="18"/>
        <v>0</v>
      </c>
      <c r="K627" t="str">
        <f t="shared" si="19"/>
        <v>Neutral</v>
      </c>
    </row>
    <row r="628" spans="1:11" x14ac:dyDescent="0.2">
      <c r="A628" t="s">
        <v>3290</v>
      </c>
      <c r="B628" t="s">
        <v>3292</v>
      </c>
      <c r="C628" t="s">
        <v>3293</v>
      </c>
      <c r="D628" t="s">
        <v>705</v>
      </c>
      <c r="E628" t="s">
        <v>4</v>
      </c>
      <c r="F628">
        <v>7</v>
      </c>
      <c r="G628">
        <v>32</v>
      </c>
      <c r="H628" t="s">
        <v>13</v>
      </c>
      <c r="I628" t="b">
        <v>0</v>
      </c>
      <c r="J628">
        <f t="shared" si="18"/>
        <v>0</v>
      </c>
      <c r="K628" t="str">
        <f t="shared" si="19"/>
        <v>Neutral</v>
      </c>
    </row>
    <row r="629" spans="1:11" x14ac:dyDescent="0.2">
      <c r="A629" t="s">
        <v>4845</v>
      </c>
      <c r="B629" t="s">
        <v>4846</v>
      </c>
      <c r="C629" t="s">
        <v>989</v>
      </c>
      <c r="D629" t="s">
        <v>4847</v>
      </c>
      <c r="E629" t="s">
        <v>4</v>
      </c>
      <c r="F629">
        <v>94</v>
      </c>
      <c r="G629">
        <v>235</v>
      </c>
      <c r="H629" t="s">
        <v>13</v>
      </c>
      <c r="I629" t="b">
        <v>0</v>
      </c>
      <c r="J629">
        <f t="shared" si="18"/>
        <v>0</v>
      </c>
      <c r="K629" t="str">
        <f t="shared" si="19"/>
        <v>Neutral</v>
      </c>
    </row>
    <row r="630" spans="1:11" x14ac:dyDescent="0.2">
      <c r="A630" t="s">
        <v>4607</v>
      </c>
      <c r="B630" t="s">
        <v>4608</v>
      </c>
      <c r="C630" t="s">
        <v>4609</v>
      </c>
      <c r="D630" t="s">
        <v>3</v>
      </c>
      <c r="E630" t="s">
        <v>4</v>
      </c>
      <c r="F630">
        <v>25</v>
      </c>
      <c r="G630">
        <v>139</v>
      </c>
      <c r="H630" t="s">
        <v>13</v>
      </c>
      <c r="I630" t="b">
        <v>0</v>
      </c>
      <c r="J630">
        <f t="shared" si="18"/>
        <v>0</v>
      </c>
      <c r="K630" t="str">
        <f t="shared" si="19"/>
        <v>Neutral</v>
      </c>
    </row>
    <row r="631" spans="1:11" x14ac:dyDescent="0.2">
      <c r="A631" t="s">
        <v>2052</v>
      </c>
      <c r="B631" t="s">
        <v>2053</v>
      </c>
      <c r="C631" t="s">
        <v>2054</v>
      </c>
      <c r="D631" t="s">
        <v>3</v>
      </c>
      <c r="E631" t="s">
        <v>4</v>
      </c>
      <c r="F631">
        <v>2</v>
      </c>
      <c r="G631">
        <v>14</v>
      </c>
      <c r="H631" t="s">
        <v>13</v>
      </c>
      <c r="I631" t="b">
        <v>0</v>
      </c>
      <c r="J631">
        <f t="shared" si="18"/>
        <v>10</v>
      </c>
      <c r="K631" t="str">
        <f t="shared" si="19"/>
        <v>Positive</v>
      </c>
    </row>
    <row r="632" spans="1:11" x14ac:dyDescent="0.2">
      <c r="A632" t="s">
        <v>3853</v>
      </c>
      <c r="B632" t="s">
        <v>3854</v>
      </c>
      <c r="C632" t="s">
        <v>884</v>
      </c>
      <c r="D632" t="s">
        <v>3</v>
      </c>
      <c r="E632" t="s">
        <v>4</v>
      </c>
      <c r="F632">
        <v>216</v>
      </c>
      <c r="G632">
        <v>166</v>
      </c>
      <c r="H632" t="s">
        <v>13</v>
      </c>
      <c r="I632" t="b">
        <v>0</v>
      </c>
      <c r="J632">
        <f t="shared" si="18"/>
        <v>0</v>
      </c>
      <c r="K632" t="str">
        <f t="shared" si="19"/>
        <v>Neutral</v>
      </c>
    </row>
    <row r="633" spans="1:11" x14ac:dyDescent="0.2">
      <c r="A633" t="s">
        <v>3896</v>
      </c>
      <c r="B633" t="s">
        <v>3897</v>
      </c>
      <c r="C633" t="s">
        <v>336</v>
      </c>
      <c r="D633" t="s">
        <v>1657</v>
      </c>
      <c r="E633" t="s">
        <v>4</v>
      </c>
      <c r="F633">
        <v>182</v>
      </c>
      <c r="G633">
        <v>838</v>
      </c>
      <c r="H633" t="s">
        <v>13</v>
      </c>
      <c r="I633" t="b">
        <v>0</v>
      </c>
      <c r="J633">
        <f t="shared" si="18"/>
        <v>0</v>
      </c>
      <c r="K633" t="str">
        <f t="shared" si="19"/>
        <v>Neutral</v>
      </c>
    </row>
    <row r="634" spans="1:11" x14ac:dyDescent="0.2">
      <c r="A634" t="s">
        <v>5853</v>
      </c>
      <c r="B634" t="s">
        <v>5854</v>
      </c>
      <c r="C634" t="s">
        <v>996</v>
      </c>
      <c r="D634" t="s">
        <v>3</v>
      </c>
      <c r="E634" t="s">
        <v>4</v>
      </c>
      <c r="F634">
        <v>355</v>
      </c>
      <c r="G634">
        <v>880</v>
      </c>
      <c r="H634" t="s">
        <v>13</v>
      </c>
      <c r="I634" t="b">
        <v>0</v>
      </c>
      <c r="J634">
        <f t="shared" si="18"/>
        <v>0</v>
      </c>
      <c r="K634" t="str">
        <f t="shared" si="19"/>
        <v>Neutral</v>
      </c>
    </row>
    <row r="635" spans="1:11" x14ac:dyDescent="0.2">
      <c r="A635" t="s">
        <v>3516</v>
      </c>
      <c r="B635" t="s">
        <v>3517</v>
      </c>
      <c r="C635" t="s">
        <v>3518</v>
      </c>
      <c r="D635" t="s">
        <v>2403</v>
      </c>
      <c r="E635" t="s">
        <v>4</v>
      </c>
      <c r="F635">
        <v>67</v>
      </c>
      <c r="G635">
        <v>44</v>
      </c>
      <c r="H635" t="s">
        <v>13</v>
      </c>
      <c r="I635" t="b">
        <v>0</v>
      </c>
      <c r="J635">
        <f t="shared" si="18"/>
        <v>0</v>
      </c>
      <c r="K635" t="str">
        <f t="shared" si="19"/>
        <v>Neutral</v>
      </c>
    </row>
    <row r="636" spans="1:11" x14ac:dyDescent="0.2">
      <c r="A636" t="s">
        <v>6941</v>
      </c>
      <c r="B636" t="s">
        <v>6942</v>
      </c>
      <c r="C636" t="s">
        <v>3912</v>
      </c>
      <c r="D636" t="s">
        <v>6498</v>
      </c>
      <c r="E636" t="s">
        <v>4</v>
      </c>
      <c r="F636">
        <v>141</v>
      </c>
      <c r="G636">
        <v>439</v>
      </c>
      <c r="H636" t="s">
        <v>13</v>
      </c>
      <c r="I636" t="b">
        <v>0</v>
      </c>
      <c r="J636">
        <f t="shared" si="18"/>
        <v>0</v>
      </c>
      <c r="K636" t="str">
        <f t="shared" si="19"/>
        <v>Neutral</v>
      </c>
    </row>
    <row r="637" spans="1:11" x14ac:dyDescent="0.2">
      <c r="A637" t="s">
        <v>5835</v>
      </c>
      <c r="B637" t="s">
        <v>5836</v>
      </c>
      <c r="C637" t="s">
        <v>5837</v>
      </c>
      <c r="D637" t="s">
        <v>3</v>
      </c>
      <c r="E637" t="s">
        <v>4</v>
      </c>
      <c r="F637">
        <v>53</v>
      </c>
      <c r="G637">
        <v>213</v>
      </c>
      <c r="H637" t="s">
        <v>13</v>
      </c>
      <c r="I637" t="b">
        <v>0</v>
      </c>
      <c r="J637">
        <f t="shared" si="18"/>
        <v>0</v>
      </c>
      <c r="K637" t="str">
        <f t="shared" si="19"/>
        <v>Neutral</v>
      </c>
    </row>
    <row r="638" spans="1:11" x14ac:dyDescent="0.2">
      <c r="A638" t="s">
        <v>2869</v>
      </c>
      <c r="B638" t="s">
        <v>2870</v>
      </c>
      <c r="C638" t="s">
        <v>2871</v>
      </c>
      <c r="D638" t="s">
        <v>3</v>
      </c>
      <c r="E638" t="s">
        <v>4</v>
      </c>
      <c r="F638">
        <v>12</v>
      </c>
      <c r="G638">
        <v>85</v>
      </c>
      <c r="H638" t="s">
        <v>13</v>
      </c>
      <c r="I638" t="b">
        <v>0</v>
      </c>
      <c r="J638">
        <f t="shared" si="18"/>
        <v>0</v>
      </c>
      <c r="K638" t="str">
        <f t="shared" si="19"/>
        <v>Neutral</v>
      </c>
    </row>
    <row r="639" spans="1:11" x14ac:dyDescent="0.2">
      <c r="A639" t="s">
        <v>478</v>
      </c>
      <c r="B639" t="s">
        <v>479</v>
      </c>
      <c r="C639" t="s">
        <v>480</v>
      </c>
      <c r="D639" t="s">
        <v>481</v>
      </c>
      <c r="E639" t="s">
        <v>4</v>
      </c>
      <c r="F639">
        <v>39</v>
      </c>
      <c r="G639">
        <v>179</v>
      </c>
      <c r="H639" t="s">
        <v>13</v>
      </c>
      <c r="I639" t="b">
        <v>0</v>
      </c>
      <c r="J639">
        <f t="shared" si="18"/>
        <v>-10</v>
      </c>
      <c r="K639" t="str">
        <f t="shared" si="19"/>
        <v>Negative</v>
      </c>
    </row>
    <row r="640" spans="1:11" x14ac:dyDescent="0.2">
      <c r="A640" t="s">
        <v>1440</v>
      </c>
      <c r="B640" t="s">
        <v>1441</v>
      </c>
      <c r="C640" t="s">
        <v>185</v>
      </c>
      <c r="D640" t="s">
        <v>668</v>
      </c>
      <c r="E640" t="s">
        <v>38</v>
      </c>
      <c r="F640">
        <v>46263</v>
      </c>
      <c r="G640">
        <v>2125</v>
      </c>
      <c r="H640" t="s">
        <v>13</v>
      </c>
      <c r="I640" t="b">
        <v>0</v>
      </c>
      <c r="J640">
        <f t="shared" si="18"/>
        <v>0</v>
      </c>
      <c r="K640" t="str">
        <f t="shared" si="19"/>
        <v>Neutral</v>
      </c>
    </row>
    <row r="641" spans="1:11" x14ac:dyDescent="0.2">
      <c r="A641" t="s">
        <v>3152</v>
      </c>
      <c r="B641" t="s">
        <v>3153</v>
      </c>
      <c r="C641" t="s">
        <v>3154</v>
      </c>
      <c r="D641" t="s">
        <v>21</v>
      </c>
      <c r="E641" t="s">
        <v>4</v>
      </c>
      <c r="F641">
        <v>241</v>
      </c>
      <c r="G641">
        <v>657</v>
      </c>
      <c r="H641" t="s">
        <v>86</v>
      </c>
      <c r="I641" t="b">
        <v>0</v>
      </c>
      <c r="J641">
        <f t="shared" si="18"/>
        <v>0</v>
      </c>
      <c r="K641" t="str">
        <f t="shared" si="19"/>
        <v>Neutral</v>
      </c>
    </row>
    <row r="642" spans="1:11" x14ac:dyDescent="0.2">
      <c r="A642" t="s">
        <v>4112</v>
      </c>
      <c r="B642" t="s">
        <v>4113</v>
      </c>
      <c r="C642" t="s">
        <v>4114</v>
      </c>
      <c r="D642" t="s">
        <v>3</v>
      </c>
      <c r="E642" t="s">
        <v>4</v>
      </c>
      <c r="F642">
        <v>9</v>
      </c>
      <c r="G642">
        <v>57</v>
      </c>
      <c r="H642" t="s">
        <v>13</v>
      </c>
      <c r="I642" t="b">
        <v>0</v>
      </c>
      <c r="J642">
        <f t="shared" si="18"/>
        <v>10</v>
      </c>
      <c r="K642" t="str">
        <f t="shared" si="19"/>
        <v>Positive</v>
      </c>
    </row>
    <row r="643" spans="1:11" x14ac:dyDescent="0.2">
      <c r="A643" t="s">
        <v>3997</v>
      </c>
      <c r="B643" t="s">
        <v>3998</v>
      </c>
      <c r="C643" t="s">
        <v>3999</v>
      </c>
      <c r="D643" t="s">
        <v>4000</v>
      </c>
      <c r="E643" t="s">
        <v>4</v>
      </c>
      <c r="F643">
        <v>1914</v>
      </c>
      <c r="G643">
        <v>674</v>
      </c>
      <c r="H643" t="s">
        <v>13</v>
      </c>
      <c r="I643" t="b">
        <v>0</v>
      </c>
      <c r="J643">
        <f t="shared" ref="J643:J706" si="20">sentimentCalc(B643)</f>
        <v>0</v>
      </c>
      <c r="K643" t="str">
        <f t="shared" ref="K643:K706" si="21">sentimentCategory(J643)</f>
        <v>Neutral</v>
      </c>
    </row>
    <row r="644" spans="1:11" x14ac:dyDescent="0.2">
      <c r="A644" t="s">
        <v>6476</v>
      </c>
      <c r="B644" t="s">
        <v>6477</v>
      </c>
      <c r="C644" t="s">
        <v>3325</v>
      </c>
      <c r="D644" t="s">
        <v>6478</v>
      </c>
      <c r="E644" t="s">
        <v>4</v>
      </c>
      <c r="F644">
        <v>332</v>
      </c>
      <c r="G644">
        <v>332</v>
      </c>
      <c r="H644" t="s">
        <v>13</v>
      </c>
      <c r="I644" t="b">
        <v>0</v>
      </c>
      <c r="J644">
        <f t="shared" si="20"/>
        <v>0</v>
      </c>
      <c r="K644" t="str">
        <f t="shared" si="21"/>
        <v>Neutral</v>
      </c>
    </row>
    <row r="645" spans="1:11" x14ac:dyDescent="0.2">
      <c r="A645" t="s">
        <v>6713</v>
      </c>
      <c r="B645" t="s">
        <v>6714</v>
      </c>
      <c r="C645" t="s">
        <v>6715</v>
      </c>
      <c r="D645" t="s">
        <v>481</v>
      </c>
      <c r="E645" t="s">
        <v>4</v>
      </c>
      <c r="F645">
        <v>1905</v>
      </c>
      <c r="G645">
        <v>743</v>
      </c>
      <c r="H645" t="s">
        <v>13</v>
      </c>
      <c r="I645" t="b">
        <v>0</v>
      </c>
      <c r="J645">
        <f t="shared" si="20"/>
        <v>0</v>
      </c>
      <c r="K645" t="str">
        <f t="shared" si="21"/>
        <v>Neutral</v>
      </c>
    </row>
    <row r="646" spans="1:11" x14ac:dyDescent="0.2">
      <c r="A646" t="s">
        <v>6845</v>
      </c>
      <c r="B646" t="s">
        <v>6846</v>
      </c>
      <c r="C646" t="s">
        <v>377</v>
      </c>
      <c r="D646" t="s">
        <v>2720</v>
      </c>
      <c r="E646" t="s">
        <v>4</v>
      </c>
      <c r="F646">
        <v>6</v>
      </c>
      <c r="G646">
        <v>14</v>
      </c>
      <c r="H646" t="s">
        <v>363</v>
      </c>
      <c r="I646" t="b">
        <v>0</v>
      </c>
      <c r="J646">
        <f t="shared" si="20"/>
        <v>0</v>
      </c>
      <c r="K646" t="str">
        <f t="shared" si="21"/>
        <v>Neutral</v>
      </c>
    </row>
    <row r="647" spans="1:11" x14ac:dyDescent="0.2">
      <c r="A647" t="s">
        <v>7246</v>
      </c>
      <c r="B647" t="s">
        <v>7247</v>
      </c>
      <c r="C647" t="s">
        <v>226</v>
      </c>
      <c r="D647" t="s">
        <v>3</v>
      </c>
      <c r="E647" t="s">
        <v>4</v>
      </c>
      <c r="F647">
        <v>7083</v>
      </c>
      <c r="G647">
        <v>1380</v>
      </c>
      <c r="H647" t="s">
        <v>13</v>
      </c>
      <c r="I647" t="b">
        <v>0</v>
      </c>
      <c r="J647">
        <f t="shared" si="20"/>
        <v>0</v>
      </c>
      <c r="K647" t="str">
        <f t="shared" si="21"/>
        <v>Neutral</v>
      </c>
    </row>
    <row r="648" spans="1:11" x14ac:dyDescent="0.2">
      <c r="A648" t="s">
        <v>454</v>
      </c>
      <c r="B648" t="s">
        <v>455</v>
      </c>
      <c r="C648" t="s">
        <v>177</v>
      </c>
      <c r="D648" t="s">
        <v>456</v>
      </c>
      <c r="E648" t="s">
        <v>4</v>
      </c>
      <c r="F648">
        <v>436</v>
      </c>
      <c r="G648">
        <v>3796</v>
      </c>
      <c r="H648" t="s">
        <v>13</v>
      </c>
      <c r="I648" t="b">
        <v>0</v>
      </c>
      <c r="J648">
        <f t="shared" si="20"/>
        <v>10</v>
      </c>
      <c r="K648" t="str">
        <f t="shared" si="21"/>
        <v>Positive</v>
      </c>
    </row>
    <row r="649" spans="1:11" x14ac:dyDescent="0.2">
      <c r="A649" t="s">
        <v>2095</v>
      </c>
      <c r="B649" t="s">
        <v>2097</v>
      </c>
      <c r="C649" t="s">
        <v>2098</v>
      </c>
      <c r="D649" t="s">
        <v>2099</v>
      </c>
      <c r="E649" t="s">
        <v>4</v>
      </c>
      <c r="F649">
        <v>86</v>
      </c>
      <c r="G649">
        <v>193</v>
      </c>
      <c r="H649" t="s">
        <v>13</v>
      </c>
      <c r="I649" t="b">
        <v>0</v>
      </c>
      <c r="J649">
        <f t="shared" si="20"/>
        <v>0</v>
      </c>
      <c r="K649" t="str">
        <f t="shared" si="21"/>
        <v>Neutral</v>
      </c>
    </row>
    <row r="650" spans="1:11" x14ac:dyDescent="0.2">
      <c r="A650" t="s">
        <v>463</v>
      </c>
      <c r="B650" t="s">
        <v>464</v>
      </c>
      <c r="C650" t="s">
        <v>465</v>
      </c>
      <c r="D650" t="s">
        <v>3</v>
      </c>
      <c r="E650" t="s">
        <v>4</v>
      </c>
      <c r="F650">
        <v>18</v>
      </c>
      <c r="G650">
        <v>25</v>
      </c>
      <c r="H650" t="s">
        <v>13</v>
      </c>
      <c r="I650" t="b">
        <v>0</v>
      </c>
      <c r="J650">
        <f t="shared" si="20"/>
        <v>0</v>
      </c>
      <c r="K650" t="str">
        <f t="shared" si="21"/>
        <v>Neutral</v>
      </c>
    </row>
    <row r="651" spans="1:11" x14ac:dyDescent="0.2">
      <c r="A651" t="s">
        <v>1796</v>
      </c>
      <c r="B651" t="s">
        <v>1797</v>
      </c>
      <c r="C651" t="s">
        <v>171</v>
      </c>
      <c r="D651" t="s">
        <v>1798</v>
      </c>
      <c r="E651" t="s">
        <v>4</v>
      </c>
      <c r="F651">
        <v>476</v>
      </c>
      <c r="G651">
        <v>180</v>
      </c>
      <c r="H651" t="s">
        <v>13</v>
      </c>
      <c r="I651" t="b">
        <v>0</v>
      </c>
      <c r="J651">
        <f t="shared" si="20"/>
        <v>0</v>
      </c>
      <c r="K651" t="str">
        <f t="shared" si="21"/>
        <v>Neutral</v>
      </c>
    </row>
    <row r="652" spans="1:11" x14ac:dyDescent="0.2">
      <c r="A652" t="s">
        <v>1058</v>
      </c>
      <c r="B652" t="s">
        <v>1059</v>
      </c>
      <c r="C652" t="s">
        <v>129</v>
      </c>
      <c r="D652" t="s">
        <v>3</v>
      </c>
      <c r="E652" t="s">
        <v>4</v>
      </c>
      <c r="F652">
        <v>6778</v>
      </c>
      <c r="G652">
        <v>7171</v>
      </c>
      <c r="H652" t="s">
        <v>13</v>
      </c>
      <c r="I652" t="b">
        <v>0</v>
      </c>
      <c r="J652">
        <f t="shared" si="20"/>
        <v>0</v>
      </c>
      <c r="K652" t="str">
        <f t="shared" si="21"/>
        <v>Neutral</v>
      </c>
    </row>
    <row r="653" spans="1:11" x14ac:dyDescent="0.2">
      <c r="A653" t="s">
        <v>138</v>
      </c>
      <c r="B653" t="s">
        <v>139</v>
      </c>
      <c r="C653" t="s">
        <v>140</v>
      </c>
      <c r="D653" t="s">
        <v>3</v>
      </c>
      <c r="E653" t="s">
        <v>4</v>
      </c>
      <c r="F653">
        <v>60</v>
      </c>
      <c r="G653">
        <v>475</v>
      </c>
      <c r="H653" t="s">
        <v>13</v>
      </c>
      <c r="I653" t="b">
        <v>0</v>
      </c>
      <c r="J653">
        <f t="shared" si="20"/>
        <v>0</v>
      </c>
      <c r="K653" t="str">
        <f t="shared" si="21"/>
        <v>Neutral</v>
      </c>
    </row>
    <row r="654" spans="1:11" x14ac:dyDescent="0.2">
      <c r="A654" t="s">
        <v>4666</v>
      </c>
      <c r="B654" t="s">
        <v>4667</v>
      </c>
      <c r="C654" t="s">
        <v>4668</v>
      </c>
      <c r="D654" t="s">
        <v>4669</v>
      </c>
      <c r="E654" t="s">
        <v>4</v>
      </c>
      <c r="F654">
        <v>1711</v>
      </c>
      <c r="G654">
        <v>1323</v>
      </c>
      <c r="H654" t="s">
        <v>13</v>
      </c>
      <c r="I654" t="b">
        <v>0</v>
      </c>
      <c r="J654">
        <f t="shared" si="20"/>
        <v>0</v>
      </c>
      <c r="K654" t="str">
        <f t="shared" si="21"/>
        <v>Neutral</v>
      </c>
    </row>
    <row r="655" spans="1:11" x14ac:dyDescent="0.2">
      <c r="A655" t="s">
        <v>2418</v>
      </c>
      <c r="B655" t="s">
        <v>2419</v>
      </c>
      <c r="C655" t="s">
        <v>1409</v>
      </c>
      <c r="D655" t="s">
        <v>64</v>
      </c>
      <c r="E655" t="s">
        <v>4</v>
      </c>
      <c r="F655">
        <v>357</v>
      </c>
      <c r="G655">
        <v>2284</v>
      </c>
      <c r="H655" t="s">
        <v>13</v>
      </c>
      <c r="I655" t="b">
        <v>0</v>
      </c>
      <c r="J655">
        <f t="shared" si="20"/>
        <v>10</v>
      </c>
      <c r="K655" t="str">
        <f t="shared" si="21"/>
        <v>Positive</v>
      </c>
    </row>
    <row r="656" spans="1:11" x14ac:dyDescent="0.2">
      <c r="A656" t="s">
        <v>34</v>
      </c>
      <c r="B656" t="s">
        <v>35</v>
      </c>
      <c r="C656" t="s">
        <v>36</v>
      </c>
      <c r="D656" t="s">
        <v>37</v>
      </c>
      <c r="E656" t="s">
        <v>38</v>
      </c>
      <c r="F656">
        <v>38820</v>
      </c>
      <c r="G656">
        <v>2224</v>
      </c>
      <c r="H656" t="s">
        <v>13</v>
      </c>
      <c r="I656" t="b">
        <v>0</v>
      </c>
      <c r="J656">
        <f t="shared" si="20"/>
        <v>0</v>
      </c>
      <c r="K656" t="str">
        <f t="shared" si="21"/>
        <v>Neutral</v>
      </c>
    </row>
    <row r="657" spans="1:11" x14ac:dyDescent="0.2">
      <c r="A657" t="s">
        <v>7122</v>
      </c>
      <c r="B657" t="s">
        <v>7123</v>
      </c>
      <c r="C657" t="s">
        <v>2744</v>
      </c>
      <c r="D657" t="s">
        <v>3543</v>
      </c>
      <c r="E657" t="s">
        <v>4</v>
      </c>
      <c r="F657">
        <v>1080</v>
      </c>
      <c r="G657">
        <v>935</v>
      </c>
      <c r="H657" t="s">
        <v>13</v>
      </c>
      <c r="I657" t="b">
        <v>0</v>
      </c>
      <c r="J657">
        <f t="shared" si="20"/>
        <v>10</v>
      </c>
      <c r="K657" t="str">
        <f t="shared" si="21"/>
        <v>Positive</v>
      </c>
    </row>
    <row r="658" spans="1:11" x14ac:dyDescent="0.2">
      <c r="A658" t="s">
        <v>4127</v>
      </c>
      <c r="B658" t="s">
        <v>4128</v>
      </c>
      <c r="C658" t="s">
        <v>558</v>
      </c>
      <c r="D658" t="s">
        <v>4129</v>
      </c>
      <c r="E658" t="s">
        <v>4</v>
      </c>
      <c r="F658">
        <v>249</v>
      </c>
      <c r="G658">
        <v>299</v>
      </c>
      <c r="H658" t="s">
        <v>13</v>
      </c>
      <c r="I658" t="b">
        <v>0</v>
      </c>
      <c r="J658">
        <f t="shared" si="20"/>
        <v>-10</v>
      </c>
      <c r="K658" t="str">
        <f t="shared" si="21"/>
        <v>Negative</v>
      </c>
    </row>
    <row r="659" spans="1:11" x14ac:dyDescent="0.2">
      <c r="A659" t="s">
        <v>1168</v>
      </c>
      <c r="B659" t="s">
        <v>1170</v>
      </c>
      <c r="C659" t="s">
        <v>996</v>
      </c>
      <c r="D659" t="s">
        <v>1171</v>
      </c>
      <c r="E659" t="s">
        <v>4</v>
      </c>
      <c r="F659">
        <v>360</v>
      </c>
      <c r="G659">
        <v>248</v>
      </c>
      <c r="H659" t="s">
        <v>13</v>
      </c>
      <c r="I659" t="b">
        <v>0</v>
      </c>
      <c r="J659">
        <f t="shared" si="20"/>
        <v>0</v>
      </c>
      <c r="K659" t="str">
        <f t="shared" si="21"/>
        <v>Neutral</v>
      </c>
    </row>
    <row r="660" spans="1:11" x14ac:dyDescent="0.2">
      <c r="A660" t="s">
        <v>5996</v>
      </c>
      <c r="B660" t="s">
        <v>5997</v>
      </c>
      <c r="C660" t="s">
        <v>5998</v>
      </c>
      <c r="D660" t="s">
        <v>5999</v>
      </c>
      <c r="E660" t="s">
        <v>4</v>
      </c>
      <c r="F660">
        <v>838</v>
      </c>
      <c r="G660">
        <v>740</v>
      </c>
      <c r="H660" t="s">
        <v>13</v>
      </c>
      <c r="I660" t="b">
        <v>0</v>
      </c>
      <c r="J660">
        <f t="shared" si="20"/>
        <v>0</v>
      </c>
      <c r="K660" t="str">
        <f t="shared" si="21"/>
        <v>Neutral</v>
      </c>
    </row>
    <row r="661" spans="1:11" x14ac:dyDescent="0.2">
      <c r="A661" t="s">
        <v>2420</v>
      </c>
      <c r="B661" t="s">
        <v>2421</v>
      </c>
      <c r="C661" t="s">
        <v>591</v>
      </c>
      <c r="D661" t="s">
        <v>2422</v>
      </c>
      <c r="E661" t="s">
        <v>4</v>
      </c>
      <c r="F661">
        <v>691</v>
      </c>
      <c r="G661">
        <v>221</v>
      </c>
      <c r="H661" t="s">
        <v>13</v>
      </c>
      <c r="I661" t="b">
        <v>0</v>
      </c>
      <c r="J661">
        <f t="shared" si="20"/>
        <v>0</v>
      </c>
      <c r="K661" t="str">
        <f t="shared" si="21"/>
        <v>Neutral</v>
      </c>
    </row>
    <row r="662" spans="1:11" x14ac:dyDescent="0.2">
      <c r="A662" t="s">
        <v>4395</v>
      </c>
      <c r="B662" t="s">
        <v>4396</v>
      </c>
      <c r="C662" t="s">
        <v>1062</v>
      </c>
      <c r="D662" t="s">
        <v>3</v>
      </c>
      <c r="E662" t="s">
        <v>4</v>
      </c>
      <c r="F662">
        <v>2514</v>
      </c>
      <c r="G662">
        <v>3016</v>
      </c>
      <c r="H662" t="s">
        <v>33</v>
      </c>
      <c r="I662" t="b">
        <v>0</v>
      </c>
      <c r="J662">
        <f t="shared" si="20"/>
        <v>0</v>
      </c>
      <c r="K662" t="str">
        <f t="shared" si="21"/>
        <v>Neutral</v>
      </c>
    </row>
    <row r="663" spans="1:11" x14ac:dyDescent="0.2">
      <c r="A663" t="s">
        <v>2541</v>
      </c>
      <c r="B663" t="s">
        <v>2542</v>
      </c>
      <c r="C663" t="s">
        <v>2543</v>
      </c>
      <c r="D663" t="s">
        <v>3</v>
      </c>
      <c r="E663" t="s">
        <v>4</v>
      </c>
      <c r="F663">
        <v>19</v>
      </c>
      <c r="G663">
        <v>43</v>
      </c>
      <c r="H663" t="s">
        <v>13</v>
      </c>
      <c r="I663" t="b">
        <v>0</v>
      </c>
      <c r="J663">
        <f t="shared" si="20"/>
        <v>0</v>
      </c>
      <c r="K663" t="str">
        <f t="shared" si="21"/>
        <v>Neutral</v>
      </c>
    </row>
    <row r="664" spans="1:11" x14ac:dyDescent="0.2">
      <c r="A664" t="s">
        <v>4509</v>
      </c>
      <c r="B664" t="s">
        <v>4510</v>
      </c>
      <c r="C664" t="s">
        <v>1267</v>
      </c>
      <c r="D664" t="s">
        <v>3</v>
      </c>
      <c r="E664" t="s">
        <v>4</v>
      </c>
      <c r="F664">
        <v>450</v>
      </c>
      <c r="G664">
        <v>977</v>
      </c>
      <c r="H664" t="s">
        <v>13</v>
      </c>
      <c r="I664" t="b">
        <v>0</v>
      </c>
      <c r="J664">
        <f t="shared" si="20"/>
        <v>0</v>
      </c>
      <c r="K664" t="str">
        <f t="shared" si="21"/>
        <v>Neutral</v>
      </c>
    </row>
    <row r="665" spans="1:11" x14ac:dyDescent="0.2">
      <c r="A665" t="s">
        <v>4094</v>
      </c>
      <c r="B665" t="s">
        <v>4095</v>
      </c>
      <c r="C665" t="s">
        <v>177</v>
      </c>
      <c r="D665" t="s">
        <v>3</v>
      </c>
      <c r="E665" t="s">
        <v>4</v>
      </c>
      <c r="F665">
        <v>137</v>
      </c>
      <c r="G665">
        <v>180</v>
      </c>
      <c r="H665" t="s">
        <v>13</v>
      </c>
      <c r="I665" t="b">
        <v>0</v>
      </c>
      <c r="J665">
        <f t="shared" si="20"/>
        <v>-10</v>
      </c>
      <c r="K665" t="str">
        <f t="shared" si="21"/>
        <v>Negative</v>
      </c>
    </row>
    <row r="666" spans="1:11" x14ac:dyDescent="0.2">
      <c r="A666" t="s">
        <v>2074</v>
      </c>
      <c r="B666" t="s">
        <v>2075</v>
      </c>
      <c r="C666" t="s">
        <v>301</v>
      </c>
      <c r="D666" t="s">
        <v>2076</v>
      </c>
      <c r="E666" t="s">
        <v>4</v>
      </c>
      <c r="F666">
        <v>176</v>
      </c>
      <c r="G666">
        <v>433</v>
      </c>
      <c r="H666" t="s">
        <v>13</v>
      </c>
      <c r="I666" t="b">
        <v>0</v>
      </c>
      <c r="J666">
        <f t="shared" si="20"/>
        <v>-10</v>
      </c>
      <c r="K666" t="str">
        <f t="shared" si="21"/>
        <v>Negative</v>
      </c>
    </row>
    <row r="667" spans="1:11" x14ac:dyDescent="0.2">
      <c r="A667" t="s">
        <v>966</v>
      </c>
      <c r="B667" t="s">
        <v>967</v>
      </c>
      <c r="C667" t="s">
        <v>226</v>
      </c>
      <c r="D667" t="s">
        <v>227</v>
      </c>
      <c r="E667" t="s">
        <v>4</v>
      </c>
      <c r="F667">
        <v>9223</v>
      </c>
      <c r="G667">
        <v>7169</v>
      </c>
      <c r="H667" t="s">
        <v>13</v>
      </c>
      <c r="I667" t="b">
        <v>0</v>
      </c>
      <c r="J667">
        <f t="shared" si="20"/>
        <v>0</v>
      </c>
      <c r="K667" t="str">
        <f t="shared" si="21"/>
        <v>Neutral</v>
      </c>
    </row>
    <row r="668" spans="1:11" x14ac:dyDescent="0.2">
      <c r="A668" t="s">
        <v>4637</v>
      </c>
      <c r="B668" t="s">
        <v>4638</v>
      </c>
      <c r="C668" t="s">
        <v>1267</v>
      </c>
      <c r="D668" t="s">
        <v>2280</v>
      </c>
      <c r="E668" t="s">
        <v>4</v>
      </c>
      <c r="F668">
        <v>1102</v>
      </c>
      <c r="G668">
        <v>431</v>
      </c>
      <c r="H668" t="s">
        <v>13</v>
      </c>
      <c r="I668" t="b">
        <v>0</v>
      </c>
      <c r="J668">
        <f t="shared" si="20"/>
        <v>0</v>
      </c>
      <c r="K668" t="str">
        <f t="shared" si="21"/>
        <v>Neutral</v>
      </c>
    </row>
    <row r="669" spans="1:11" x14ac:dyDescent="0.2">
      <c r="A669" t="s">
        <v>6148</v>
      </c>
      <c r="B669" t="s">
        <v>6149</v>
      </c>
      <c r="C669" t="s">
        <v>6150</v>
      </c>
      <c r="D669" t="s">
        <v>6151</v>
      </c>
      <c r="E669" t="s">
        <v>4</v>
      </c>
      <c r="F669">
        <v>352</v>
      </c>
      <c r="G669">
        <v>589</v>
      </c>
      <c r="H669" t="s">
        <v>13</v>
      </c>
      <c r="I669" t="b">
        <v>0</v>
      </c>
      <c r="J669">
        <f t="shared" si="20"/>
        <v>10</v>
      </c>
      <c r="K669" t="str">
        <f t="shared" si="21"/>
        <v>Positive</v>
      </c>
    </row>
    <row r="670" spans="1:11" x14ac:dyDescent="0.2">
      <c r="A670" t="s">
        <v>6539</v>
      </c>
      <c r="B670" t="s">
        <v>6540</v>
      </c>
      <c r="C670" t="s">
        <v>6541</v>
      </c>
      <c r="D670" t="s">
        <v>3</v>
      </c>
      <c r="E670" t="s">
        <v>4</v>
      </c>
      <c r="F670">
        <v>50</v>
      </c>
      <c r="G670">
        <v>130</v>
      </c>
      <c r="H670" t="s">
        <v>266</v>
      </c>
      <c r="I670" t="b">
        <v>0</v>
      </c>
      <c r="J670">
        <f t="shared" si="20"/>
        <v>0</v>
      </c>
      <c r="K670" t="str">
        <f t="shared" si="21"/>
        <v>Neutral</v>
      </c>
    </row>
    <row r="671" spans="1:11" x14ac:dyDescent="0.2">
      <c r="A671" t="s">
        <v>4117</v>
      </c>
      <c r="B671" t="s">
        <v>4118</v>
      </c>
      <c r="C671" t="s">
        <v>4119</v>
      </c>
      <c r="D671" t="s">
        <v>4120</v>
      </c>
      <c r="E671" t="s">
        <v>4</v>
      </c>
      <c r="F671">
        <v>1536</v>
      </c>
      <c r="G671">
        <v>3077</v>
      </c>
      <c r="H671" t="s">
        <v>13</v>
      </c>
      <c r="I671" t="b">
        <v>0</v>
      </c>
      <c r="J671">
        <f t="shared" si="20"/>
        <v>0</v>
      </c>
      <c r="K671" t="str">
        <f t="shared" si="21"/>
        <v>Neutral</v>
      </c>
    </row>
    <row r="672" spans="1:11" x14ac:dyDescent="0.2">
      <c r="A672" t="s">
        <v>4954</v>
      </c>
      <c r="B672" t="s">
        <v>4955</v>
      </c>
      <c r="C672" t="s">
        <v>533</v>
      </c>
      <c r="D672" t="s">
        <v>4956</v>
      </c>
      <c r="E672" t="s">
        <v>4</v>
      </c>
      <c r="F672">
        <v>22095</v>
      </c>
      <c r="G672">
        <v>273</v>
      </c>
      <c r="H672" t="s">
        <v>13</v>
      </c>
      <c r="I672" t="b">
        <v>0</v>
      </c>
      <c r="J672">
        <f t="shared" si="20"/>
        <v>0</v>
      </c>
      <c r="K672" t="str">
        <f t="shared" si="21"/>
        <v>Neutral</v>
      </c>
    </row>
    <row r="673" spans="1:11" x14ac:dyDescent="0.2">
      <c r="A673" t="s">
        <v>4657</v>
      </c>
      <c r="B673" t="s">
        <v>4658</v>
      </c>
      <c r="C673" t="s">
        <v>4659</v>
      </c>
      <c r="D673" t="s">
        <v>4660</v>
      </c>
      <c r="E673" t="s">
        <v>4</v>
      </c>
      <c r="F673">
        <v>5169</v>
      </c>
      <c r="G673">
        <v>2709</v>
      </c>
      <c r="H673" t="s">
        <v>13</v>
      </c>
      <c r="I673" t="b">
        <v>0</v>
      </c>
      <c r="J673">
        <f t="shared" si="20"/>
        <v>0</v>
      </c>
      <c r="K673" t="str">
        <f t="shared" si="21"/>
        <v>Neutral</v>
      </c>
    </row>
    <row r="674" spans="1:11" x14ac:dyDescent="0.2">
      <c r="A674" t="s">
        <v>2521</v>
      </c>
      <c r="B674" t="s">
        <v>2522</v>
      </c>
      <c r="C674" t="s">
        <v>125</v>
      </c>
      <c r="D674" t="s">
        <v>3</v>
      </c>
      <c r="E674" t="s">
        <v>4</v>
      </c>
      <c r="F674">
        <v>218</v>
      </c>
      <c r="G674">
        <v>126</v>
      </c>
      <c r="H674" t="s">
        <v>126</v>
      </c>
      <c r="I674" t="b">
        <v>0</v>
      </c>
      <c r="J674">
        <f t="shared" si="20"/>
        <v>10</v>
      </c>
      <c r="K674" t="str">
        <f t="shared" si="21"/>
        <v>Positive</v>
      </c>
    </row>
    <row r="675" spans="1:11" x14ac:dyDescent="0.2">
      <c r="A675" t="s">
        <v>1075</v>
      </c>
      <c r="B675" t="s">
        <v>1076</v>
      </c>
      <c r="C675" t="s">
        <v>611</v>
      </c>
      <c r="D675" t="s">
        <v>1077</v>
      </c>
      <c r="E675" t="s">
        <v>4</v>
      </c>
      <c r="F675">
        <v>0</v>
      </c>
      <c r="G675">
        <v>32</v>
      </c>
      <c r="H675" t="s">
        <v>645</v>
      </c>
      <c r="I675" t="b">
        <v>0</v>
      </c>
      <c r="J675">
        <f t="shared" si="20"/>
        <v>0</v>
      </c>
      <c r="K675" t="str">
        <f t="shared" si="21"/>
        <v>Neutral</v>
      </c>
    </row>
    <row r="676" spans="1:11" x14ac:dyDescent="0.2">
      <c r="A676" t="s">
        <v>3036</v>
      </c>
      <c r="B676" t="s">
        <v>3037</v>
      </c>
      <c r="C676" t="s">
        <v>190</v>
      </c>
      <c r="D676" t="s">
        <v>3</v>
      </c>
      <c r="E676" t="s">
        <v>4</v>
      </c>
      <c r="F676">
        <v>2868</v>
      </c>
      <c r="G676">
        <v>6</v>
      </c>
      <c r="H676" t="s">
        <v>13</v>
      </c>
      <c r="I676" t="b">
        <v>0</v>
      </c>
      <c r="J676">
        <f t="shared" si="20"/>
        <v>0</v>
      </c>
      <c r="K676" t="str">
        <f t="shared" si="21"/>
        <v>Neutral</v>
      </c>
    </row>
    <row r="677" spans="1:11" x14ac:dyDescent="0.2">
      <c r="A677" t="s">
        <v>3868</v>
      </c>
      <c r="B677" t="s">
        <v>3869</v>
      </c>
      <c r="C677" t="s">
        <v>279</v>
      </c>
      <c r="D677" t="s">
        <v>569</v>
      </c>
      <c r="E677" t="s">
        <v>4</v>
      </c>
      <c r="F677">
        <v>299</v>
      </c>
      <c r="G677">
        <v>310</v>
      </c>
      <c r="H677" t="s">
        <v>13</v>
      </c>
      <c r="I677" t="b">
        <v>0</v>
      </c>
      <c r="J677">
        <f t="shared" si="20"/>
        <v>0</v>
      </c>
      <c r="K677" t="str">
        <f t="shared" si="21"/>
        <v>Neutral</v>
      </c>
    </row>
    <row r="678" spans="1:11" x14ac:dyDescent="0.2">
      <c r="A678" t="s">
        <v>6704</v>
      </c>
      <c r="B678" t="s">
        <v>6705</v>
      </c>
      <c r="C678" t="s">
        <v>436</v>
      </c>
      <c r="D678" t="s">
        <v>3</v>
      </c>
      <c r="E678" t="s">
        <v>4</v>
      </c>
      <c r="F678">
        <v>12</v>
      </c>
      <c r="G678">
        <v>1</v>
      </c>
      <c r="H678" t="s">
        <v>13</v>
      </c>
      <c r="I678" t="b">
        <v>0</v>
      </c>
      <c r="J678">
        <f t="shared" si="20"/>
        <v>0</v>
      </c>
      <c r="K678" t="str">
        <f t="shared" si="21"/>
        <v>Neutral</v>
      </c>
    </row>
    <row r="679" spans="1:11" x14ac:dyDescent="0.2">
      <c r="A679" t="s">
        <v>2147</v>
      </c>
      <c r="B679" t="s">
        <v>2148</v>
      </c>
      <c r="C679" t="s">
        <v>2149</v>
      </c>
      <c r="D679" t="s">
        <v>2150</v>
      </c>
      <c r="E679" t="s">
        <v>4</v>
      </c>
      <c r="F679">
        <v>288</v>
      </c>
      <c r="G679">
        <v>998</v>
      </c>
      <c r="H679" t="s">
        <v>13</v>
      </c>
      <c r="I679" t="b">
        <v>0</v>
      </c>
      <c r="J679">
        <f t="shared" si="20"/>
        <v>10</v>
      </c>
      <c r="K679" t="str">
        <f t="shared" si="21"/>
        <v>Positive</v>
      </c>
    </row>
    <row r="680" spans="1:11" x14ac:dyDescent="0.2">
      <c r="A680" t="s">
        <v>1654</v>
      </c>
      <c r="B680" t="s">
        <v>1655</v>
      </c>
      <c r="C680" t="s">
        <v>1656</v>
      </c>
      <c r="D680" t="s">
        <v>1657</v>
      </c>
      <c r="E680" t="s">
        <v>4</v>
      </c>
      <c r="F680">
        <v>33981</v>
      </c>
      <c r="G680">
        <v>9443</v>
      </c>
      <c r="H680" t="s">
        <v>13</v>
      </c>
      <c r="I680" t="b">
        <v>0</v>
      </c>
      <c r="J680">
        <f t="shared" si="20"/>
        <v>0</v>
      </c>
      <c r="K680" t="str">
        <f t="shared" si="21"/>
        <v>Neutral</v>
      </c>
    </row>
    <row r="681" spans="1:11" x14ac:dyDescent="0.2">
      <c r="A681" t="s">
        <v>1486</v>
      </c>
      <c r="B681" t="s">
        <v>1487</v>
      </c>
      <c r="C681" t="s">
        <v>786</v>
      </c>
      <c r="D681" t="s">
        <v>1488</v>
      </c>
      <c r="E681" t="s">
        <v>4</v>
      </c>
      <c r="F681">
        <v>105</v>
      </c>
      <c r="G681">
        <v>637</v>
      </c>
      <c r="H681" t="s">
        <v>374</v>
      </c>
      <c r="I681" t="b">
        <v>0</v>
      </c>
      <c r="J681">
        <f t="shared" si="20"/>
        <v>0</v>
      </c>
      <c r="K681" t="str">
        <f t="shared" si="21"/>
        <v>Neutral</v>
      </c>
    </row>
    <row r="682" spans="1:11" x14ac:dyDescent="0.2">
      <c r="A682" t="s">
        <v>7208</v>
      </c>
      <c r="B682" t="s">
        <v>7209</v>
      </c>
      <c r="C682" t="s">
        <v>7210</v>
      </c>
      <c r="D682" t="s">
        <v>481</v>
      </c>
      <c r="E682" t="s">
        <v>4</v>
      </c>
      <c r="F682">
        <v>2100</v>
      </c>
      <c r="G682">
        <v>241</v>
      </c>
      <c r="H682" t="s">
        <v>13</v>
      </c>
      <c r="I682" t="b">
        <v>0</v>
      </c>
      <c r="J682">
        <f t="shared" si="20"/>
        <v>0</v>
      </c>
      <c r="K682" t="str">
        <f t="shared" si="21"/>
        <v>Neutral</v>
      </c>
    </row>
    <row r="683" spans="1:11" x14ac:dyDescent="0.2">
      <c r="A683" t="s">
        <v>1733</v>
      </c>
      <c r="B683" t="s">
        <v>1734</v>
      </c>
      <c r="C683" t="s">
        <v>1735</v>
      </c>
      <c r="D683" t="s">
        <v>1736</v>
      </c>
      <c r="E683" t="s">
        <v>4</v>
      </c>
      <c r="F683">
        <v>676</v>
      </c>
      <c r="G683">
        <v>4999</v>
      </c>
      <c r="H683" t="s">
        <v>13</v>
      </c>
      <c r="I683" t="b">
        <v>0</v>
      </c>
      <c r="J683">
        <f t="shared" si="20"/>
        <v>0</v>
      </c>
      <c r="K683" t="str">
        <f t="shared" si="21"/>
        <v>Neutral</v>
      </c>
    </row>
    <row r="684" spans="1:11" x14ac:dyDescent="0.2">
      <c r="A684" t="s">
        <v>3497</v>
      </c>
      <c r="B684" t="s">
        <v>3498</v>
      </c>
      <c r="C684" t="s">
        <v>568</v>
      </c>
      <c r="D684" t="s">
        <v>569</v>
      </c>
      <c r="E684" t="s">
        <v>4</v>
      </c>
      <c r="F684">
        <v>998</v>
      </c>
      <c r="G684">
        <v>1</v>
      </c>
      <c r="H684" t="s">
        <v>363</v>
      </c>
      <c r="I684" t="b">
        <v>0</v>
      </c>
      <c r="J684">
        <f t="shared" si="20"/>
        <v>0</v>
      </c>
      <c r="K684" t="str">
        <f t="shared" si="21"/>
        <v>Neutral</v>
      </c>
    </row>
    <row r="685" spans="1:11" x14ac:dyDescent="0.2">
      <c r="A685" t="s">
        <v>2693</v>
      </c>
      <c r="B685" t="s">
        <v>2694</v>
      </c>
      <c r="C685" t="s">
        <v>2695</v>
      </c>
      <c r="D685" t="s">
        <v>64</v>
      </c>
      <c r="E685" t="s">
        <v>4</v>
      </c>
      <c r="F685">
        <v>232</v>
      </c>
      <c r="G685">
        <v>109</v>
      </c>
      <c r="H685" t="s">
        <v>13</v>
      </c>
      <c r="I685" t="b">
        <v>0</v>
      </c>
      <c r="J685">
        <f t="shared" si="20"/>
        <v>0</v>
      </c>
      <c r="K685" t="str">
        <f t="shared" si="21"/>
        <v>Neutral</v>
      </c>
    </row>
    <row r="686" spans="1:11" x14ac:dyDescent="0.2">
      <c r="A686" t="s">
        <v>29</v>
      </c>
      <c r="B686" t="s">
        <v>30</v>
      </c>
      <c r="C686" t="s">
        <v>31</v>
      </c>
      <c r="D686" t="s">
        <v>32</v>
      </c>
      <c r="E686" t="s">
        <v>4</v>
      </c>
      <c r="F686">
        <v>690</v>
      </c>
      <c r="G686">
        <v>1012</v>
      </c>
      <c r="H686" t="s">
        <v>33</v>
      </c>
      <c r="I686" t="b">
        <v>0</v>
      </c>
      <c r="J686">
        <f t="shared" si="20"/>
        <v>0</v>
      </c>
      <c r="K686" t="str">
        <f t="shared" si="21"/>
        <v>Neutral</v>
      </c>
    </row>
    <row r="687" spans="1:11" x14ac:dyDescent="0.2">
      <c r="A687" t="s">
        <v>625</v>
      </c>
      <c r="B687" t="s">
        <v>626</v>
      </c>
      <c r="C687" t="s">
        <v>627</v>
      </c>
      <c r="D687" t="s">
        <v>628</v>
      </c>
      <c r="E687" t="s">
        <v>4</v>
      </c>
      <c r="F687">
        <v>3565</v>
      </c>
      <c r="G687">
        <v>88</v>
      </c>
      <c r="H687" t="s">
        <v>13</v>
      </c>
      <c r="I687" t="b">
        <v>0</v>
      </c>
      <c r="J687">
        <f t="shared" si="20"/>
        <v>0</v>
      </c>
      <c r="K687" t="str">
        <f t="shared" si="21"/>
        <v>Neutral</v>
      </c>
    </row>
    <row r="688" spans="1:11" x14ac:dyDescent="0.2">
      <c r="A688" t="s">
        <v>602</v>
      </c>
      <c r="B688" t="s">
        <v>603</v>
      </c>
      <c r="C688" t="s">
        <v>604</v>
      </c>
      <c r="D688" t="s">
        <v>605</v>
      </c>
      <c r="E688" t="s">
        <v>4</v>
      </c>
      <c r="F688">
        <v>2120</v>
      </c>
      <c r="G688">
        <v>4146</v>
      </c>
      <c r="H688" t="s">
        <v>13</v>
      </c>
      <c r="I688" t="b">
        <v>0</v>
      </c>
      <c r="J688">
        <f t="shared" si="20"/>
        <v>20</v>
      </c>
      <c r="K688" t="str">
        <f t="shared" si="21"/>
        <v>Positive</v>
      </c>
    </row>
    <row r="689" spans="1:11" x14ac:dyDescent="0.2">
      <c r="A689" t="s">
        <v>1269</v>
      </c>
      <c r="B689" t="s">
        <v>1270</v>
      </c>
      <c r="C689" t="s">
        <v>604</v>
      </c>
      <c r="D689" t="s">
        <v>605</v>
      </c>
      <c r="E689" t="s">
        <v>4</v>
      </c>
      <c r="F689">
        <v>2121</v>
      </c>
      <c r="G689">
        <v>4146</v>
      </c>
      <c r="H689" t="s">
        <v>13</v>
      </c>
      <c r="I689" t="b">
        <v>0</v>
      </c>
      <c r="J689">
        <f t="shared" si="20"/>
        <v>20</v>
      </c>
      <c r="K689" t="str">
        <f t="shared" si="21"/>
        <v>Positive</v>
      </c>
    </row>
    <row r="690" spans="1:11" x14ac:dyDescent="0.2">
      <c r="A690" t="s">
        <v>1247</v>
      </c>
      <c r="B690" t="s">
        <v>1248</v>
      </c>
      <c r="C690" t="s">
        <v>1249</v>
      </c>
      <c r="D690" t="s">
        <v>320</v>
      </c>
      <c r="E690" t="s">
        <v>4</v>
      </c>
      <c r="F690">
        <v>26</v>
      </c>
      <c r="G690">
        <v>21</v>
      </c>
      <c r="H690" t="s">
        <v>13</v>
      </c>
      <c r="I690" t="b">
        <v>0</v>
      </c>
      <c r="J690">
        <f t="shared" si="20"/>
        <v>0</v>
      </c>
      <c r="K690" t="str">
        <f t="shared" si="21"/>
        <v>Neutral</v>
      </c>
    </row>
    <row r="691" spans="1:11" x14ac:dyDescent="0.2">
      <c r="A691" t="s">
        <v>5076</v>
      </c>
      <c r="B691" t="s">
        <v>5077</v>
      </c>
      <c r="C691" t="s">
        <v>48</v>
      </c>
      <c r="D691" t="s">
        <v>64</v>
      </c>
      <c r="E691" t="s">
        <v>4</v>
      </c>
      <c r="F691">
        <v>1965</v>
      </c>
      <c r="G691">
        <v>4605</v>
      </c>
      <c r="H691" t="s">
        <v>13</v>
      </c>
      <c r="I691" t="b">
        <v>0</v>
      </c>
      <c r="J691">
        <f t="shared" si="20"/>
        <v>0</v>
      </c>
      <c r="K691" t="str">
        <f t="shared" si="21"/>
        <v>Neutral</v>
      </c>
    </row>
    <row r="692" spans="1:11" x14ac:dyDescent="0.2">
      <c r="A692" t="s">
        <v>5021</v>
      </c>
      <c r="B692" t="s">
        <v>5022</v>
      </c>
      <c r="C692" t="s">
        <v>604</v>
      </c>
      <c r="D692" t="s">
        <v>605</v>
      </c>
      <c r="E692" t="s">
        <v>4</v>
      </c>
      <c r="F692">
        <v>2122</v>
      </c>
      <c r="G692">
        <v>4146</v>
      </c>
      <c r="H692" t="s">
        <v>13</v>
      </c>
      <c r="I692" t="b">
        <v>0</v>
      </c>
      <c r="J692">
        <f t="shared" si="20"/>
        <v>20</v>
      </c>
      <c r="K692" t="str">
        <f t="shared" si="21"/>
        <v>Positive</v>
      </c>
    </row>
    <row r="693" spans="1:11" x14ac:dyDescent="0.2">
      <c r="A693" t="s">
        <v>3519</v>
      </c>
      <c r="B693" t="s">
        <v>3520</v>
      </c>
      <c r="C693" t="s">
        <v>604</v>
      </c>
      <c r="D693" t="s">
        <v>605</v>
      </c>
      <c r="E693" t="s">
        <v>4</v>
      </c>
      <c r="F693">
        <v>2121</v>
      </c>
      <c r="G693">
        <v>4145</v>
      </c>
      <c r="H693" t="s">
        <v>13</v>
      </c>
      <c r="I693" t="b">
        <v>0</v>
      </c>
      <c r="J693">
        <f t="shared" si="20"/>
        <v>20</v>
      </c>
      <c r="K693" t="str">
        <f t="shared" si="21"/>
        <v>Positive</v>
      </c>
    </row>
    <row r="694" spans="1:11" x14ac:dyDescent="0.2">
      <c r="A694" t="s">
        <v>3536</v>
      </c>
      <c r="B694" t="s">
        <v>3537</v>
      </c>
      <c r="C694" t="s">
        <v>1409</v>
      </c>
      <c r="D694" t="s">
        <v>3</v>
      </c>
      <c r="E694" t="s">
        <v>4</v>
      </c>
      <c r="F694">
        <v>272</v>
      </c>
      <c r="G694">
        <v>910</v>
      </c>
      <c r="H694" t="s">
        <v>13</v>
      </c>
      <c r="I694" t="b">
        <v>0</v>
      </c>
      <c r="J694">
        <f t="shared" si="20"/>
        <v>0</v>
      </c>
      <c r="K694" t="str">
        <f t="shared" si="21"/>
        <v>Neutral</v>
      </c>
    </row>
    <row r="695" spans="1:11" x14ac:dyDescent="0.2">
      <c r="A695" t="s">
        <v>1952</v>
      </c>
      <c r="B695" t="s">
        <v>1953</v>
      </c>
      <c r="C695" t="s">
        <v>604</v>
      </c>
      <c r="D695" t="s">
        <v>605</v>
      </c>
      <c r="E695" t="s">
        <v>4</v>
      </c>
      <c r="F695">
        <v>2121</v>
      </c>
      <c r="G695">
        <v>4146</v>
      </c>
      <c r="H695" t="s">
        <v>13</v>
      </c>
      <c r="I695" t="b">
        <v>0</v>
      </c>
      <c r="J695">
        <f t="shared" si="20"/>
        <v>20</v>
      </c>
      <c r="K695" t="str">
        <f t="shared" si="21"/>
        <v>Positive</v>
      </c>
    </row>
    <row r="696" spans="1:11" x14ac:dyDescent="0.2">
      <c r="A696" t="s">
        <v>1933</v>
      </c>
      <c r="B696" t="s">
        <v>1934</v>
      </c>
      <c r="C696" t="s">
        <v>1935</v>
      </c>
      <c r="D696" t="s">
        <v>1936</v>
      </c>
      <c r="E696" t="s">
        <v>4</v>
      </c>
      <c r="F696">
        <v>156</v>
      </c>
      <c r="G696">
        <v>219</v>
      </c>
      <c r="H696" t="s">
        <v>374</v>
      </c>
      <c r="I696" t="b">
        <v>0</v>
      </c>
      <c r="J696">
        <f t="shared" si="20"/>
        <v>0</v>
      </c>
      <c r="K696" t="str">
        <f t="shared" si="21"/>
        <v>Neutral</v>
      </c>
    </row>
    <row r="697" spans="1:11" x14ac:dyDescent="0.2">
      <c r="A697" t="s">
        <v>7079</v>
      </c>
      <c r="B697" t="s">
        <v>7080</v>
      </c>
      <c r="C697" t="s">
        <v>604</v>
      </c>
      <c r="D697" t="s">
        <v>605</v>
      </c>
      <c r="E697" t="s">
        <v>4</v>
      </c>
      <c r="F697">
        <v>2134</v>
      </c>
      <c r="G697">
        <v>4158</v>
      </c>
      <c r="H697" t="s">
        <v>13</v>
      </c>
      <c r="I697" t="b">
        <v>0</v>
      </c>
      <c r="J697">
        <f t="shared" si="20"/>
        <v>20</v>
      </c>
      <c r="K697" t="str">
        <f t="shared" si="21"/>
        <v>Positive</v>
      </c>
    </row>
    <row r="698" spans="1:11" x14ac:dyDescent="0.2">
      <c r="A698" t="s">
        <v>7164</v>
      </c>
      <c r="B698" t="s">
        <v>7165</v>
      </c>
      <c r="C698" t="s">
        <v>4735</v>
      </c>
      <c r="D698" t="s">
        <v>5646</v>
      </c>
      <c r="E698" t="s">
        <v>4</v>
      </c>
      <c r="F698">
        <v>312</v>
      </c>
      <c r="G698">
        <v>1006</v>
      </c>
      <c r="H698" t="s">
        <v>114</v>
      </c>
      <c r="I698" t="b">
        <v>0</v>
      </c>
      <c r="J698">
        <f t="shared" si="20"/>
        <v>0</v>
      </c>
      <c r="K698" t="str">
        <f t="shared" si="21"/>
        <v>Neutral</v>
      </c>
    </row>
    <row r="699" spans="1:11" x14ac:dyDescent="0.2">
      <c r="A699" t="s">
        <v>6491</v>
      </c>
      <c r="B699" t="s">
        <v>6492</v>
      </c>
      <c r="C699" t="s">
        <v>604</v>
      </c>
      <c r="D699" t="s">
        <v>605</v>
      </c>
      <c r="E699" t="s">
        <v>4</v>
      </c>
      <c r="F699">
        <v>2134</v>
      </c>
      <c r="G699">
        <v>4158</v>
      </c>
      <c r="H699" t="s">
        <v>13</v>
      </c>
      <c r="I699" t="b">
        <v>0</v>
      </c>
      <c r="J699">
        <f t="shared" si="20"/>
        <v>20</v>
      </c>
      <c r="K699" t="str">
        <f t="shared" si="21"/>
        <v>Positive</v>
      </c>
    </row>
    <row r="700" spans="1:11" x14ac:dyDescent="0.2">
      <c r="A700" t="s">
        <v>6442</v>
      </c>
      <c r="B700" t="s">
        <v>6443</v>
      </c>
      <c r="C700" t="s">
        <v>6253</v>
      </c>
      <c r="D700" t="s">
        <v>64</v>
      </c>
      <c r="E700" t="s">
        <v>4</v>
      </c>
      <c r="F700">
        <v>2476</v>
      </c>
      <c r="G700">
        <v>4848</v>
      </c>
      <c r="H700" t="s">
        <v>13</v>
      </c>
      <c r="I700" t="b">
        <v>0</v>
      </c>
      <c r="J700">
        <f t="shared" si="20"/>
        <v>0</v>
      </c>
      <c r="K700" t="str">
        <f t="shared" si="21"/>
        <v>Neutral</v>
      </c>
    </row>
    <row r="701" spans="1:11" x14ac:dyDescent="0.2">
      <c r="A701" t="s">
        <v>4351</v>
      </c>
      <c r="B701" t="s">
        <v>4352</v>
      </c>
      <c r="C701" t="s">
        <v>604</v>
      </c>
      <c r="D701" t="s">
        <v>605</v>
      </c>
      <c r="E701" t="s">
        <v>4</v>
      </c>
      <c r="F701">
        <v>2120</v>
      </c>
      <c r="G701">
        <v>4146</v>
      </c>
      <c r="H701" t="s">
        <v>13</v>
      </c>
      <c r="I701" t="b">
        <v>0</v>
      </c>
      <c r="J701">
        <f t="shared" si="20"/>
        <v>20</v>
      </c>
      <c r="K701" t="str">
        <f t="shared" si="21"/>
        <v>Positive</v>
      </c>
    </row>
    <row r="702" spans="1:11" x14ac:dyDescent="0.2">
      <c r="A702" t="s">
        <v>4326</v>
      </c>
      <c r="B702" t="s">
        <v>4327</v>
      </c>
      <c r="C702" t="s">
        <v>4328</v>
      </c>
      <c r="D702" t="s">
        <v>3</v>
      </c>
      <c r="E702" t="s">
        <v>4</v>
      </c>
      <c r="F702">
        <v>211</v>
      </c>
      <c r="G702">
        <v>315</v>
      </c>
      <c r="H702" t="s">
        <v>13</v>
      </c>
      <c r="I702" t="b">
        <v>0</v>
      </c>
      <c r="J702">
        <f t="shared" si="20"/>
        <v>0</v>
      </c>
      <c r="K702" t="str">
        <f t="shared" si="21"/>
        <v>Neutral</v>
      </c>
    </row>
    <row r="703" spans="1:11" x14ac:dyDescent="0.2">
      <c r="A703" t="s">
        <v>2748</v>
      </c>
      <c r="B703" t="s">
        <v>2749</v>
      </c>
      <c r="C703" t="s">
        <v>2177</v>
      </c>
      <c r="D703" t="s">
        <v>2750</v>
      </c>
      <c r="E703" t="s">
        <v>4</v>
      </c>
      <c r="F703">
        <v>381</v>
      </c>
      <c r="G703">
        <v>594</v>
      </c>
      <c r="H703" t="s">
        <v>13</v>
      </c>
      <c r="I703" t="b">
        <v>0</v>
      </c>
      <c r="J703">
        <f t="shared" si="20"/>
        <v>0</v>
      </c>
      <c r="K703" t="str">
        <f t="shared" si="21"/>
        <v>Neutral</v>
      </c>
    </row>
    <row r="704" spans="1:11" x14ac:dyDescent="0.2">
      <c r="A704" t="s">
        <v>2731</v>
      </c>
      <c r="B704" t="s">
        <v>2732</v>
      </c>
      <c r="C704" t="s">
        <v>604</v>
      </c>
      <c r="D704" t="s">
        <v>605</v>
      </c>
      <c r="E704" t="s">
        <v>4</v>
      </c>
      <c r="F704">
        <v>2121</v>
      </c>
      <c r="G704">
        <v>4145</v>
      </c>
      <c r="H704" t="s">
        <v>13</v>
      </c>
      <c r="I704" t="b">
        <v>0</v>
      </c>
      <c r="J704">
        <f t="shared" si="20"/>
        <v>20</v>
      </c>
      <c r="K704" t="str">
        <f t="shared" si="21"/>
        <v>Positive</v>
      </c>
    </row>
    <row r="705" spans="1:11" x14ac:dyDescent="0.2">
      <c r="A705" t="s">
        <v>2724</v>
      </c>
      <c r="B705" t="s">
        <v>2725</v>
      </c>
      <c r="C705" t="s">
        <v>568</v>
      </c>
      <c r="D705" t="s">
        <v>326</v>
      </c>
      <c r="E705" t="s">
        <v>4</v>
      </c>
      <c r="F705">
        <v>441</v>
      </c>
      <c r="G705">
        <v>416</v>
      </c>
      <c r="H705" t="s">
        <v>13</v>
      </c>
      <c r="I705" t="b">
        <v>0</v>
      </c>
      <c r="J705">
        <f t="shared" si="20"/>
        <v>0</v>
      </c>
      <c r="K705" t="str">
        <f t="shared" si="21"/>
        <v>Neutral</v>
      </c>
    </row>
    <row r="706" spans="1:11" x14ac:dyDescent="0.2">
      <c r="A706" t="s">
        <v>5677</v>
      </c>
      <c r="B706" t="s">
        <v>5678</v>
      </c>
      <c r="C706" t="s">
        <v>604</v>
      </c>
      <c r="D706" t="s">
        <v>605</v>
      </c>
      <c r="E706" t="s">
        <v>4</v>
      </c>
      <c r="F706">
        <v>2123</v>
      </c>
      <c r="G706">
        <v>4146</v>
      </c>
      <c r="H706" t="s">
        <v>13</v>
      </c>
      <c r="I706" t="b">
        <v>0</v>
      </c>
      <c r="J706">
        <f t="shared" si="20"/>
        <v>20</v>
      </c>
      <c r="K706" t="str">
        <f t="shared" si="21"/>
        <v>Positive</v>
      </c>
    </row>
    <row r="707" spans="1:11" x14ac:dyDescent="0.2">
      <c r="A707" t="s">
        <v>5693</v>
      </c>
      <c r="B707" t="s">
        <v>5694</v>
      </c>
      <c r="C707" t="s">
        <v>627</v>
      </c>
      <c r="D707" t="s">
        <v>628</v>
      </c>
      <c r="E707" t="s">
        <v>4</v>
      </c>
      <c r="F707">
        <v>3563</v>
      </c>
      <c r="G707">
        <v>88</v>
      </c>
      <c r="H707" t="s">
        <v>13</v>
      </c>
      <c r="I707" t="b">
        <v>0</v>
      </c>
      <c r="J707">
        <f t="shared" ref="J707:J770" si="22">sentimentCalc(B707)</f>
        <v>0</v>
      </c>
      <c r="K707" t="str">
        <f t="shared" ref="K707:K770" si="23">sentimentCategory(J707)</f>
        <v>Neutral</v>
      </c>
    </row>
    <row r="708" spans="1:11" x14ac:dyDescent="0.2">
      <c r="A708" t="s">
        <v>6502</v>
      </c>
      <c r="B708" t="s">
        <v>6503</v>
      </c>
      <c r="C708" t="s">
        <v>2116</v>
      </c>
      <c r="D708" t="s">
        <v>6504</v>
      </c>
      <c r="E708" t="s">
        <v>4</v>
      </c>
      <c r="F708">
        <v>450</v>
      </c>
      <c r="G708">
        <v>1820</v>
      </c>
      <c r="H708" t="s">
        <v>114</v>
      </c>
      <c r="I708" t="b">
        <v>0</v>
      </c>
      <c r="J708">
        <f t="shared" si="22"/>
        <v>0</v>
      </c>
      <c r="K708" t="str">
        <f t="shared" si="23"/>
        <v>Neutral</v>
      </c>
    </row>
    <row r="709" spans="1:11" x14ac:dyDescent="0.2">
      <c r="A709" t="s">
        <v>1219</v>
      </c>
      <c r="B709" t="s">
        <v>1220</v>
      </c>
      <c r="C709" t="s">
        <v>1221</v>
      </c>
      <c r="D709" t="s">
        <v>1222</v>
      </c>
      <c r="E709" t="s">
        <v>4</v>
      </c>
      <c r="F709">
        <v>1134</v>
      </c>
      <c r="G709">
        <v>1615</v>
      </c>
      <c r="H709" t="s">
        <v>13</v>
      </c>
      <c r="I709" t="b">
        <v>0</v>
      </c>
      <c r="J709">
        <f t="shared" si="22"/>
        <v>0</v>
      </c>
      <c r="K709" t="str">
        <f t="shared" si="23"/>
        <v>Neutral</v>
      </c>
    </row>
    <row r="710" spans="1:11" x14ac:dyDescent="0.2">
      <c r="A710" t="s">
        <v>1962</v>
      </c>
      <c r="B710" t="s">
        <v>1963</v>
      </c>
      <c r="C710" t="s">
        <v>631</v>
      </c>
      <c r="D710" t="s">
        <v>1964</v>
      </c>
      <c r="E710" t="s">
        <v>4</v>
      </c>
      <c r="F710">
        <v>495</v>
      </c>
      <c r="G710">
        <v>1111</v>
      </c>
      <c r="H710" t="s">
        <v>13</v>
      </c>
      <c r="I710" t="b">
        <v>0</v>
      </c>
      <c r="J710">
        <f t="shared" si="22"/>
        <v>0</v>
      </c>
      <c r="K710" t="str">
        <f t="shared" si="23"/>
        <v>Neutral</v>
      </c>
    </row>
    <row r="711" spans="1:11" x14ac:dyDescent="0.2">
      <c r="A711" t="s">
        <v>7117</v>
      </c>
      <c r="B711" t="s">
        <v>7118</v>
      </c>
      <c r="C711" t="s">
        <v>1221</v>
      </c>
      <c r="D711" t="s">
        <v>1222</v>
      </c>
      <c r="E711" t="s">
        <v>4</v>
      </c>
      <c r="F711">
        <v>1132</v>
      </c>
      <c r="G711">
        <v>1616</v>
      </c>
      <c r="H711" t="s">
        <v>13</v>
      </c>
      <c r="I711" t="b">
        <v>0</v>
      </c>
      <c r="J711">
        <f t="shared" si="22"/>
        <v>0</v>
      </c>
      <c r="K711" t="str">
        <f t="shared" si="23"/>
        <v>Neutral</v>
      </c>
    </row>
    <row r="712" spans="1:11" x14ac:dyDescent="0.2">
      <c r="A712" t="s">
        <v>4343</v>
      </c>
      <c r="B712" t="s">
        <v>4344</v>
      </c>
      <c r="C712" t="s">
        <v>197</v>
      </c>
      <c r="D712" t="s">
        <v>4345</v>
      </c>
      <c r="E712" t="s">
        <v>4</v>
      </c>
      <c r="F712">
        <v>10164</v>
      </c>
      <c r="G712">
        <v>0</v>
      </c>
      <c r="H712" t="s">
        <v>13</v>
      </c>
      <c r="I712" t="b">
        <v>0</v>
      </c>
      <c r="J712">
        <f t="shared" si="22"/>
        <v>0</v>
      </c>
      <c r="K712" t="str">
        <f t="shared" si="23"/>
        <v>Neutral</v>
      </c>
    </row>
    <row r="713" spans="1:11" x14ac:dyDescent="0.2">
      <c r="A713" t="s">
        <v>2742</v>
      </c>
      <c r="B713" t="s">
        <v>2743</v>
      </c>
      <c r="C713" t="s">
        <v>1221</v>
      </c>
      <c r="D713" t="s">
        <v>1222</v>
      </c>
      <c r="E713" t="s">
        <v>4</v>
      </c>
      <c r="F713">
        <v>1133</v>
      </c>
      <c r="G713">
        <v>1615</v>
      </c>
      <c r="H713" t="s">
        <v>13</v>
      </c>
      <c r="I713" t="b">
        <v>0</v>
      </c>
      <c r="J713">
        <f t="shared" si="22"/>
        <v>0</v>
      </c>
      <c r="K713" t="str">
        <f t="shared" si="23"/>
        <v>Neutral</v>
      </c>
    </row>
    <row r="714" spans="1:11" x14ac:dyDescent="0.2">
      <c r="A714" t="s">
        <v>5705</v>
      </c>
      <c r="B714" t="s">
        <v>5706</v>
      </c>
      <c r="C714" t="s">
        <v>1221</v>
      </c>
      <c r="D714" t="s">
        <v>1222</v>
      </c>
      <c r="E714" t="s">
        <v>4</v>
      </c>
      <c r="F714">
        <v>1133</v>
      </c>
      <c r="G714">
        <v>1615</v>
      </c>
      <c r="H714" t="s">
        <v>13</v>
      </c>
      <c r="I714" t="b">
        <v>0</v>
      </c>
      <c r="J714">
        <f t="shared" si="22"/>
        <v>0</v>
      </c>
      <c r="K714" t="str">
        <f t="shared" si="23"/>
        <v>Neutral</v>
      </c>
    </row>
    <row r="715" spans="1:11" x14ac:dyDescent="0.2">
      <c r="A715" t="s">
        <v>1960</v>
      </c>
      <c r="B715" t="s">
        <v>1961</v>
      </c>
      <c r="C715" t="s">
        <v>558</v>
      </c>
      <c r="D715" t="s">
        <v>64</v>
      </c>
      <c r="E715" t="s">
        <v>4</v>
      </c>
      <c r="F715">
        <v>95</v>
      </c>
      <c r="G715">
        <v>83</v>
      </c>
      <c r="H715" t="s">
        <v>13</v>
      </c>
      <c r="I715" t="b">
        <v>0</v>
      </c>
      <c r="J715">
        <f t="shared" si="22"/>
        <v>0</v>
      </c>
      <c r="K715" t="str">
        <f t="shared" si="23"/>
        <v>Neutral</v>
      </c>
    </row>
    <row r="716" spans="1:11" x14ac:dyDescent="0.2">
      <c r="A716" t="s">
        <v>5027</v>
      </c>
      <c r="B716" t="s">
        <v>5028</v>
      </c>
      <c r="C716" t="s">
        <v>5029</v>
      </c>
      <c r="D716" t="s">
        <v>3</v>
      </c>
      <c r="E716" t="s">
        <v>4</v>
      </c>
      <c r="F716">
        <v>29</v>
      </c>
      <c r="G716">
        <v>180</v>
      </c>
      <c r="H716" t="s">
        <v>5</v>
      </c>
      <c r="I716" t="b">
        <v>0</v>
      </c>
      <c r="J716">
        <f t="shared" si="22"/>
        <v>0</v>
      </c>
      <c r="K716" t="str">
        <f t="shared" si="23"/>
        <v>Neutral</v>
      </c>
    </row>
    <row r="717" spans="1:11" x14ac:dyDescent="0.2">
      <c r="A717" t="s">
        <v>427</v>
      </c>
      <c r="B717" t="s">
        <v>428</v>
      </c>
      <c r="C717" t="s">
        <v>429</v>
      </c>
      <c r="D717" t="s">
        <v>430</v>
      </c>
      <c r="E717" t="s">
        <v>4</v>
      </c>
      <c r="F717">
        <v>192</v>
      </c>
      <c r="G717">
        <v>141</v>
      </c>
      <c r="H717" t="s">
        <v>13</v>
      </c>
      <c r="I717" t="b">
        <v>0</v>
      </c>
      <c r="J717">
        <f t="shared" si="22"/>
        <v>0</v>
      </c>
      <c r="K717" t="str">
        <f t="shared" si="23"/>
        <v>Neutral</v>
      </c>
    </row>
    <row r="718" spans="1:11" x14ac:dyDescent="0.2">
      <c r="A718" t="s">
        <v>4682</v>
      </c>
      <c r="B718" t="s">
        <v>4683</v>
      </c>
      <c r="C718" t="s">
        <v>4684</v>
      </c>
      <c r="D718" t="s">
        <v>4685</v>
      </c>
      <c r="E718" t="s">
        <v>4</v>
      </c>
      <c r="F718">
        <v>1393</v>
      </c>
      <c r="G718">
        <v>433</v>
      </c>
      <c r="H718" t="s">
        <v>13</v>
      </c>
      <c r="I718" t="b">
        <v>0</v>
      </c>
      <c r="J718">
        <f t="shared" si="22"/>
        <v>10</v>
      </c>
      <c r="K718" t="str">
        <f t="shared" si="23"/>
        <v>Positive</v>
      </c>
    </row>
    <row r="719" spans="1:11" x14ac:dyDescent="0.2">
      <c r="A719" t="s">
        <v>3377</v>
      </c>
      <c r="B719" t="s">
        <v>3378</v>
      </c>
      <c r="C719" t="s">
        <v>1392</v>
      </c>
      <c r="D719" t="s">
        <v>3</v>
      </c>
      <c r="E719" t="s">
        <v>4</v>
      </c>
      <c r="F719">
        <v>10</v>
      </c>
      <c r="G719">
        <v>23</v>
      </c>
      <c r="H719" t="s">
        <v>13</v>
      </c>
      <c r="I719" t="b">
        <v>0</v>
      </c>
      <c r="J719">
        <f t="shared" si="22"/>
        <v>-10</v>
      </c>
      <c r="K719" t="str">
        <f t="shared" si="23"/>
        <v>Negative</v>
      </c>
    </row>
    <row r="720" spans="1:11" x14ac:dyDescent="0.2">
      <c r="A720" t="s">
        <v>6960</v>
      </c>
      <c r="B720" t="s">
        <v>6961</v>
      </c>
      <c r="C720" t="s">
        <v>5418</v>
      </c>
      <c r="D720" t="s">
        <v>6962</v>
      </c>
      <c r="E720" t="s">
        <v>4</v>
      </c>
      <c r="F720">
        <v>613</v>
      </c>
      <c r="G720">
        <v>1262</v>
      </c>
      <c r="H720" t="s">
        <v>13</v>
      </c>
      <c r="I720" t="b">
        <v>0</v>
      </c>
      <c r="J720">
        <f t="shared" si="22"/>
        <v>-10</v>
      </c>
      <c r="K720" t="str">
        <f t="shared" si="23"/>
        <v>Negative</v>
      </c>
    </row>
    <row r="721" spans="1:11" x14ac:dyDescent="0.2">
      <c r="A721" t="s">
        <v>5659</v>
      </c>
      <c r="B721" t="s">
        <v>5660</v>
      </c>
      <c r="C721" t="s">
        <v>1230</v>
      </c>
      <c r="D721" t="s">
        <v>1231</v>
      </c>
      <c r="E721" t="s">
        <v>4</v>
      </c>
      <c r="F721">
        <v>427</v>
      </c>
      <c r="G721">
        <v>768</v>
      </c>
      <c r="H721" t="s">
        <v>13</v>
      </c>
      <c r="I721" t="b">
        <v>0</v>
      </c>
      <c r="J721">
        <f t="shared" si="22"/>
        <v>10</v>
      </c>
      <c r="K721" t="str">
        <f t="shared" si="23"/>
        <v>Positive</v>
      </c>
    </row>
    <row r="722" spans="1:11" x14ac:dyDescent="0.2">
      <c r="A722" t="s">
        <v>1752</v>
      </c>
      <c r="B722" t="s">
        <v>1753</v>
      </c>
      <c r="C722" t="s">
        <v>1754</v>
      </c>
      <c r="D722" t="s">
        <v>64</v>
      </c>
      <c r="E722" t="s">
        <v>4</v>
      </c>
      <c r="F722">
        <v>2027</v>
      </c>
      <c r="G722">
        <v>331</v>
      </c>
      <c r="H722" t="s">
        <v>13</v>
      </c>
      <c r="I722" t="b">
        <v>0</v>
      </c>
      <c r="J722">
        <f t="shared" si="22"/>
        <v>0</v>
      </c>
      <c r="K722" t="str">
        <f t="shared" si="23"/>
        <v>Neutral</v>
      </c>
    </row>
    <row r="723" spans="1:11" x14ac:dyDescent="0.2">
      <c r="A723" t="s">
        <v>3343</v>
      </c>
      <c r="B723" t="s">
        <v>3344</v>
      </c>
      <c r="C723" t="s">
        <v>3345</v>
      </c>
      <c r="D723" t="s">
        <v>3346</v>
      </c>
      <c r="E723" t="s">
        <v>4</v>
      </c>
      <c r="F723">
        <v>588</v>
      </c>
      <c r="G723">
        <v>433</v>
      </c>
      <c r="H723" t="s">
        <v>114</v>
      </c>
      <c r="I723" t="b">
        <v>0</v>
      </c>
      <c r="J723">
        <f t="shared" si="22"/>
        <v>10</v>
      </c>
      <c r="K723" t="str">
        <f t="shared" si="23"/>
        <v>Positive</v>
      </c>
    </row>
    <row r="724" spans="1:11" x14ac:dyDescent="0.2">
      <c r="A724" t="s">
        <v>1454</v>
      </c>
      <c r="B724" t="s">
        <v>1455</v>
      </c>
      <c r="C724" t="s">
        <v>1456</v>
      </c>
      <c r="D724" t="s">
        <v>1457</v>
      </c>
      <c r="E724" t="s">
        <v>4</v>
      </c>
      <c r="F724">
        <v>95</v>
      </c>
      <c r="G724">
        <v>621</v>
      </c>
      <c r="H724" t="s">
        <v>13</v>
      </c>
      <c r="I724" t="b">
        <v>0</v>
      </c>
      <c r="J724">
        <f t="shared" si="22"/>
        <v>-10</v>
      </c>
      <c r="K724" t="str">
        <f t="shared" si="23"/>
        <v>Negative</v>
      </c>
    </row>
    <row r="725" spans="1:11" x14ac:dyDescent="0.2">
      <c r="A725" t="s">
        <v>4986</v>
      </c>
      <c r="B725" t="s">
        <v>4987</v>
      </c>
      <c r="C725" t="s">
        <v>3369</v>
      </c>
      <c r="D725" t="s">
        <v>3370</v>
      </c>
      <c r="E725" t="s">
        <v>4</v>
      </c>
      <c r="F725">
        <v>43</v>
      </c>
      <c r="G725">
        <v>38</v>
      </c>
      <c r="H725" t="s">
        <v>13</v>
      </c>
      <c r="I725" t="b">
        <v>0</v>
      </c>
      <c r="J725">
        <f t="shared" si="22"/>
        <v>10</v>
      </c>
      <c r="K725" t="str">
        <f t="shared" si="23"/>
        <v>Positive</v>
      </c>
    </row>
    <row r="726" spans="1:11" x14ac:dyDescent="0.2">
      <c r="A726" t="s">
        <v>5673</v>
      </c>
      <c r="B726" t="s">
        <v>5674</v>
      </c>
      <c r="C726" t="s">
        <v>5675</v>
      </c>
      <c r="D726" t="s">
        <v>5676</v>
      </c>
      <c r="E726" t="s">
        <v>4</v>
      </c>
      <c r="F726">
        <v>6003</v>
      </c>
      <c r="G726">
        <v>1353</v>
      </c>
      <c r="H726" t="s">
        <v>645</v>
      </c>
      <c r="I726" t="b">
        <v>0</v>
      </c>
      <c r="J726">
        <f t="shared" si="22"/>
        <v>0</v>
      </c>
      <c r="K726" t="str">
        <f t="shared" si="23"/>
        <v>Neutral</v>
      </c>
    </row>
    <row r="727" spans="1:11" x14ac:dyDescent="0.2">
      <c r="A727" t="s">
        <v>1393</v>
      </c>
      <c r="B727" t="s">
        <v>1394</v>
      </c>
      <c r="C727" t="s">
        <v>171</v>
      </c>
      <c r="D727" t="s">
        <v>3</v>
      </c>
      <c r="E727" t="s">
        <v>4</v>
      </c>
      <c r="F727">
        <v>5</v>
      </c>
      <c r="G727">
        <v>52</v>
      </c>
      <c r="H727" t="s">
        <v>13</v>
      </c>
      <c r="I727" t="b">
        <v>0</v>
      </c>
      <c r="J727">
        <f t="shared" si="22"/>
        <v>0</v>
      </c>
      <c r="K727" t="str">
        <f t="shared" si="23"/>
        <v>Neutral</v>
      </c>
    </row>
    <row r="728" spans="1:11" x14ac:dyDescent="0.2">
      <c r="A728" t="s">
        <v>6596</v>
      </c>
      <c r="B728" t="s">
        <v>6597</v>
      </c>
      <c r="C728" t="s">
        <v>6598</v>
      </c>
      <c r="D728" t="s">
        <v>3</v>
      </c>
      <c r="E728" t="s">
        <v>4</v>
      </c>
      <c r="F728">
        <v>32</v>
      </c>
      <c r="G728">
        <v>97</v>
      </c>
      <c r="H728" t="s">
        <v>13</v>
      </c>
      <c r="I728" t="b">
        <v>0</v>
      </c>
      <c r="J728">
        <f t="shared" si="22"/>
        <v>10</v>
      </c>
      <c r="K728" t="str">
        <f t="shared" si="23"/>
        <v>Positive</v>
      </c>
    </row>
    <row r="729" spans="1:11" x14ac:dyDescent="0.2">
      <c r="A729" t="s">
        <v>849</v>
      </c>
      <c r="B729" t="s">
        <v>850</v>
      </c>
      <c r="C729" t="s">
        <v>851</v>
      </c>
      <c r="D729" t="s">
        <v>852</v>
      </c>
      <c r="E729" t="s">
        <v>4</v>
      </c>
      <c r="F729">
        <v>1948</v>
      </c>
      <c r="G729">
        <v>4978</v>
      </c>
      <c r="H729" t="s">
        <v>13</v>
      </c>
      <c r="I729" t="b">
        <v>0</v>
      </c>
      <c r="J729">
        <f t="shared" si="22"/>
        <v>10</v>
      </c>
      <c r="K729" t="str">
        <f t="shared" si="23"/>
        <v>Positive</v>
      </c>
    </row>
    <row r="730" spans="1:11" x14ac:dyDescent="0.2">
      <c r="A730" t="s">
        <v>547</v>
      </c>
      <c r="B730" t="s">
        <v>548</v>
      </c>
      <c r="C730" t="s">
        <v>549</v>
      </c>
      <c r="D730" t="s">
        <v>550</v>
      </c>
      <c r="E730" t="s">
        <v>4</v>
      </c>
      <c r="F730">
        <v>1461</v>
      </c>
      <c r="G730">
        <v>110</v>
      </c>
      <c r="H730" t="s">
        <v>13</v>
      </c>
      <c r="I730" t="b">
        <v>0</v>
      </c>
      <c r="J730">
        <f t="shared" si="22"/>
        <v>20</v>
      </c>
      <c r="K730" t="str">
        <f t="shared" si="23"/>
        <v>Positive</v>
      </c>
    </row>
    <row r="731" spans="1:11" x14ac:dyDescent="0.2">
      <c r="A731" t="s">
        <v>4361</v>
      </c>
      <c r="B731" t="s">
        <v>4362</v>
      </c>
      <c r="C731" t="s">
        <v>4363</v>
      </c>
      <c r="D731" t="s">
        <v>1772</v>
      </c>
      <c r="E731" t="s">
        <v>4</v>
      </c>
      <c r="F731">
        <v>232</v>
      </c>
      <c r="G731">
        <v>177</v>
      </c>
      <c r="H731" t="s">
        <v>13</v>
      </c>
      <c r="I731" t="b">
        <v>0</v>
      </c>
      <c r="J731">
        <f t="shared" si="22"/>
        <v>0</v>
      </c>
      <c r="K731" t="str">
        <f t="shared" si="23"/>
        <v>Neutral</v>
      </c>
    </row>
    <row r="732" spans="1:11" x14ac:dyDescent="0.2">
      <c r="A732" t="s">
        <v>3450</v>
      </c>
      <c r="B732" t="s">
        <v>3451</v>
      </c>
      <c r="C732" t="s">
        <v>1757</v>
      </c>
      <c r="D732" t="s">
        <v>3</v>
      </c>
      <c r="E732" t="s">
        <v>4</v>
      </c>
      <c r="F732">
        <v>7</v>
      </c>
      <c r="G732">
        <v>58</v>
      </c>
      <c r="H732" t="s">
        <v>13</v>
      </c>
      <c r="I732" t="b">
        <v>0</v>
      </c>
      <c r="J732">
        <f t="shared" si="22"/>
        <v>0</v>
      </c>
      <c r="K732" t="str">
        <f t="shared" si="23"/>
        <v>Neutral</v>
      </c>
    </row>
    <row r="733" spans="1:11" x14ac:dyDescent="0.2">
      <c r="A733" t="s">
        <v>6659</v>
      </c>
      <c r="B733" t="s">
        <v>6660</v>
      </c>
      <c r="C733" t="s">
        <v>254</v>
      </c>
      <c r="D733" t="s">
        <v>3</v>
      </c>
      <c r="E733" t="s">
        <v>4</v>
      </c>
      <c r="F733">
        <v>647</v>
      </c>
      <c r="G733">
        <v>460</v>
      </c>
      <c r="H733" t="s">
        <v>13</v>
      </c>
      <c r="I733" t="b">
        <v>0</v>
      </c>
      <c r="J733">
        <f t="shared" si="22"/>
        <v>0</v>
      </c>
      <c r="K733" t="str">
        <f t="shared" si="23"/>
        <v>Neutral</v>
      </c>
    </row>
    <row r="734" spans="1:11" x14ac:dyDescent="0.2">
      <c r="A734" t="s">
        <v>916</v>
      </c>
      <c r="B734" t="s">
        <v>917</v>
      </c>
      <c r="C734" t="s">
        <v>704</v>
      </c>
      <c r="D734" t="s">
        <v>918</v>
      </c>
      <c r="E734" t="s">
        <v>4</v>
      </c>
      <c r="F734">
        <v>214</v>
      </c>
      <c r="G734">
        <v>632</v>
      </c>
      <c r="H734" t="s">
        <v>13</v>
      </c>
      <c r="I734" t="b">
        <v>0</v>
      </c>
      <c r="J734">
        <f t="shared" si="22"/>
        <v>10</v>
      </c>
      <c r="K734" t="str">
        <f t="shared" si="23"/>
        <v>Positive</v>
      </c>
    </row>
    <row r="735" spans="1:11" x14ac:dyDescent="0.2">
      <c r="A735" t="s">
        <v>5183</v>
      </c>
      <c r="B735" t="s">
        <v>5184</v>
      </c>
      <c r="C735" t="s">
        <v>3890</v>
      </c>
      <c r="D735" t="s">
        <v>3</v>
      </c>
      <c r="E735" t="s">
        <v>4</v>
      </c>
      <c r="F735">
        <v>102</v>
      </c>
      <c r="G735">
        <v>136</v>
      </c>
      <c r="H735" t="s">
        <v>13</v>
      </c>
      <c r="I735" t="b">
        <v>0</v>
      </c>
      <c r="J735">
        <f t="shared" si="22"/>
        <v>0</v>
      </c>
      <c r="K735" t="str">
        <f t="shared" si="23"/>
        <v>Neutral</v>
      </c>
    </row>
    <row r="736" spans="1:11" x14ac:dyDescent="0.2">
      <c r="A736" t="s">
        <v>3472</v>
      </c>
      <c r="B736" t="s">
        <v>3473</v>
      </c>
      <c r="C736" t="s">
        <v>3474</v>
      </c>
      <c r="D736" t="s">
        <v>3475</v>
      </c>
      <c r="E736" t="s">
        <v>4</v>
      </c>
      <c r="F736">
        <v>1955</v>
      </c>
      <c r="G736">
        <v>202</v>
      </c>
      <c r="H736" t="s">
        <v>13</v>
      </c>
      <c r="I736" t="b">
        <v>0</v>
      </c>
      <c r="J736">
        <f t="shared" si="22"/>
        <v>0</v>
      </c>
      <c r="K736" t="str">
        <f t="shared" si="23"/>
        <v>Neutral</v>
      </c>
    </row>
    <row r="737" spans="1:11" x14ac:dyDescent="0.2">
      <c r="A737" t="s">
        <v>4063</v>
      </c>
      <c r="B737" t="s">
        <v>4064</v>
      </c>
      <c r="C737" t="s">
        <v>4065</v>
      </c>
      <c r="D737" t="s">
        <v>4066</v>
      </c>
      <c r="E737" t="s">
        <v>4</v>
      </c>
      <c r="F737">
        <v>192</v>
      </c>
      <c r="G737">
        <v>215</v>
      </c>
      <c r="H737" t="s">
        <v>50</v>
      </c>
      <c r="I737" t="b">
        <v>0</v>
      </c>
      <c r="J737">
        <f t="shared" si="22"/>
        <v>0</v>
      </c>
      <c r="K737" t="str">
        <f t="shared" si="23"/>
        <v>Neutral</v>
      </c>
    </row>
    <row r="738" spans="1:11" x14ac:dyDescent="0.2">
      <c r="A738" t="s">
        <v>4570</v>
      </c>
      <c r="B738" t="s">
        <v>4571</v>
      </c>
      <c r="C738" t="s">
        <v>1438</v>
      </c>
      <c r="D738" t="s">
        <v>3</v>
      </c>
      <c r="E738" t="s">
        <v>4</v>
      </c>
      <c r="F738">
        <v>240</v>
      </c>
      <c r="G738">
        <v>573</v>
      </c>
      <c r="H738" t="s">
        <v>13</v>
      </c>
      <c r="I738" t="b">
        <v>0</v>
      </c>
      <c r="J738">
        <f t="shared" si="22"/>
        <v>0</v>
      </c>
      <c r="K738" t="str">
        <f t="shared" si="23"/>
        <v>Neutral</v>
      </c>
    </row>
    <row r="739" spans="1:11" x14ac:dyDescent="0.2">
      <c r="A739" t="s">
        <v>364</v>
      </c>
      <c r="B739" t="s">
        <v>365</v>
      </c>
      <c r="C739" t="s">
        <v>366</v>
      </c>
      <c r="D739" t="s">
        <v>367</v>
      </c>
      <c r="E739" t="s">
        <v>4</v>
      </c>
      <c r="F739">
        <v>1374</v>
      </c>
      <c r="G739">
        <v>294</v>
      </c>
      <c r="H739" t="s">
        <v>13</v>
      </c>
      <c r="I739" t="b">
        <v>0</v>
      </c>
      <c r="J739">
        <f t="shared" si="22"/>
        <v>0</v>
      </c>
      <c r="K739" t="str">
        <f t="shared" si="23"/>
        <v>Neutral</v>
      </c>
    </row>
    <row r="740" spans="1:11" x14ac:dyDescent="0.2">
      <c r="A740" t="s">
        <v>1762</v>
      </c>
      <c r="B740" t="s">
        <v>1763</v>
      </c>
      <c r="C740" t="s">
        <v>1764</v>
      </c>
      <c r="D740" t="s">
        <v>3</v>
      </c>
      <c r="E740" t="s">
        <v>4</v>
      </c>
      <c r="F740">
        <v>61</v>
      </c>
      <c r="G740">
        <v>129</v>
      </c>
      <c r="H740" t="s">
        <v>13</v>
      </c>
      <c r="I740" t="b">
        <v>0</v>
      </c>
      <c r="J740">
        <f t="shared" si="22"/>
        <v>0</v>
      </c>
      <c r="K740" t="str">
        <f t="shared" si="23"/>
        <v>Neutral</v>
      </c>
    </row>
    <row r="741" spans="1:11" x14ac:dyDescent="0.2">
      <c r="A741" t="s">
        <v>865</v>
      </c>
      <c r="B741" t="s">
        <v>866</v>
      </c>
      <c r="C741" t="s">
        <v>658</v>
      </c>
      <c r="D741" t="s">
        <v>101</v>
      </c>
      <c r="E741" t="s">
        <v>4</v>
      </c>
      <c r="F741">
        <v>3316</v>
      </c>
      <c r="G741">
        <v>3347</v>
      </c>
      <c r="H741" t="s">
        <v>867</v>
      </c>
      <c r="I741" t="b">
        <v>0</v>
      </c>
      <c r="J741">
        <f t="shared" si="22"/>
        <v>0</v>
      </c>
      <c r="K741" t="str">
        <f t="shared" si="23"/>
        <v>Neutral</v>
      </c>
    </row>
    <row r="742" spans="1:11" x14ac:dyDescent="0.2">
      <c r="A742" t="s">
        <v>4939</v>
      </c>
      <c r="B742" t="s">
        <v>4940</v>
      </c>
      <c r="C742" t="s">
        <v>275</v>
      </c>
      <c r="D742" t="s">
        <v>64</v>
      </c>
      <c r="E742" t="s">
        <v>4</v>
      </c>
      <c r="F742">
        <v>84</v>
      </c>
      <c r="G742">
        <v>118</v>
      </c>
      <c r="H742" t="s">
        <v>13</v>
      </c>
      <c r="I742" t="b">
        <v>0</v>
      </c>
      <c r="J742">
        <f t="shared" si="22"/>
        <v>0</v>
      </c>
      <c r="K742" t="str">
        <f t="shared" si="23"/>
        <v>Neutral</v>
      </c>
    </row>
    <row r="743" spans="1:11" x14ac:dyDescent="0.2">
      <c r="A743" t="s">
        <v>4171</v>
      </c>
      <c r="B743" t="s">
        <v>4172</v>
      </c>
      <c r="C743" t="s">
        <v>4173</v>
      </c>
      <c r="D743" t="s">
        <v>3</v>
      </c>
      <c r="E743" t="s">
        <v>4</v>
      </c>
      <c r="F743">
        <v>83</v>
      </c>
      <c r="G743">
        <v>444</v>
      </c>
      <c r="H743" t="s">
        <v>13</v>
      </c>
      <c r="I743" t="b">
        <v>0</v>
      </c>
      <c r="J743">
        <f t="shared" si="22"/>
        <v>0</v>
      </c>
      <c r="K743" t="str">
        <f t="shared" si="23"/>
        <v>Neutral</v>
      </c>
    </row>
    <row r="744" spans="1:11" x14ac:dyDescent="0.2">
      <c r="A744" t="s">
        <v>1530</v>
      </c>
      <c r="B744" t="s">
        <v>1531</v>
      </c>
      <c r="C744" t="s">
        <v>1525</v>
      </c>
      <c r="D744" t="s">
        <v>3</v>
      </c>
      <c r="E744" t="s">
        <v>4</v>
      </c>
      <c r="F744">
        <v>9642</v>
      </c>
      <c r="G744">
        <v>27</v>
      </c>
      <c r="H744" t="s">
        <v>13</v>
      </c>
      <c r="I744" t="b">
        <v>0</v>
      </c>
      <c r="J744">
        <f t="shared" si="22"/>
        <v>0</v>
      </c>
      <c r="K744" t="str">
        <f t="shared" si="23"/>
        <v>Neutral</v>
      </c>
    </row>
    <row r="745" spans="1:11" x14ac:dyDescent="0.2">
      <c r="A745" t="s">
        <v>5728</v>
      </c>
      <c r="B745" t="s">
        <v>5729</v>
      </c>
      <c r="C745" t="s">
        <v>31</v>
      </c>
      <c r="D745" t="s">
        <v>42</v>
      </c>
      <c r="E745" t="s">
        <v>4</v>
      </c>
      <c r="F745">
        <v>345</v>
      </c>
      <c r="G745">
        <v>348</v>
      </c>
      <c r="H745" t="s">
        <v>13</v>
      </c>
      <c r="I745" t="b">
        <v>0</v>
      </c>
      <c r="J745">
        <f t="shared" si="22"/>
        <v>0</v>
      </c>
      <c r="K745" t="str">
        <f t="shared" si="23"/>
        <v>Neutral</v>
      </c>
    </row>
    <row r="746" spans="1:11" x14ac:dyDescent="0.2">
      <c r="A746" t="s">
        <v>5044</v>
      </c>
      <c r="B746" t="s">
        <v>5045</v>
      </c>
      <c r="C746" t="s">
        <v>215</v>
      </c>
      <c r="D746" t="s">
        <v>3</v>
      </c>
      <c r="E746" t="s">
        <v>4</v>
      </c>
      <c r="F746">
        <v>525</v>
      </c>
      <c r="G746">
        <v>1435</v>
      </c>
      <c r="H746" t="s">
        <v>13</v>
      </c>
      <c r="I746" t="b">
        <v>0</v>
      </c>
      <c r="J746">
        <f t="shared" si="22"/>
        <v>10</v>
      </c>
      <c r="K746" t="str">
        <f t="shared" si="23"/>
        <v>Positive</v>
      </c>
    </row>
    <row r="747" spans="1:11" x14ac:dyDescent="0.2">
      <c r="A747" t="s">
        <v>5849</v>
      </c>
      <c r="B747" t="s">
        <v>5850</v>
      </c>
      <c r="C747" t="s">
        <v>740</v>
      </c>
      <c r="D747" t="s">
        <v>1772</v>
      </c>
      <c r="E747" t="s">
        <v>4</v>
      </c>
      <c r="F747">
        <v>637</v>
      </c>
      <c r="G747">
        <v>327</v>
      </c>
      <c r="H747" t="s">
        <v>13</v>
      </c>
      <c r="I747" t="b">
        <v>0</v>
      </c>
      <c r="J747">
        <f t="shared" si="22"/>
        <v>0</v>
      </c>
      <c r="K747" t="str">
        <f t="shared" si="23"/>
        <v>Neutral</v>
      </c>
    </row>
    <row r="748" spans="1:11" x14ac:dyDescent="0.2">
      <c r="A748" t="s">
        <v>2393</v>
      </c>
      <c r="B748" t="s">
        <v>2394</v>
      </c>
      <c r="C748" t="s">
        <v>2395</v>
      </c>
      <c r="D748" t="s">
        <v>2396</v>
      </c>
      <c r="E748" t="s">
        <v>38</v>
      </c>
      <c r="F748">
        <v>27785</v>
      </c>
      <c r="G748">
        <v>147</v>
      </c>
      <c r="H748" t="s">
        <v>13</v>
      </c>
      <c r="I748" t="b">
        <v>0</v>
      </c>
      <c r="J748">
        <f t="shared" si="22"/>
        <v>0</v>
      </c>
      <c r="K748" t="str">
        <f t="shared" si="23"/>
        <v>Neutral</v>
      </c>
    </row>
    <row r="749" spans="1:11" x14ac:dyDescent="0.2">
      <c r="A749" t="s">
        <v>3225</v>
      </c>
      <c r="B749" t="s">
        <v>3226</v>
      </c>
      <c r="C749" t="s">
        <v>336</v>
      </c>
      <c r="D749" t="s">
        <v>3227</v>
      </c>
      <c r="E749" t="s">
        <v>4</v>
      </c>
      <c r="F749">
        <v>398</v>
      </c>
      <c r="G749">
        <v>1123</v>
      </c>
      <c r="H749" t="s">
        <v>13</v>
      </c>
      <c r="I749" t="b">
        <v>0</v>
      </c>
      <c r="J749">
        <f t="shared" si="22"/>
        <v>0</v>
      </c>
      <c r="K749" t="str">
        <f t="shared" si="23"/>
        <v>Neutral</v>
      </c>
    </row>
    <row r="750" spans="1:11" x14ac:dyDescent="0.2">
      <c r="A750" t="s">
        <v>2955</v>
      </c>
      <c r="B750" t="s">
        <v>2956</v>
      </c>
      <c r="C750" t="s">
        <v>1012</v>
      </c>
      <c r="D750" t="s">
        <v>2957</v>
      </c>
      <c r="E750" t="s">
        <v>4</v>
      </c>
      <c r="F750">
        <v>59</v>
      </c>
      <c r="G750">
        <v>1300</v>
      </c>
      <c r="H750" t="s">
        <v>13</v>
      </c>
      <c r="I750" t="b">
        <v>0</v>
      </c>
      <c r="J750">
        <f t="shared" si="22"/>
        <v>0</v>
      </c>
      <c r="K750" t="str">
        <f t="shared" si="23"/>
        <v>Neutral</v>
      </c>
    </row>
    <row r="751" spans="1:11" x14ac:dyDescent="0.2">
      <c r="A751" t="s">
        <v>2081</v>
      </c>
      <c r="B751" t="s">
        <v>2082</v>
      </c>
      <c r="C751" t="s">
        <v>395</v>
      </c>
      <c r="D751" t="s">
        <v>396</v>
      </c>
      <c r="E751" t="s">
        <v>4</v>
      </c>
      <c r="F751">
        <v>52</v>
      </c>
      <c r="G751">
        <v>242</v>
      </c>
      <c r="H751" t="s">
        <v>13</v>
      </c>
      <c r="I751" t="b">
        <v>0</v>
      </c>
      <c r="J751">
        <f t="shared" si="22"/>
        <v>10</v>
      </c>
      <c r="K751" t="str">
        <f t="shared" si="23"/>
        <v>Positive</v>
      </c>
    </row>
    <row r="752" spans="1:11" x14ac:dyDescent="0.2">
      <c r="A752" t="s">
        <v>1112</v>
      </c>
      <c r="B752" t="s">
        <v>1113</v>
      </c>
      <c r="C752" t="s">
        <v>1012</v>
      </c>
      <c r="D752" t="s">
        <v>928</v>
      </c>
      <c r="E752" t="s">
        <v>4</v>
      </c>
      <c r="F752">
        <v>22</v>
      </c>
      <c r="G752">
        <v>95</v>
      </c>
      <c r="H752" t="s">
        <v>86</v>
      </c>
      <c r="I752" t="b">
        <v>0</v>
      </c>
      <c r="J752">
        <f t="shared" si="22"/>
        <v>0</v>
      </c>
      <c r="K752" t="str">
        <f t="shared" si="23"/>
        <v>Neutral</v>
      </c>
    </row>
    <row r="753" spans="1:11" x14ac:dyDescent="0.2">
      <c r="A753" t="s">
        <v>2639</v>
      </c>
      <c r="B753" t="s">
        <v>2640</v>
      </c>
      <c r="C753" t="s">
        <v>1602</v>
      </c>
      <c r="D753" t="s">
        <v>3</v>
      </c>
      <c r="E753" t="s">
        <v>4</v>
      </c>
      <c r="F753">
        <v>9</v>
      </c>
      <c r="G753">
        <v>10</v>
      </c>
      <c r="H753" t="s">
        <v>50</v>
      </c>
      <c r="I753" t="b">
        <v>0</v>
      </c>
      <c r="J753">
        <f t="shared" si="22"/>
        <v>0</v>
      </c>
      <c r="K753" t="str">
        <f t="shared" si="23"/>
        <v>Neutral</v>
      </c>
    </row>
    <row r="754" spans="1:11" x14ac:dyDescent="0.2">
      <c r="A754" t="s">
        <v>2834</v>
      </c>
      <c r="B754" t="s">
        <v>2835</v>
      </c>
      <c r="C754" t="s">
        <v>155</v>
      </c>
      <c r="D754" t="s">
        <v>2836</v>
      </c>
      <c r="E754" t="s">
        <v>4</v>
      </c>
      <c r="F754">
        <v>177</v>
      </c>
      <c r="G754">
        <v>179</v>
      </c>
      <c r="H754" t="s">
        <v>114</v>
      </c>
      <c r="I754" t="b">
        <v>0</v>
      </c>
      <c r="J754">
        <f t="shared" si="22"/>
        <v>0</v>
      </c>
      <c r="K754" t="str">
        <f t="shared" si="23"/>
        <v>Neutral</v>
      </c>
    </row>
    <row r="755" spans="1:11" x14ac:dyDescent="0.2">
      <c r="A755" t="s">
        <v>2268</v>
      </c>
      <c r="B755" t="s">
        <v>2270</v>
      </c>
      <c r="C755" t="s">
        <v>1602</v>
      </c>
      <c r="D755" t="s">
        <v>3</v>
      </c>
      <c r="E755" t="s">
        <v>4</v>
      </c>
      <c r="F755">
        <v>4</v>
      </c>
      <c r="G755">
        <v>12</v>
      </c>
      <c r="H755" t="s">
        <v>13</v>
      </c>
      <c r="I755" t="b">
        <v>0</v>
      </c>
      <c r="J755">
        <f t="shared" si="22"/>
        <v>0</v>
      </c>
      <c r="K755" t="str">
        <f t="shared" si="23"/>
        <v>Neutral</v>
      </c>
    </row>
    <row r="756" spans="1:11" x14ac:dyDescent="0.2">
      <c r="A756" t="s">
        <v>6883</v>
      </c>
      <c r="B756" t="s">
        <v>6884</v>
      </c>
      <c r="C756" t="s">
        <v>786</v>
      </c>
      <c r="D756" t="s">
        <v>6885</v>
      </c>
      <c r="E756" t="s">
        <v>4</v>
      </c>
      <c r="F756">
        <v>263</v>
      </c>
      <c r="G756">
        <v>1041</v>
      </c>
      <c r="H756" t="s">
        <v>13</v>
      </c>
      <c r="I756" t="b">
        <v>0</v>
      </c>
      <c r="J756">
        <f t="shared" si="22"/>
        <v>0</v>
      </c>
      <c r="K756" t="str">
        <f t="shared" si="23"/>
        <v>Neutral</v>
      </c>
    </row>
    <row r="757" spans="1:11" x14ac:dyDescent="0.2">
      <c r="A757" t="s">
        <v>741</v>
      </c>
      <c r="B757" t="s">
        <v>742</v>
      </c>
      <c r="C757" t="s">
        <v>743</v>
      </c>
      <c r="D757" t="s">
        <v>744</v>
      </c>
      <c r="E757" t="s">
        <v>4</v>
      </c>
      <c r="F757">
        <v>11</v>
      </c>
      <c r="G757">
        <v>15</v>
      </c>
      <c r="H757" t="s">
        <v>13</v>
      </c>
      <c r="I757" t="b">
        <v>0</v>
      </c>
      <c r="J757">
        <f t="shared" si="22"/>
        <v>0</v>
      </c>
      <c r="K757" t="str">
        <f t="shared" si="23"/>
        <v>Neutral</v>
      </c>
    </row>
    <row r="758" spans="1:11" x14ac:dyDescent="0.2">
      <c r="A758" t="s">
        <v>706</v>
      </c>
      <c r="B758" t="s">
        <v>707</v>
      </c>
      <c r="C758" t="s">
        <v>429</v>
      </c>
      <c r="D758" t="s">
        <v>430</v>
      </c>
      <c r="E758" t="s">
        <v>4</v>
      </c>
      <c r="F758">
        <v>192</v>
      </c>
      <c r="G758">
        <v>141</v>
      </c>
      <c r="H758" t="s">
        <v>13</v>
      </c>
      <c r="I758" t="b">
        <v>0</v>
      </c>
      <c r="J758">
        <f t="shared" si="22"/>
        <v>0</v>
      </c>
      <c r="K758" t="str">
        <f t="shared" si="23"/>
        <v>Neutral</v>
      </c>
    </row>
    <row r="759" spans="1:11" x14ac:dyDescent="0.2">
      <c r="A759" t="s">
        <v>2214</v>
      </c>
      <c r="B759" t="s">
        <v>2215</v>
      </c>
      <c r="C759" t="s">
        <v>2216</v>
      </c>
      <c r="D759" t="s">
        <v>2217</v>
      </c>
      <c r="E759" t="s">
        <v>4</v>
      </c>
      <c r="F759">
        <v>90</v>
      </c>
      <c r="G759">
        <v>295</v>
      </c>
      <c r="H759" t="s">
        <v>13</v>
      </c>
      <c r="I759" t="b">
        <v>0</v>
      </c>
      <c r="J759">
        <f t="shared" si="22"/>
        <v>0</v>
      </c>
      <c r="K759" t="str">
        <f t="shared" si="23"/>
        <v>Neutral</v>
      </c>
    </row>
    <row r="760" spans="1:11" x14ac:dyDescent="0.2">
      <c r="A760" t="s">
        <v>6730</v>
      </c>
      <c r="B760" t="s">
        <v>6731</v>
      </c>
      <c r="C760" t="s">
        <v>6732</v>
      </c>
      <c r="D760" t="s">
        <v>1772</v>
      </c>
      <c r="E760" t="s">
        <v>4</v>
      </c>
      <c r="F760">
        <v>78</v>
      </c>
      <c r="G760">
        <v>400</v>
      </c>
      <c r="H760" t="s">
        <v>13</v>
      </c>
      <c r="I760" t="b">
        <v>0</v>
      </c>
      <c r="J760">
        <f t="shared" si="22"/>
        <v>0</v>
      </c>
      <c r="K760" t="str">
        <f t="shared" si="23"/>
        <v>Neutral</v>
      </c>
    </row>
    <row r="761" spans="1:11" x14ac:dyDescent="0.2">
      <c r="A761" t="s">
        <v>2563</v>
      </c>
      <c r="B761" t="s">
        <v>2564</v>
      </c>
      <c r="C761" t="s">
        <v>806</v>
      </c>
      <c r="D761" t="s">
        <v>2565</v>
      </c>
      <c r="E761" t="s">
        <v>4</v>
      </c>
      <c r="F761">
        <v>1984</v>
      </c>
      <c r="G761">
        <v>2599</v>
      </c>
      <c r="H761" t="s">
        <v>13</v>
      </c>
      <c r="I761" t="b">
        <v>0</v>
      </c>
      <c r="J761">
        <f t="shared" si="22"/>
        <v>10</v>
      </c>
      <c r="K761" t="str">
        <f t="shared" si="23"/>
        <v>Positive</v>
      </c>
    </row>
    <row r="762" spans="1:11" x14ac:dyDescent="0.2">
      <c r="A762" t="s">
        <v>3586</v>
      </c>
      <c r="B762" t="s">
        <v>3587</v>
      </c>
      <c r="C762" t="s">
        <v>3588</v>
      </c>
      <c r="D762" t="s">
        <v>3</v>
      </c>
      <c r="E762" t="s">
        <v>4</v>
      </c>
      <c r="F762">
        <v>91</v>
      </c>
      <c r="G762">
        <v>83</v>
      </c>
      <c r="H762" t="s">
        <v>13</v>
      </c>
      <c r="I762" t="b">
        <v>0</v>
      </c>
      <c r="J762">
        <f t="shared" si="22"/>
        <v>0</v>
      </c>
      <c r="K762" t="str">
        <f t="shared" si="23"/>
        <v>Neutral</v>
      </c>
    </row>
    <row r="763" spans="1:11" x14ac:dyDescent="0.2">
      <c r="A763" t="s">
        <v>1956</v>
      </c>
      <c r="B763" t="s">
        <v>1957</v>
      </c>
      <c r="C763" t="s">
        <v>1958</v>
      </c>
      <c r="D763" t="s">
        <v>1959</v>
      </c>
      <c r="E763" t="s">
        <v>4</v>
      </c>
      <c r="F763">
        <v>596</v>
      </c>
      <c r="G763">
        <v>53</v>
      </c>
      <c r="H763" t="s">
        <v>13</v>
      </c>
      <c r="I763" t="b">
        <v>0</v>
      </c>
      <c r="J763">
        <f t="shared" si="22"/>
        <v>0</v>
      </c>
      <c r="K763" t="str">
        <f t="shared" si="23"/>
        <v>Neutral</v>
      </c>
    </row>
    <row r="764" spans="1:11" x14ac:dyDescent="0.2">
      <c r="A764" t="s">
        <v>6847</v>
      </c>
      <c r="B764" t="s">
        <v>6848</v>
      </c>
      <c r="C764" t="s">
        <v>6849</v>
      </c>
      <c r="D764" t="s">
        <v>3</v>
      </c>
      <c r="E764" t="s">
        <v>4</v>
      </c>
      <c r="F764">
        <v>34</v>
      </c>
      <c r="G764">
        <v>190</v>
      </c>
      <c r="H764" t="s">
        <v>13</v>
      </c>
      <c r="I764" t="b">
        <v>0</v>
      </c>
      <c r="J764">
        <f t="shared" si="22"/>
        <v>0</v>
      </c>
      <c r="K764" t="str">
        <f t="shared" si="23"/>
        <v>Neutral</v>
      </c>
    </row>
    <row r="765" spans="1:11" x14ac:dyDescent="0.2">
      <c r="A765" t="s">
        <v>6377</v>
      </c>
      <c r="B765" t="s">
        <v>6378</v>
      </c>
      <c r="C765" t="s">
        <v>6379</v>
      </c>
      <c r="D765" t="s">
        <v>3</v>
      </c>
      <c r="E765" t="s">
        <v>4</v>
      </c>
      <c r="F765">
        <v>509</v>
      </c>
      <c r="G765">
        <v>1425</v>
      </c>
      <c r="H765" t="s">
        <v>13</v>
      </c>
      <c r="I765" t="b">
        <v>0</v>
      </c>
      <c r="J765">
        <f t="shared" si="22"/>
        <v>0</v>
      </c>
      <c r="K765" t="str">
        <f t="shared" si="23"/>
        <v>Neutral</v>
      </c>
    </row>
    <row r="766" spans="1:11" x14ac:dyDescent="0.2">
      <c r="A766" t="s">
        <v>1416</v>
      </c>
      <c r="B766" t="s">
        <v>1417</v>
      </c>
      <c r="C766" t="s">
        <v>530</v>
      </c>
      <c r="D766" t="s">
        <v>3</v>
      </c>
      <c r="E766" t="s">
        <v>4</v>
      </c>
      <c r="F766">
        <v>0</v>
      </c>
      <c r="G766">
        <v>48</v>
      </c>
      <c r="H766" t="s">
        <v>13</v>
      </c>
      <c r="I766" t="b">
        <v>0</v>
      </c>
      <c r="J766">
        <f t="shared" si="22"/>
        <v>0</v>
      </c>
      <c r="K766" t="str">
        <f t="shared" si="23"/>
        <v>Neutral</v>
      </c>
    </row>
    <row r="767" spans="1:11" x14ac:dyDescent="0.2">
      <c r="A767" t="s">
        <v>3275</v>
      </c>
      <c r="B767" t="s">
        <v>3276</v>
      </c>
      <c r="C767" t="s">
        <v>3277</v>
      </c>
      <c r="D767" t="s">
        <v>3</v>
      </c>
      <c r="E767" t="s">
        <v>4</v>
      </c>
      <c r="F767">
        <v>13</v>
      </c>
      <c r="G767">
        <v>126</v>
      </c>
      <c r="H767" t="s">
        <v>13</v>
      </c>
      <c r="I767" t="b">
        <v>0</v>
      </c>
      <c r="J767">
        <f t="shared" si="22"/>
        <v>0</v>
      </c>
      <c r="K767" t="str">
        <f t="shared" si="23"/>
        <v>Neutral</v>
      </c>
    </row>
    <row r="768" spans="1:11" x14ac:dyDescent="0.2">
      <c r="A768" t="s">
        <v>2822</v>
      </c>
      <c r="B768" t="s">
        <v>2823</v>
      </c>
      <c r="C768" t="s">
        <v>2287</v>
      </c>
      <c r="D768" t="s">
        <v>2824</v>
      </c>
      <c r="E768" t="s">
        <v>4</v>
      </c>
      <c r="F768">
        <v>391</v>
      </c>
      <c r="G768">
        <v>1925</v>
      </c>
      <c r="H768" t="s">
        <v>13</v>
      </c>
      <c r="I768" t="b">
        <v>0</v>
      </c>
      <c r="J768">
        <f t="shared" si="22"/>
        <v>-10</v>
      </c>
      <c r="K768" t="str">
        <f t="shared" si="23"/>
        <v>Negative</v>
      </c>
    </row>
    <row r="769" spans="1:11" x14ac:dyDescent="0.2">
      <c r="A769" t="s">
        <v>267</v>
      </c>
      <c r="B769" t="s">
        <v>268</v>
      </c>
      <c r="C769" t="s">
        <v>269</v>
      </c>
      <c r="D769" t="s">
        <v>3</v>
      </c>
      <c r="E769" t="s">
        <v>4</v>
      </c>
      <c r="F769">
        <v>3</v>
      </c>
      <c r="G769">
        <v>5</v>
      </c>
      <c r="H769" t="s">
        <v>13</v>
      </c>
      <c r="I769" t="b">
        <v>0</v>
      </c>
      <c r="J769">
        <f t="shared" si="22"/>
        <v>0</v>
      </c>
      <c r="K769" t="str">
        <f t="shared" si="23"/>
        <v>Neutral</v>
      </c>
    </row>
    <row r="770" spans="1:11" x14ac:dyDescent="0.2">
      <c r="A770" t="s">
        <v>5939</v>
      </c>
      <c r="B770" t="s">
        <v>5940</v>
      </c>
      <c r="C770" t="s">
        <v>279</v>
      </c>
      <c r="D770" t="s">
        <v>3</v>
      </c>
      <c r="E770" t="s">
        <v>4</v>
      </c>
      <c r="F770">
        <v>218</v>
      </c>
      <c r="G770">
        <v>606</v>
      </c>
      <c r="H770" t="s">
        <v>13</v>
      </c>
      <c r="I770" t="b">
        <v>0</v>
      </c>
      <c r="J770">
        <f t="shared" si="22"/>
        <v>0</v>
      </c>
      <c r="K770" t="str">
        <f t="shared" si="23"/>
        <v>Neutral</v>
      </c>
    </row>
    <row r="771" spans="1:11" x14ac:dyDescent="0.2">
      <c r="A771" t="s">
        <v>3492</v>
      </c>
      <c r="B771" t="s">
        <v>3493</v>
      </c>
      <c r="C771" t="s">
        <v>1587</v>
      </c>
      <c r="D771" t="s">
        <v>3494</v>
      </c>
      <c r="E771" t="s">
        <v>4</v>
      </c>
      <c r="F771">
        <v>1008</v>
      </c>
      <c r="G771">
        <v>981</v>
      </c>
      <c r="H771" t="s">
        <v>13</v>
      </c>
      <c r="I771" t="b">
        <v>0</v>
      </c>
      <c r="J771">
        <f t="shared" ref="J771:J834" si="24">sentimentCalc(B771)</f>
        <v>-10</v>
      </c>
      <c r="K771" t="str">
        <f t="shared" ref="K771:K834" si="25">sentimentCategory(J771)</f>
        <v>Negative</v>
      </c>
    </row>
    <row r="772" spans="1:11" x14ac:dyDescent="0.2">
      <c r="A772" t="s">
        <v>1600</v>
      </c>
      <c r="B772" t="s">
        <v>1601</v>
      </c>
      <c r="C772" t="s">
        <v>1602</v>
      </c>
      <c r="D772" t="s">
        <v>3</v>
      </c>
      <c r="E772" t="s">
        <v>4</v>
      </c>
      <c r="F772">
        <v>289</v>
      </c>
      <c r="G772">
        <v>70</v>
      </c>
      <c r="H772" t="s">
        <v>13</v>
      </c>
      <c r="I772" t="b">
        <v>0</v>
      </c>
      <c r="J772">
        <f t="shared" si="24"/>
        <v>0</v>
      </c>
      <c r="K772" t="str">
        <f t="shared" si="25"/>
        <v>Neutral</v>
      </c>
    </row>
    <row r="773" spans="1:11" x14ac:dyDescent="0.2">
      <c r="A773" t="s">
        <v>1428</v>
      </c>
      <c r="B773" t="s">
        <v>1429</v>
      </c>
      <c r="C773" t="s">
        <v>1430</v>
      </c>
      <c r="D773" t="s">
        <v>3</v>
      </c>
      <c r="E773" t="s">
        <v>4</v>
      </c>
      <c r="F773">
        <v>29</v>
      </c>
      <c r="G773">
        <v>321</v>
      </c>
      <c r="H773" t="s">
        <v>13</v>
      </c>
      <c r="I773" t="b">
        <v>0</v>
      </c>
      <c r="J773">
        <f t="shared" si="24"/>
        <v>20</v>
      </c>
      <c r="K773" t="str">
        <f t="shared" si="25"/>
        <v>Positive</v>
      </c>
    </row>
    <row r="774" spans="1:11" x14ac:dyDescent="0.2">
      <c r="A774" t="s">
        <v>4952</v>
      </c>
      <c r="B774" t="s">
        <v>4953</v>
      </c>
      <c r="C774" t="s">
        <v>2379</v>
      </c>
      <c r="D774" t="s">
        <v>3</v>
      </c>
      <c r="E774" t="s">
        <v>4</v>
      </c>
      <c r="F774">
        <v>88</v>
      </c>
      <c r="G774">
        <v>87</v>
      </c>
      <c r="H774" t="s">
        <v>13</v>
      </c>
      <c r="I774" t="b">
        <v>0</v>
      </c>
      <c r="J774">
        <f t="shared" si="24"/>
        <v>10</v>
      </c>
      <c r="K774" t="str">
        <f t="shared" si="25"/>
        <v>Positive</v>
      </c>
    </row>
    <row r="775" spans="1:11" x14ac:dyDescent="0.2">
      <c r="A775" t="s">
        <v>981</v>
      </c>
      <c r="B775" t="s">
        <v>982</v>
      </c>
      <c r="C775" t="s">
        <v>983</v>
      </c>
      <c r="D775" t="s">
        <v>984</v>
      </c>
      <c r="E775" t="s">
        <v>4</v>
      </c>
      <c r="F775">
        <v>1</v>
      </c>
      <c r="G775">
        <v>16</v>
      </c>
      <c r="H775" t="s">
        <v>13</v>
      </c>
      <c r="I775" t="b">
        <v>0</v>
      </c>
      <c r="J775">
        <f t="shared" si="24"/>
        <v>30</v>
      </c>
      <c r="K775" t="str">
        <f t="shared" si="25"/>
        <v>Positive</v>
      </c>
    </row>
    <row r="776" spans="1:11" x14ac:dyDescent="0.2">
      <c r="A776" t="s">
        <v>728</v>
      </c>
      <c r="B776" t="s">
        <v>729</v>
      </c>
      <c r="C776" t="s">
        <v>730</v>
      </c>
      <c r="D776" t="s">
        <v>3</v>
      </c>
      <c r="E776" t="s">
        <v>4</v>
      </c>
      <c r="F776">
        <v>80</v>
      </c>
      <c r="G776">
        <v>235</v>
      </c>
      <c r="H776" t="s">
        <v>13</v>
      </c>
      <c r="I776" t="b">
        <v>0</v>
      </c>
      <c r="J776">
        <f t="shared" si="24"/>
        <v>0</v>
      </c>
      <c r="K776" t="str">
        <f t="shared" si="25"/>
        <v>Neutral</v>
      </c>
    </row>
    <row r="777" spans="1:11" x14ac:dyDescent="0.2">
      <c r="A777" t="s">
        <v>252</v>
      </c>
      <c r="B777" t="s">
        <v>253</v>
      </c>
      <c r="C777" t="s">
        <v>254</v>
      </c>
      <c r="D777" t="s">
        <v>255</v>
      </c>
      <c r="E777" t="s">
        <v>4</v>
      </c>
      <c r="F777">
        <v>81</v>
      </c>
      <c r="G777">
        <v>64</v>
      </c>
      <c r="H777" t="s">
        <v>13</v>
      </c>
      <c r="I777" t="b">
        <v>0</v>
      </c>
      <c r="J777">
        <f t="shared" si="24"/>
        <v>0</v>
      </c>
      <c r="K777" t="str">
        <f t="shared" si="25"/>
        <v>Neutral</v>
      </c>
    </row>
    <row r="778" spans="1:11" x14ac:dyDescent="0.2">
      <c r="A778" t="s">
        <v>236</v>
      </c>
      <c r="B778" t="s">
        <v>237</v>
      </c>
      <c r="C778" t="s">
        <v>238</v>
      </c>
      <c r="D778" t="s">
        <v>3</v>
      </c>
      <c r="E778" t="s">
        <v>4</v>
      </c>
      <c r="F778">
        <v>18</v>
      </c>
      <c r="G778">
        <v>17</v>
      </c>
      <c r="H778" t="s">
        <v>13</v>
      </c>
      <c r="I778" t="b">
        <v>0</v>
      </c>
      <c r="J778">
        <f t="shared" si="24"/>
        <v>0</v>
      </c>
      <c r="K778" t="str">
        <f t="shared" si="25"/>
        <v>Neutral</v>
      </c>
    </row>
    <row r="779" spans="1:11" x14ac:dyDescent="0.2">
      <c r="A779" t="s">
        <v>2814</v>
      </c>
      <c r="B779" t="s">
        <v>2815</v>
      </c>
      <c r="C779" t="s">
        <v>1947</v>
      </c>
      <c r="D779" t="s">
        <v>3</v>
      </c>
      <c r="E779" t="s">
        <v>4</v>
      </c>
      <c r="F779">
        <v>281</v>
      </c>
      <c r="G779">
        <v>48</v>
      </c>
      <c r="H779" t="s">
        <v>13</v>
      </c>
      <c r="I779" t="b">
        <v>0</v>
      </c>
      <c r="J779">
        <f t="shared" si="24"/>
        <v>0</v>
      </c>
      <c r="K779" t="str">
        <f t="shared" si="25"/>
        <v>Neutral</v>
      </c>
    </row>
    <row r="780" spans="1:11" x14ac:dyDescent="0.2">
      <c r="A780" t="s">
        <v>1395</v>
      </c>
      <c r="B780" t="s">
        <v>1396</v>
      </c>
      <c r="C780" t="s">
        <v>1210</v>
      </c>
      <c r="D780" t="s">
        <v>98</v>
      </c>
      <c r="E780" t="s">
        <v>4</v>
      </c>
      <c r="F780">
        <v>2050</v>
      </c>
      <c r="G780">
        <v>543</v>
      </c>
      <c r="H780" t="s">
        <v>13</v>
      </c>
      <c r="I780" t="b">
        <v>0</v>
      </c>
      <c r="J780">
        <f t="shared" si="24"/>
        <v>0</v>
      </c>
      <c r="K780" t="str">
        <f t="shared" si="25"/>
        <v>Neutral</v>
      </c>
    </row>
    <row r="781" spans="1:11" x14ac:dyDescent="0.2">
      <c r="A781" t="s">
        <v>3798</v>
      </c>
      <c r="B781" t="s">
        <v>3799</v>
      </c>
      <c r="C781" t="s">
        <v>3800</v>
      </c>
      <c r="D781" t="s">
        <v>326</v>
      </c>
      <c r="E781" t="s">
        <v>4</v>
      </c>
      <c r="F781">
        <v>911</v>
      </c>
      <c r="G781">
        <v>258</v>
      </c>
      <c r="H781" t="s">
        <v>13</v>
      </c>
      <c r="I781" t="b">
        <v>0</v>
      </c>
      <c r="J781">
        <f t="shared" si="24"/>
        <v>0</v>
      </c>
      <c r="K781" t="str">
        <f t="shared" si="25"/>
        <v>Neutral</v>
      </c>
    </row>
    <row r="782" spans="1:11" x14ac:dyDescent="0.2">
      <c r="A782" t="s">
        <v>2999</v>
      </c>
      <c r="B782" t="s">
        <v>3000</v>
      </c>
      <c r="C782" t="s">
        <v>773</v>
      </c>
      <c r="D782" t="s">
        <v>3001</v>
      </c>
      <c r="E782" t="s">
        <v>4</v>
      </c>
      <c r="F782">
        <v>92</v>
      </c>
      <c r="G782">
        <v>78</v>
      </c>
      <c r="H782" t="s">
        <v>13</v>
      </c>
      <c r="I782" t="b">
        <v>0</v>
      </c>
      <c r="J782">
        <f t="shared" si="24"/>
        <v>0</v>
      </c>
      <c r="K782" t="str">
        <f t="shared" si="25"/>
        <v>Neutral</v>
      </c>
    </row>
    <row r="783" spans="1:11" x14ac:dyDescent="0.2">
      <c r="A783" t="s">
        <v>3198</v>
      </c>
      <c r="B783" t="s">
        <v>3199</v>
      </c>
      <c r="C783" t="s">
        <v>48</v>
      </c>
      <c r="D783" t="s">
        <v>3</v>
      </c>
      <c r="E783" t="s">
        <v>4</v>
      </c>
      <c r="F783">
        <v>43</v>
      </c>
      <c r="G783">
        <v>100</v>
      </c>
      <c r="H783" t="s">
        <v>13</v>
      </c>
      <c r="I783" t="b">
        <v>0</v>
      </c>
      <c r="J783">
        <f t="shared" si="24"/>
        <v>0</v>
      </c>
      <c r="K783" t="str">
        <f t="shared" si="25"/>
        <v>Neutral</v>
      </c>
    </row>
    <row r="784" spans="1:11" x14ac:dyDescent="0.2">
      <c r="A784" t="s">
        <v>5190</v>
      </c>
      <c r="B784" t="s">
        <v>5191</v>
      </c>
      <c r="C784" t="s">
        <v>462</v>
      </c>
      <c r="D784" t="s">
        <v>5192</v>
      </c>
      <c r="E784" t="s">
        <v>4</v>
      </c>
      <c r="F784">
        <v>82</v>
      </c>
      <c r="G784">
        <v>341</v>
      </c>
      <c r="H784" t="s">
        <v>13</v>
      </c>
      <c r="I784" t="b">
        <v>0</v>
      </c>
      <c r="J784">
        <f t="shared" si="24"/>
        <v>0</v>
      </c>
      <c r="K784" t="str">
        <f t="shared" si="25"/>
        <v>Neutral</v>
      </c>
    </row>
    <row r="785" spans="1:11" x14ac:dyDescent="0.2">
      <c r="A785" t="s">
        <v>1298</v>
      </c>
      <c r="B785" t="s">
        <v>1299</v>
      </c>
      <c r="C785" t="s">
        <v>1300</v>
      </c>
      <c r="D785" t="s">
        <v>3</v>
      </c>
      <c r="E785" t="s">
        <v>4</v>
      </c>
      <c r="F785">
        <v>305</v>
      </c>
      <c r="G785">
        <v>449</v>
      </c>
      <c r="H785" t="s">
        <v>13</v>
      </c>
      <c r="I785" t="b">
        <v>0</v>
      </c>
      <c r="J785">
        <f t="shared" si="24"/>
        <v>0</v>
      </c>
      <c r="K785" t="str">
        <f t="shared" si="25"/>
        <v>Neutral</v>
      </c>
    </row>
    <row r="786" spans="1:11" x14ac:dyDescent="0.2">
      <c r="A786" t="s">
        <v>4780</v>
      </c>
      <c r="B786" t="s">
        <v>4781</v>
      </c>
      <c r="C786" t="s">
        <v>4782</v>
      </c>
      <c r="D786" t="s">
        <v>4783</v>
      </c>
      <c r="E786" t="s">
        <v>4</v>
      </c>
      <c r="F786">
        <v>59</v>
      </c>
      <c r="G786">
        <v>105</v>
      </c>
      <c r="H786" t="s">
        <v>13</v>
      </c>
      <c r="I786" t="b">
        <v>0</v>
      </c>
      <c r="J786">
        <f t="shared" si="24"/>
        <v>0</v>
      </c>
      <c r="K786" t="str">
        <f t="shared" si="25"/>
        <v>Neutral</v>
      </c>
    </row>
    <row r="787" spans="1:11" x14ac:dyDescent="0.2">
      <c r="A787" t="s">
        <v>710</v>
      </c>
      <c r="B787" t="s">
        <v>711</v>
      </c>
      <c r="C787" t="s">
        <v>712</v>
      </c>
      <c r="D787" t="s">
        <v>713</v>
      </c>
      <c r="E787" t="s">
        <v>4</v>
      </c>
      <c r="F787">
        <v>14</v>
      </c>
      <c r="G787">
        <v>138</v>
      </c>
      <c r="H787" t="s">
        <v>13</v>
      </c>
      <c r="I787" t="b">
        <v>0</v>
      </c>
      <c r="J787">
        <f t="shared" si="24"/>
        <v>-20</v>
      </c>
      <c r="K787" t="str">
        <f t="shared" si="25"/>
        <v>Negative</v>
      </c>
    </row>
    <row r="788" spans="1:11" x14ac:dyDescent="0.2">
      <c r="A788" t="s">
        <v>6318</v>
      </c>
      <c r="B788" t="s">
        <v>6319</v>
      </c>
      <c r="C788" t="s">
        <v>6320</v>
      </c>
      <c r="D788" t="s">
        <v>6321</v>
      </c>
      <c r="E788" t="s">
        <v>4</v>
      </c>
      <c r="F788">
        <v>1610</v>
      </c>
      <c r="G788">
        <v>1967</v>
      </c>
      <c r="H788" t="s">
        <v>13</v>
      </c>
      <c r="I788" t="b">
        <v>0</v>
      </c>
      <c r="J788">
        <f t="shared" si="24"/>
        <v>-10</v>
      </c>
      <c r="K788" t="str">
        <f t="shared" si="25"/>
        <v>Negative</v>
      </c>
    </row>
    <row r="789" spans="1:11" x14ac:dyDescent="0.2">
      <c r="A789" t="s">
        <v>1909</v>
      </c>
      <c r="B789" t="s">
        <v>1910</v>
      </c>
      <c r="C789" t="s">
        <v>1911</v>
      </c>
      <c r="D789" t="s">
        <v>1912</v>
      </c>
      <c r="E789" t="s">
        <v>4</v>
      </c>
      <c r="F789">
        <v>183</v>
      </c>
      <c r="G789">
        <v>153</v>
      </c>
      <c r="H789" t="s">
        <v>374</v>
      </c>
      <c r="I789" t="b">
        <v>0</v>
      </c>
      <c r="J789">
        <f t="shared" si="24"/>
        <v>0</v>
      </c>
      <c r="K789" t="str">
        <f t="shared" si="25"/>
        <v>Neutral</v>
      </c>
    </row>
    <row r="790" spans="1:11" x14ac:dyDescent="0.2">
      <c r="A790" t="s">
        <v>3699</v>
      </c>
      <c r="B790" t="s">
        <v>3700</v>
      </c>
      <c r="C790" t="s">
        <v>3601</v>
      </c>
      <c r="D790" t="s">
        <v>3602</v>
      </c>
      <c r="E790" t="s">
        <v>4</v>
      </c>
      <c r="F790">
        <v>527</v>
      </c>
      <c r="G790">
        <v>274</v>
      </c>
      <c r="H790" t="s">
        <v>13</v>
      </c>
      <c r="I790" t="b">
        <v>0</v>
      </c>
      <c r="J790">
        <f t="shared" si="24"/>
        <v>0</v>
      </c>
      <c r="K790" t="str">
        <f t="shared" si="25"/>
        <v>Neutral</v>
      </c>
    </row>
    <row r="791" spans="1:11" x14ac:dyDescent="0.2">
      <c r="A791" t="s">
        <v>997</v>
      </c>
      <c r="B791" t="s">
        <v>998</v>
      </c>
      <c r="C791" t="s">
        <v>999</v>
      </c>
      <c r="D791" t="s">
        <v>1000</v>
      </c>
      <c r="E791" t="s">
        <v>4</v>
      </c>
      <c r="F791">
        <v>13055</v>
      </c>
      <c r="G791">
        <v>620</v>
      </c>
      <c r="H791" t="s">
        <v>13</v>
      </c>
      <c r="I791" t="b">
        <v>0</v>
      </c>
      <c r="J791">
        <f t="shared" si="24"/>
        <v>10</v>
      </c>
      <c r="K791" t="str">
        <f t="shared" si="25"/>
        <v>Positive</v>
      </c>
    </row>
    <row r="792" spans="1:11" x14ac:dyDescent="0.2">
      <c r="A792" t="s">
        <v>3761</v>
      </c>
      <c r="B792" t="s">
        <v>3762</v>
      </c>
      <c r="C792" t="s">
        <v>185</v>
      </c>
      <c r="D792" t="s">
        <v>3763</v>
      </c>
      <c r="E792" t="s">
        <v>4</v>
      </c>
      <c r="F792">
        <v>810</v>
      </c>
      <c r="G792">
        <v>2979</v>
      </c>
      <c r="H792" t="s">
        <v>13</v>
      </c>
      <c r="I792" t="b">
        <v>0</v>
      </c>
      <c r="J792">
        <f t="shared" si="24"/>
        <v>0</v>
      </c>
      <c r="K792" t="str">
        <f t="shared" si="25"/>
        <v>Neutral</v>
      </c>
    </row>
    <row r="793" spans="1:11" x14ac:dyDescent="0.2">
      <c r="A793" t="s">
        <v>5367</v>
      </c>
      <c r="B793" t="s">
        <v>5368</v>
      </c>
      <c r="C793" t="s">
        <v>2602</v>
      </c>
      <c r="D793" t="s">
        <v>705</v>
      </c>
      <c r="E793" t="s">
        <v>4</v>
      </c>
      <c r="F793">
        <v>4</v>
      </c>
      <c r="G793">
        <v>23</v>
      </c>
      <c r="H793" t="s">
        <v>13</v>
      </c>
      <c r="I793" t="b">
        <v>0</v>
      </c>
      <c r="J793">
        <f t="shared" si="24"/>
        <v>-10</v>
      </c>
      <c r="K793" t="str">
        <f t="shared" si="25"/>
        <v>Negative</v>
      </c>
    </row>
    <row r="794" spans="1:11" x14ac:dyDescent="0.2">
      <c r="A794" t="s">
        <v>1686</v>
      </c>
      <c r="B794" t="s">
        <v>1687</v>
      </c>
      <c r="C794" t="s">
        <v>1688</v>
      </c>
      <c r="D794" t="s">
        <v>3</v>
      </c>
      <c r="E794" t="s">
        <v>4</v>
      </c>
      <c r="F794">
        <v>715</v>
      </c>
      <c r="G794">
        <v>557</v>
      </c>
      <c r="H794" t="s">
        <v>13</v>
      </c>
      <c r="I794" t="b">
        <v>0</v>
      </c>
      <c r="J794">
        <f t="shared" si="24"/>
        <v>0</v>
      </c>
      <c r="K794" t="str">
        <f t="shared" si="25"/>
        <v>Neutral</v>
      </c>
    </row>
    <row r="795" spans="1:11" x14ac:dyDescent="0.2">
      <c r="A795" t="s">
        <v>1559</v>
      </c>
      <c r="B795" t="s">
        <v>1560</v>
      </c>
      <c r="C795" t="s">
        <v>1519</v>
      </c>
      <c r="D795" t="s">
        <v>3</v>
      </c>
      <c r="E795" t="s">
        <v>4</v>
      </c>
      <c r="F795">
        <v>0</v>
      </c>
      <c r="G795">
        <v>46</v>
      </c>
      <c r="H795" t="s">
        <v>13</v>
      </c>
      <c r="I795" t="b">
        <v>0</v>
      </c>
      <c r="J795">
        <f t="shared" si="24"/>
        <v>10</v>
      </c>
      <c r="K795" t="str">
        <f t="shared" si="25"/>
        <v>Positive</v>
      </c>
    </row>
    <row r="796" spans="1:11" x14ac:dyDescent="0.2">
      <c r="A796" t="s">
        <v>5589</v>
      </c>
      <c r="B796" t="s">
        <v>5590</v>
      </c>
      <c r="C796" t="s">
        <v>446</v>
      </c>
      <c r="D796" t="s">
        <v>447</v>
      </c>
      <c r="E796" t="s">
        <v>4</v>
      </c>
      <c r="F796">
        <v>6124</v>
      </c>
      <c r="G796">
        <v>384</v>
      </c>
      <c r="H796" t="s">
        <v>13</v>
      </c>
      <c r="I796" t="b">
        <v>0</v>
      </c>
      <c r="J796">
        <f t="shared" si="24"/>
        <v>0</v>
      </c>
      <c r="K796" t="str">
        <f t="shared" si="25"/>
        <v>Neutral</v>
      </c>
    </row>
    <row r="797" spans="1:11" x14ac:dyDescent="0.2">
      <c r="A797" t="s">
        <v>1136</v>
      </c>
      <c r="B797" t="s">
        <v>1137</v>
      </c>
      <c r="C797" t="s">
        <v>1138</v>
      </c>
      <c r="D797" t="s">
        <v>1139</v>
      </c>
      <c r="E797" t="s">
        <v>4</v>
      </c>
      <c r="F797">
        <v>451</v>
      </c>
      <c r="G797">
        <v>62</v>
      </c>
      <c r="H797" t="s">
        <v>13</v>
      </c>
      <c r="I797" t="b">
        <v>0</v>
      </c>
      <c r="J797">
        <f t="shared" si="24"/>
        <v>0</v>
      </c>
      <c r="K797" t="str">
        <f t="shared" si="25"/>
        <v>Neutral</v>
      </c>
    </row>
    <row r="798" spans="1:11" x14ac:dyDescent="0.2">
      <c r="A798" t="s">
        <v>5879</v>
      </c>
      <c r="B798" t="s">
        <v>5880</v>
      </c>
      <c r="C798" t="s">
        <v>5881</v>
      </c>
      <c r="D798" t="s">
        <v>3</v>
      </c>
      <c r="E798" t="s">
        <v>4</v>
      </c>
      <c r="F798">
        <v>52</v>
      </c>
      <c r="G798">
        <v>114</v>
      </c>
      <c r="H798" t="s">
        <v>13</v>
      </c>
      <c r="I798" t="b">
        <v>0</v>
      </c>
      <c r="J798">
        <f t="shared" si="24"/>
        <v>0</v>
      </c>
      <c r="K798" t="str">
        <f t="shared" si="25"/>
        <v>Neutral</v>
      </c>
    </row>
    <row r="799" spans="1:11" x14ac:dyDescent="0.2">
      <c r="A799" t="s">
        <v>2384</v>
      </c>
      <c r="B799" t="s">
        <v>2385</v>
      </c>
      <c r="C799" t="s">
        <v>2386</v>
      </c>
      <c r="D799" t="s">
        <v>3</v>
      </c>
      <c r="E799" t="s">
        <v>4</v>
      </c>
      <c r="F799">
        <v>51</v>
      </c>
      <c r="G799">
        <v>331</v>
      </c>
      <c r="H799" t="s">
        <v>13</v>
      </c>
      <c r="I799" t="b">
        <v>0</v>
      </c>
      <c r="J799">
        <f t="shared" si="24"/>
        <v>0</v>
      </c>
      <c r="K799" t="str">
        <f t="shared" si="25"/>
        <v>Neutral</v>
      </c>
    </row>
    <row r="800" spans="1:11" x14ac:dyDescent="0.2">
      <c r="A800" t="s">
        <v>5410</v>
      </c>
      <c r="B800" t="s">
        <v>5411</v>
      </c>
      <c r="C800" t="s">
        <v>5412</v>
      </c>
      <c r="D800" t="s">
        <v>5413</v>
      </c>
      <c r="E800" t="s">
        <v>4</v>
      </c>
      <c r="F800">
        <v>6248</v>
      </c>
      <c r="G800">
        <v>516</v>
      </c>
      <c r="H800" t="s">
        <v>13</v>
      </c>
      <c r="I800" t="b">
        <v>0</v>
      </c>
      <c r="J800">
        <f t="shared" si="24"/>
        <v>0</v>
      </c>
      <c r="K800" t="str">
        <f t="shared" si="25"/>
        <v>Neutral</v>
      </c>
    </row>
    <row r="801" spans="1:11" x14ac:dyDescent="0.2">
      <c r="A801" t="s">
        <v>5761</v>
      </c>
      <c r="B801" t="s">
        <v>5762</v>
      </c>
      <c r="C801" t="s">
        <v>1062</v>
      </c>
      <c r="D801" t="s">
        <v>3</v>
      </c>
      <c r="E801" t="s">
        <v>4</v>
      </c>
      <c r="F801">
        <v>2515</v>
      </c>
      <c r="G801">
        <v>3016</v>
      </c>
      <c r="H801" t="s">
        <v>33</v>
      </c>
      <c r="I801" t="b">
        <v>0</v>
      </c>
      <c r="J801">
        <f t="shared" si="24"/>
        <v>-10</v>
      </c>
      <c r="K801" t="str">
        <f t="shared" si="25"/>
        <v>Negative</v>
      </c>
    </row>
    <row r="802" spans="1:11" x14ac:dyDescent="0.2">
      <c r="A802" t="s">
        <v>5212</v>
      </c>
      <c r="B802" t="s">
        <v>5213</v>
      </c>
      <c r="C802" t="s">
        <v>5214</v>
      </c>
      <c r="D802" t="s">
        <v>3</v>
      </c>
      <c r="E802" t="s">
        <v>4</v>
      </c>
      <c r="F802">
        <v>38</v>
      </c>
      <c r="G802">
        <v>282</v>
      </c>
      <c r="H802" t="s">
        <v>13</v>
      </c>
      <c r="I802" t="b">
        <v>0</v>
      </c>
      <c r="J802">
        <f t="shared" si="24"/>
        <v>-10</v>
      </c>
      <c r="K802" t="str">
        <f t="shared" si="25"/>
        <v>Negative</v>
      </c>
    </row>
    <row r="803" spans="1:11" x14ac:dyDescent="0.2">
      <c r="A803" t="s">
        <v>3678</v>
      </c>
      <c r="B803" t="s">
        <v>3679</v>
      </c>
      <c r="C803" t="s">
        <v>2259</v>
      </c>
      <c r="D803" t="s">
        <v>216</v>
      </c>
      <c r="E803" t="s">
        <v>4</v>
      </c>
      <c r="F803">
        <v>153</v>
      </c>
      <c r="G803">
        <v>151</v>
      </c>
      <c r="H803" t="s">
        <v>13</v>
      </c>
      <c r="I803" t="b">
        <v>0</v>
      </c>
      <c r="J803">
        <f t="shared" si="24"/>
        <v>0</v>
      </c>
      <c r="K803" t="str">
        <f t="shared" si="25"/>
        <v>Neutral</v>
      </c>
    </row>
    <row r="804" spans="1:11" x14ac:dyDescent="0.2">
      <c r="A804" t="s">
        <v>3990</v>
      </c>
      <c r="B804" t="s">
        <v>3991</v>
      </c>
      <c r="C804" t="s">
        <v>215</v>
      </c>
      <c r="D804" t="s">
        <v>3</v>
      </c>
      <c r="E804" t="s">
        <v>4</v>
      </c>
      <c r="F804">
        <v>99</v>
      </c>
      <c r="G804">
        <v>228</v>
      </c>
      <c r="H804" t="s">
        <v>13</v>
      </c>
      <c r="I804" t="b">
        <v>0</v>
      </c>
      <c r="J804">
        <f t="shared" si="24"/>
        <v>0</v>
      </c>
      <c r="K804" t="str">
        <f t="shared" si="25"/>
        <v>Neutral</v>
      </c>
    </row>
    <row r="805" spans="1:11" x14ac:dyDescent="0.2">
      <c r="A805" t="s">
        <v>2264</v>
      </c>
      <c r="B805" t="s">
        <v>2265</v>
      </c>
      <c r="C805" t="s">
        <v>279</v>
      </c>
      <c r="D805" t="s">
        <v>569</v>
      </c>
      <c r="E805" t="s">
        <v>4</v>
      </c>
      <c r="F805">
        <v>299</v>
      </c>
      <c r="G805">
        <v>310</v>
      </c>
      <c r="H805" t="s">
        <v>13</v>
      </c>
      <c r="I805" t="b">
        <v>0</v>
      </c>
      <c r="J805">
        <f t="shared" si="24"/>
        <v>10</v>
      </c>
      <c r="K805" t="str">
        <f t="shared" si="25"/>
        <v>Positive</v>
      </c>
    </row>
    <row r="806" spans="1:11" x14ac:dyDescent="0.2">
      <c r="A806" t="s">
        <v>7241</v>
      </c>
      <c r="B806" t="s">
        <v>7242</v>
      </c>
      <c r="C806" t="s">
        <v>2462</v>
      </c>
      <c r="D806" t="s">
        <v>7243</v>
      </c>
      <c r="E806" t="s">
        <v>4</v>
      </c>
      <c r="F806">
        <v>671</v>
      </c>
      <c r="G806">
        <v>622</v>
      </c>
      <c r="H806" t="s">
        <v>13</v>
      </c>
      <c r="I806" t="b">
        <v>0</v>
      </c>
      <c r="J806">
        <f t="shared" si="24"/>
        <v>0</v>
      </c>
      <c r="K806" t="str">
        <f t="shared" si="25"/>
        <v>Neutral</v>
      </c>
    </row>
    <row r="807" spans="1:11" x14ac:dyDescent="0.2">
      <c r="A807" t="s">
        <v>4900</v>
      </c>
      <c r="B807" t="s">
        <v>4901</v>
      </c>
      <c r="C807" t="s">
        <v>4902</v>
      </c>
      <c r="D807" t="s">
        <v>4903</v>
      </c>
      <c r="E807" t="s">
        <v>4</v>
      </c>
      <c r="F807">
        <v>43</v>
      </c>
      <c r="G807">
        <v>359</v>
      </c>
      <c r="H807" t="s">
        <v>13</v>
      </c>
      <c r="I807" t="b">
        <v>0</v>
      </c>
      <c r="J807">
        <f t="shared" si="24"/>
        <v>10</v>
      </c>
      <c r="K807" t="str">
        <f t="shared" si="25"/>
        <v>Positive</v>
      </c>
    </row>
    <row r="808" spans="1:11" x14ac:dyDescent="0.2">
      <c r="A808" t="s">
        <v>3178</v>
      </c>
      <c r="B808" t="s">
        <v>3179</v>
      </c>
      <c r="C808" t="s">
        <v>226</v>
      </c>
      <c r="D808" t="s">
        <v>227</v>
      </c>
      <c r="E808" t="s">
        <v>4</v>
      </c>
      <c r="F808">
        <v>9225</v>
      </c>
      <c r="G808">
        <v>7170</v>
      </c>
      <c r="H808" t="s">
        <v>13</v>
      </c>
      <c r="I808" t="b">
        <v>0</v>
      </c>
      <c r="J808">
        <f t="shared" si="24"/>
        <v>0</v>
      </c>
      <c r="K808" t="str">
        <f t="shared" si="25"/>
        <v>Neutral</v>
      </c>
    </row>
    <row r="809" spans="1:11" x14ac:dyDescent="0.2">
      <c r="A809" t="s">
        <v>6438</v>
      </c>
      <c r="B809" t="s">
        <v>6439</v>
      </c>
      <c r="C809" t="s">
        <v>2691</v>
      </c>
      <c r="D809" t="s">
        <v>2692</v>
      </c>
      <c r="E809" t="s">
        <v>4</v>
      </c>
      <c r="F809">
        <v>234</v>
      </c>
      <c r="G809">
        <v>1003</v>
      </c>
      <c r="H809" t="s">
        <v>13</v>
      </c>
      <c r="I809" t="b">
        <v>0</v>
      </c>
      <c r="J809">
        <f t="shared" si="24"/>
        <v>0</v>
      </c>
      <c r="K809" t="str">
        <f t="shared" si="25"/>
        <v>Neutral</v>
      </c>
    </row>
    <row r="810" spans="1:11" x14ac:dyDescent="0.2">
      <c r="A810" t="s">
        <v>4125</v>
      </c>
      <c r="B810" t="s">
        <v>4126</v>
      </c>
      <c r="C810" t="s">
        <v>1688</v>
      </c>
      <c r="D810" t="s">
        <v>1964</v>
      </c>
      <c r="E810" t="s">
        <v>4</v>
      </c>
      <c r="F810">
        <v>7601</v>
      </c>
      <c r="G810">
        <v>397</v>
      </c>
      <c r="H810" t="s">
        <v>13</v>
      </c>
      <c r="I810" t="b">
        <v>0</v>
      </c>
      <c r="J810">
        <f t="shared" si="24"/>
        <v>0</v>
      </c>
      <c r="K810" t="str">
        <f t="shared" si="25"/>
        <v>Neutral</v>
      </c>
    </row>
    <row r="811" spans="1:11" x14ac:dyDescent="0.2">
      <c r="A811" t="s">
        <v>4486</v>
      </c>
      <c r="B811" t="s">
        <v>4487</v>
      </c>
      <c r="C811" t="s">
        <v>4488</v>
      </c>
      <c r="D811" t="s">
        <v>4473</v>
      </c>
      <c r="E811" t="s">
        <v>4</v>
      </c>
      <c r="F811">
        <v>74</v>
      </c>
      <c r="G811">
        <v>987</v>
      </c>
      <c r="H811" t="s">
        <v>13</v>
      </c>
      <c r="I811" t="b">
        <v>0</v>
      </c>
      <c r="J811">
        <f t="shared" si="24"/>
        <v>0</v>
      </c>
      <c r="K811" t="str">
        <f t="shared" si="25"/>
        <v>Neutral</v>
      </c>
    </row>
    <row r="812" spans="1:11" x14ac:dyDescent="0.2">
      <c r="A812" t="s">
        <v>6483</v>
      </c>
      <c r="B812" t="s">
        <v>6484</v>
      </c>
      <c r="C812" t="s">
        <v>1267</v>
      </c>
      <c r="D812" t="s">
        <v>6485</v>
      </c>
      <c r="E812" t="s">
        <v>4</v>
      </c>
      <c r="F812">
        <v>469</v>
      </c>
      <c r="G812">
        <v>17</v>
      </c>
      <c r="H812" t="s">
        <v>13</v>
      </c>
      <c r="I812" t="b">
        <v>0</v>
      </c>
      <c r="J812">
        <f t="shared" si="24"/>
        <v>0</v>
      </c>
      <c r="K812" t="str">
        <f t="shared" si="25"/>
        <v>Neutral</v>
      </c>
    </row>
    <row r="813" spans="1:11" x14ac:dyDescent="0.2">
      <c r="A813" t="s">
        <v>3263</v>
      </c>
      <c r="B813" t="s">
        <v>3264</v>
      </c>
      <c r="C813" t="s">
        <v>3265</v>
      </c>
      <c r="D813" t="s">
        <v>3266</v>
      </c>
      <c r="E813" t="s">
        <v>4</v>
      </c>
      <c r="F813">
        <v>476</v>
      </c>
      <c r="G813">
        <v>470</v>
      </c>
      <c r="H813" t="s">
        <v>13</v>
      </c>
      <c r="I813" t="b">
        <v>0</v>
      </c>
      <c r="J813">
        <f t="shared" si="24"/>
        <v>10</v>
      </c>
      <c r="K813" t="str">
        <f t="shared" si="25"/>
        <v>Positive</v>
      </c>
    </row>
    <row r="814" spans="1:11" x14ac:dyDescent="0.2">
      <c r="A814" t="s">
        <v>7168</v>
      </c>
      <c r="B814" t="s">
        <v>7169</v>
      </c>
      <c r="C814" t="s">
        <v>1906</v>
      </c>
      <c r="D814" t="s">
        <v>64</v>
      </c>
      <c r="E814" t="s">
        <v>4</v>
      </c>
      <c r="F814">
        <v>253</v>
      </c>
      <c r="G814">
        <v>43</v>
      </c>
      <c r="H814" t="s">
        <v>13</v>
      </c>
      <c r="I814" t="b">
        <v>0</v>
      </c>
      <c r="J814">
        <f t="shared" si="24"/>
        <v>0</v>
      </c>
      <c r="K814" t="str">
        <f t="shared" si="25"/>
        <v>Neutral</v>
      </c>
    </row>
    <row r="815" spans="1:11" x14ac:dyDescent="0.2">
      <c r="A815" t="s">
        <v>4830</v>
      </c>
      <c r="B815" t="s">
        <v>4831</v>
      </c>
      <c r="C815" t="s">
        <v>82</v>
      </c>
      <c r="D815" t="s">
        <v>4777</v>
      </c>
      <c r="E815" t="s">
        <v>38</v>
      </c>
      <c r="F815">
        <v>33554</v>
      </c>
      <c r="G815">
        <v>84</v>
      </c>
      <c r="H815" t="s">
        <v>13</v>
      </c>
      <c r="I815" t="b">
        <v>0</v>
      </c>
      <c r="J815">
        <f t="shared" si="24"/>
        <v>0</v>
      </c>
      <c r="K815" t="str">
        <f t="shared" si="25"/>
        <v>Neutral</v>
      </c>
    </row>
    <row r="816" spans="1:11" x14ac:dyDescent="0.2">
      <c r="A816" t="s">
        <v>4686</v>
      </c>
      <c r="B816" t="s">
        <v>4687</v>
      </c>
      <c r="C816" t="s">
        <v>4659</v>
      </c>
      <c r="D816" t="s">
        <v>4660</v>
      </c>
      <c r="E816" t="s">
        <v>4</v>
      </c>
      <c r="F816">
        <v>5169</v>
      </c>
      <c r="G816">
        <v>2709</v>
      </c>
      <c r="H816" t="s">
        <v>13</v>
      </c>
      <c r="I816" t="b">
        <v>0</v>
      </c>
      <c r="J816">
        <f t="shared" si="24"/>
        <v>0</v>
      </c>
      <c r="K816" t="str">
        <f t="shared" si="25"/>
        <v>Neutral</v>
      </c>
    </row>
    <row r="817" spans="1:11" x14ac:dyDescent="0.2">
      <c r="A817" t="s">
        <v>2140</v>
      </c>
      <c r="B817" t="s">
        <v>2141</v>
      </c>
      <c r="C817" t="s">
        <v>1116</v>
      </c>
      <c r="D817" t="s">
        <v>2017</v>
      </c>
      <c r="E817" t="s">
        <v>4</v>
      </c>
      <c r="F817">
        <v>1605</v>
      </c>
      <c r="G817">
        <v>288</v>
      </c>
      <c r="H817" t="s">
        <v>13</v>
      </c>
      <c r="I817" t="b">
        <v>0</v>
      </c>
      <c r="J817">
        <f t="shared" si="24"/>
        <v>0</v>
      </c>
      <c r="K817" t="str">
        <f t="shared" si="25"/>
        <v>Neutral</v>
      </c>
    </row>
    <row r="818" spans="1:11" x14ac:dyDescent="0.2">
      <c r="A818" t="s">
        <v>6122</v>
      </c>
      <c r="B818" t="s">
        <v>6123</v>
      </c>
      <c r="C818" t="s">
        <v>3608</v>
      </c>
      <c r="D818" t="s">
        <v>3</v>
      </c>
      <c r="E818" t="s">
        <v>4</v>
      </c>
      <c r="F818">
        <v>0</v>
      </c>
      <c r="G818">
        <v>45</v>
      </c>
      <c r="H818" t="s">
        <v>1692</v>
      </c>
      <c r="I818" t="b">
        <v>0</v>
      </c>
      <c r="J818">
        <f t="shared" si="24"/>
        <v>0</v>
      </c>
      <c r="K818" t="str">
        <f t="shared" si="25"/>
        <v>Neutral</v>
      </c>
    </row>
    <row r="819" spans="1:11" x14ac:dyDescent="0.2">
      <c r="A819" t="s">
        <v>3966</v>
      </c>
      <c r="B819" t="s">
        <v>3967</v>
      </c>
      <c r="C819" t="s">
        <v>3968</v>
      </c>
      <c r="D819" t="s">
        <v>113</v>
      </c>
      <c r="E819" t="s">
        <v>4</v>
      </c>
      <c r="F819">
        <v>71</v>
      </c>
      <c r="G819">
        <v>179</v>
      </c>
      <c r="H819" t="s">
        <v>13</v>
      </c>
      <c r="I819" t="b">
        <v>0</v>
      </c>
      <c r="J819">
        <f t="shared" si="24"/>
        <v>0</v>
      </c>
      <c r="K819" t="str">
        <f t="shared" si="25"/>
        <v>Neutral</v>
      </c>
    </row>
    <row r="820" spans="1:11" x14ac:dyDescent="0.2">
      <c r="A820" t="s">
        <v>3812</v>
      </c>
      <c r="B820" t="s">
        <v>3813</v>
      </c>
      <c r="C820" t="s">
        <v>3204</v>
      </c>
      <c r="D820" t="s">
        <v>3814</v>
      </c>
      <c r="E820" t="s">
        <v>4</v>
      </c>
      <c r="F820">
        <v>587</v>
      </c>
      <c r="G820">
        <v>128</v>
      </c>
      <c r="H820" t="s">
        <v>13</v>
      </c>
      <c r="I820" t="b">
        <v>0</v>
      </c>
      <c r="J820">
        <f t="shared" si="24"/>
        <v>-10</v>
      </c>
      <c r="K820" t="str">
        <f t="shared" si="25"/>
        <v>Negative</v>
      </c>
    </row>
    <row r="821" spans="1:11" x14ac:dyDescent="0.2">
      <c r="A821" t="s">
        <v>4223</v>
      </c>
      <c r="B821" t="s">
        <v>4224</v>
      </c>
      <c r="C821" t="s">
        <v>3564</v>
      </c>
      <c r="D821" t="s">
        <v>4225</v>
      </c>
      <c r="E821" t="s">
        <v>4</v>
      </c>
      <c r="F821">
        <v>218</v>
      </c>
      <c r="G821">
        <v>149</v>
      </c>
      <c r="H821" t="s">
        <v>13</v>
      </c>
      <c r="I821" t="b">
        <v>0</v>
      </c>
      <c r="J821">
        <f t="shared" si="24"/>
        <v>0</v>
      </c>
      <c r="K821" t="str">
        <f t="shared" si="25"/>
        <v>Neutral</v>
      </c>
    </row>
    <row r="822" spans="1:11" x14ac:dyDescent="0.2">
      <c r="A822" t="s">
        <v>1319</v>
      </c>
      <c r="B822" t="s">
        <v>1320</v>
      </c>
      <c r="C822" t="s">
        <v>1321</v>
      </c>
      <c r="D822" t="s">
        <v>663</v>
      </c>
      <c r="E822" t="s">
        <v>4</v>
      </c>
      <c r="F822">
        <v>34</v>
      </c>
      <c r="G822">
        <v>279</v>
      </c>
      <c r="H822" t="s">
        <v>13</v>
      </c>
      <c r="I822" t="b">
        <v>0</v>
      </c>
      <c r="J822">
        <f t="shared" si="24"/>
        <v>0</v>
      </c>
      <c r="K822" t="str">
        <f t="shared" si="25"/>
        <v>Neutral</v>
      </c>
    </row>
    <row r="823" spans="1:11" x14ac:dyDescent="0.2">
      <c r="A823" t="s">
        <v>5480</v>
      </c>
      <c r="B823" t="s">
        <v>5481</v>
      </c>
      <c r="C823" t="s">
        <v>5438</v>
      </c>
      <c r="D823" t="s">
        <v>3</v>
      </c>
      <c r="E823" t="s">
        <v>4</v>
      </c>
      <c r="F823">
        <v>147</v>
      </c>
      <c r="G823">
        <v>231</v>
      </c>
      <c r="H823" t="s">
        <v>13</v>
      </c>
      <c r="I823" t="b">
        <v>0</v>
      </c>
      <c r="J823">
        <f t="shared" si="24"/>
        <v>0</v>
      </c>
      <c r="K823" t="str">
        <f t="shared" si="25"/>
        <v>Neutral</v>
      </c>
    </row>
    <row r="824" spans="1:11" x14ac:dyDescent="0.2">
      <c r="A824" t="s">
        <v>6330</v>
      </c>
      <c r="B824" t="s">
        <v>6331</v>
      </c>
      <c r="C824" t="s">
        <v>818</v>
      </c>
      <c r="D824" t="s">
        <v>5009</v>
      </c>
      <c r="E824" t="s">
        <v>4</v>
      </c>
      <c r="F824">
        <v>2</v>
      </c>
      <c r="G824">
        <v>2</v>
      </c>
      <c r="H824" t="s">
        <v>13</v>
      </c>
      <c r="I824" t="b">
        <v>0</v>
      </c>
      <c r="J824">
        <f t="shared" si="24"/>
        <v>0</v>
      </c>
      <c r="K824" t="str">
        <f t="shared" si="25"/>
        <v>Neutral</v>
      </c>
    </row>
    <row r="825" spans="1:11" x14ac:dyDescent="0.2">
      <c r="A825" t="s">
        <v>347</v>
      </c>
      <c r="B825" t="s">
        <v>348</v>
      </c>
      <c r="C825" t="s">
        <v>349</v>
      </c>
      <c r="D825" t="s">
        <v>350</v>
      </c>
      <c r="E825" t="s">
        <v>4</v>
      </c>
      <c r="F825">
        <v>26</v>
      </c>
      <c r="G825">
        <v>144</v>
      </c>
      <c r="H825" t="s">
        <v>13</v>
      </c>
      <c r="I825" t="b">
        <v>0</v>
      </c>
      <c r="J825">
        <f t="shared" si="24"/>
        <v>0</v>
      </c>
      <c r="K825" t="str">
        <f t="shared" si="25"/>
        <v>Neutral</v>
      </c>
    </row>
    <row r="826" spans="1:11" x14ac:dyDescent="0.2">
      <c r="A826" t="s">
        <v>5117</v>
      </c>
      <c r="B826" t="s">
        <v>5118</v>
      </c>
      <c r="C826" t="s">
        <v>786</v>
      </c>
      <c r="D826" t="s">
        <v>1352</v>
      </c>
      <c r="E826" t="s">
        <v>4</v>
      </c>
      <c r="F826">
        <v>4</v>
      </c>
      <c r="G826">
        <v>14</v>
      </c>
      <c r="H826" t="s">
        <v>13</v>
      </c>
      <c r="I826" t="b">
        <v>0</v>
      </c>
      <c r="J826">
        <f t="shared" si="24"/>
        <v>0</v>
      </c>
      <c r="K826" t="str">
        <f t="shared" si="25"/>
        <v>Neutral</v>
      </c>
    </row>
    <row r="827" spans="1:11" x14ac:dyDescent="0.2">
      <c r="A827" t="s">
        <v>3023</v>
      </c>
      <c r="B827" t="s">
        <v>3024</v>
      </c>
      <c r="C827" t="s">
        <v>3025</v>
      </c>
      <c r="D827" t="s">
        <v>3026</v>
      </c>
      <c r="E827" t="s">
        <v>4</v>
      </c>
      <c r="F827">
        <v>650</v>
      </c>
      <c r="G827">
        <v>676</v>
      </c>
      <c r="H827" t="s">
        <v>13</v>
      </c>
      <c r="I827" t="b">
        <v>0</v>
      </c>
      <c r="J827">
        <f t="shared" si="24"/>
        <v>0</v>
      </c>
      <c r="K827" t="str">
        <f t="shared" si="25"/>
        <v>Neutral</v>
      </c>
    </row>
    <row r="828" spans="1:11" x14ac:dyDescent="0.2">
      <c r="A828" t="s">
        <v>5344</v>
      </c>
      <c r="B828" t="s">
        <v>5345</v>
      </c>
      <c r="C828" t="s">
        <v>1328</v>
      </c>
      <c r="D828" t="s">
        <v>3</v>
      </c>
      <c r="E828" t="s">
        <v>4</v>
      </c>
      <c r="F828">
        <v>6</v>
      </c>
      <c r="G828">
        <v>51</v>
      </c>
      <c r="H828" t="s">
        <v>13</v>
      </c>
      <c r="I828" t="b">
        <v>0</v>
      </c>
      <c r="J828">
        <f t="shared" si="24"/>
        <v>0</v>
      </c>
      <c r="K828" t="str">
        <f t="shared" si="25"/>
        <v>Neutral</v>
      </c>
    </row>
    <row r="829" spans="1:11" x14ac:dyDescent="0.2">
      <c r="A829" t="s">
        <v>7152</v>
      </c>
      <c r="B829" t="s">
        <v>7153</v>
      </c>
      <c r="C829" t="s">
        <v>391</v>
      </c>
      <c r="D829" t="s">
        <v>7154</v>
      </c>
      <c r="E829" t="s">
        <v>4</v>
      </c>
      <c r="F829">
        <v>672</v>
      </c>
      <c r="G829">
        <v>479</v>
      </c>
      <c r="H829" t="s">
        <v>13</v>
      </c>
      <c r="I829" t="b">
        <v>0</v>
      </c>
      <c r="J829">
        <f t="shared" si="24"/>
        <v>-10</v>
      </c>
      <c r="K829" t="str">
        <f t="shared" si="25"/>
        <v>Negative</v>
      </c>
    </row>
    <row r="830" spans="1:11" x14ac:dyDescent="0.2">
      <c r="A830" t="s">
        <v>6285</v>
      </c>
      <c r="B830" t="s">
        <v>6286</v>
      </c>
      <c r="C830" t="s">
        <v>1138</v>
      </c>
      <c r="D830" t="s">
        <v>3</v>
      </c>
      <c r="E830" t="s">
        <v>4</v>
      </c>
      <c r="F830">
        <v>46</v>
      </c>
      <c r="G830">
        <v>48</v>
      </c>
      <c r="H830" t="s">
        <v>13</v>
      </c>
      <c r="I830" t="b">
        <v>0</v>
      </c>
      <c r="J830">
        <f t="shared" si="24"/>
        <v>0</v>
      </c>
      <c r="K830" t="str">
        <f t="shared" si="25"/>
        <v>Neutral</v>
      </c>
    </row>
    <row r="831" spans="1:11" x14ac:dyDescent="0.2">
      <c r="A831" t="s">
        <v>1067</v>
      </c>
      <c r="B831" t="s">
        <v>1068</v>
      </c>
      <c r="C831" t="s">
        <v>1069</v>
      </c>
      <c r="D831" t="s">
        <v>1066</v>
      </c>
      <c r="E831" t="s">
        <v>4</v>
      </c>
      <c r="F831">
        <v>130</v>
      </c>
      <c r="G831">
        <v>239</v>
      </c>
      <c r="H831" t="s">
        <v>13</v>
      </c>
      <c r="I831" t="b">
        <v>0</v>
      </c>
      <c r="J831">
        <f t="shared" si="24"/>
        <v>0</v>
      </c>
      <c r="K831" t="str">
        <f t="shared" si="25"/>
        <v>Neutral</v>
      </c>
    </row>
    <row r="832" spans="1:11" x14ac:dyDescent="0.2">
      <c r="A832" t="s">
        <v>6428</v>
      </c>
      <c r="B832" t="s">
        <v>6429</v>
      </c>
      <c r="C832" t="s">
        <v>165</v>
      </c>
      <c r="D832" t="s">
        <v>576</v>
      </c>
      <c r="E832" t="s">
        <v>4</v>
      </c>
      <c r="F832">
        <v>168</v>
      </c>
      <c r="G832">
        <v>115</v>
      </c>
      <c r="H832" t="s">
        <v>13</v>
      </c>
      <c r="I832" t="b">
        <v>0</v>
      </c>
      <c r="J832">
        <f t="shared" si="24"/>
        <v>0</v>
      </c>
      <c r="K832" t="str">
        <f t="shared" si="25"/>
        <v>Neutral</v>
      </c>
    </row>
    <row r="833" spans="1:11" x14ac:dyDescent="0.2">
      <c r="A833" t="s">
        <v>5526</v>
      </c>
      <c r="B833" t="s">
        <v>5527</v>
      </c>
      <c r="C833" t="s">
        <v>5224</v>
      </c>
      <c r="D833" t="s">
        <v>734</v>
      </c>
      <c r="E833" t="s">
        <v>4</v>
      </c>
      <c r="F833">
        <v>160</v>
      </c>
      <c r="G833">
        <v>176</v>
      </c>
      <c r="H833" t="s">
        <v>13</v>
      </c>
      <c r="I833" t="b">
        <v>0</v>
      </c>
      <c r="J833">
        <f t="shared" si="24"/>
        <v>0</v>
      </c>
      <c r="K833" t="str">
        <f t="shared" si="25"/>
        <v>Neutral</v>
      </c>
    </row>
    <row r="834" spans="1:11" x14ac:dyDescent="0.2">
      <c r="A834" t="s">
        <v>6239</v>
      </c>
      <c r="B834" t="s">
        <v>6240</v>
      </c>
      <c r="C834" t="s">
        <v>1618</v>
      </c>
      <c r="D834" t="s">
        <v>3</v>
      </c>
      <c r="E834" t="s">
        <v>4</v>
      </c>
      <c r="F834">
        <v>5</v>
      </c>
      <c r="G834">
        <v>95</v>
      </c>
      <c r="H834" t="s">
        <v>13</v>
      </c>
      <c r="I834" t="b">
        <v>0</v>
      </c>
      <c r="J834">
        <f t="shared" si="24"/>
        <v>10</v>
      </c>
      <c r="K834" t="str">
        <f t="shared" si="25"/>
        <v>Positive</v>
      </c>
    </row>
    <row r="835" spans="1:11" x14ac:dyDescent="0.2">
      <c r="A835" t="s">
        <v>819</v>
      </c>
      <c r="B835" t="s">
        <v>820</v>
      </c>
      <c r="C835" t="s">
        <v>821</v>
      </c>
      <c r="D835" t="s">
        <v>182</v>
      </c>
      <c r="E835" t="s">
        <v>4</v>
      </c>
      <c r="F835">
        <v>691</v>
      </c>
      <c r="G835">
        <v>1513</v>
      </c>
      <c r="H835" t="s">
        <v>13</v>
      </c>
      <c r="I835" t="b">
        <v>0</v>
      </c>
      <c r="J835">
        <f t="shared" ref="J835:J898" si="26">sentimentCalc(B835)</f>
        <v>0</v>
      </c>
      <c r="K835" t="str">
        <f t="shared" ref="K835:K898" si="27">sentimentCategory(J835)</f>
        <v>Neutral</v>
      </c>
    </row>
    <row r="836" spans="1:11" x14ac:dyDescent="0.2">
      <c r="A836" t="s">
        <v>5732</v>
      </c>
      <c r="B836" t="s">
        <v>5733</v>
      </c>
      <c r="C836" t="s">
        <v>190</v>
      </c>
      <c r="D836" t="s">
        <v>5571</v>
      </c>
      <c r="E836" t="s">
        <v>4</v>
      </c>
      <c r="F836">
        <v>117</v>
      </c>
      <c r="G836">
        <v>455</v>
      </c>
      <c r="H836" t="s">
        <v>13</v>
      </c>
      <c r="I836" t="b">
        <v>0</v>
      </c>
      <c r="J836">
        <f t="shared" si="26"/>
        <v>0</v>
      </c>
      <c r="K836" t="str">
        <f t="shared" si="27"/>
        <v>Neutral</v>
      </c>
    </row>
    <row r="837" spans="1:11" x14ac:dyDescent="0.2">
      <c r="A837" t="s">
        <v>6512</v>
      </c>
      <c r="B837" t="s">
        <v>6513</v>
      </c>
      <c r="C837" t="s">
        <v>74</v>
      </c>
      <c r="D837" t="s">
        <v>6514</v>
      </c>
      <c r="E837" t="s">
        <v>4</v>
      </c>
      <c r="F837">
        <v>843</v>
      </c>
      <c r="G837">
        <v>493</v>
      </c>
      <c r="H837" t="s">
        <v>13</v>
      </c>
      <c r="I837" t="b">
        <v>0</v>
      </c>
      <c r="J837">
        <f t="shared" si="26"/>
        <v>0</v>
      </c>
      <c r="K837" t="str">
        <f t="shared" si="27"/>
        <v>Neutral</v>
      </c>
    </row>
    <row r="838" spans="1:11" x14ac:dyDescent="0.2">
      <c r="A838" t="s">
        <v>6694</v>
      </c>
      <c r="B838" t="s">
        <v>6695</v>
      </c>
      <c r="C838" t="s">
        <v>6696</v>
      </c>
      <c r="D838" t="s">
        <v>3</v>
      </c>
      <c r="E838" t="s">
        <v>4</v>
      </c>
      <c r="F838">
        <v>3283</v>
      </c>
      <c r="G838">
        <v>4499</v>
      </c>
      <c r="H838" t="s">
        <v>5</v>
      </c>
      <c r="I838" t="b">
        <v>0</v>
      </c>
      <c r="J838">
        <f t="shared" si="26"/>
        <v>0</v>
      </c>
      <c r="K838" t="str">
        <f t="shared" si="27"/>
        <v>Neutral</v>
      </c>
    </row>
    <row r="839" spans="1:11" x14ac:dyDescent="0.2">
      <c r="A839" t="s">
        <v>1807</v>
      </c>
      <c r="B839" t="s">
        <v>1808</v>
      </c>
      <c r="C839" t="s">
        <v>1012</v>
      </c>
      <c r="D839" t="s">
        <v>1809</v>
      </c>
      <c r="E839" t="s">
        <v>4</v>
      </c>
      <c r="F839">
        <v>22</v>
      </c>
      <c r="G839">
        <v>56</v>
      </c>
      <c r="H839" t="s">
        <v>13</v>
      </c>
      <c r="I839" t="b">
        <v>0</v>
      </c>
      <c r="J839">
        <f t="shared" si="26"/>
        <v>10</v>
      </c>
      <c r="K839" t="str">
        <f t="shared" si="27"/>
        <v>Positive</v>
      </c>
    </row>
    <row r="840" spans="1:11" x14ac:dyDescent="0.2">
      <c r="A840" t="s">
        <v>3606</v>
      </c>
      <c r="B840" t="s">
        <v>3607</v>
      </c>
      <c r="C840" t="s">
        <v>3608</v>
      </c>
      <c r="D840" t="s">
        <v>2990</v>
      </c>
      <c r="E840" t="s">
        <v>4</v>
      </c>
      <c r="F840">
        <v>18</v>
      </c>
      <c r="G840">
        <v>141</v>
      </c>
      <c r="H840" t="s">
        <v>13</v>
      </c>
      <c r="I840" t="b">
        <v>0</v>
      </c>
      <c r="J840">
        <f t="shared" si="26"/>
        <v>0</v>
      </c>
      <c r="K840" t="str">
        <f t="shared" si="27"/>
        <v>Neutral</v>
      </c>
    </row>
    <row r="841" spans="1:11" x14ac:dyDescent="0.2">
      <c r="A841" t="s">
        <v>4807</v>
      </c>
      <c r="B841" t="s">
        <v>4808</v>
      </c>
      <c r="C841" t="s">
        <v>4605</v>
      </c>
      <c r="D841" t="s">
        <v>3</v>
      </c>
      <c r="E841" t="s">
        <v>4</v>
      </c>
      <c r="F841">
        <v>354</v>
      </c>
      <c r="G841">
        <v>384</v>
      </c>
      <c r="H841" t="s">
        <v>13</v>
      </c>
      <c r="I841" t="b">
        <v>0</v>
      </c>
      <c r="J841">
        <f t="shared" si="26"/>
        <v>0</v>
      </c>
      <c r="K841" t="str">
        <f t="shared" si="27"/>
        <v>Neutral</v>
      </c>
    </row>
    <row r="842" spans="1:11" x14ac:dyDescent="0.2">
      <c r="A842" t="s">
        <v>4943</v>
      </c>
      <c r="B842" t="s">
        <v>4944</v>
      </c>
      <c r="C842" t="s">
        <v>293</v>
      </c>
      <c r="D842" t="s">
        <v>3</v>
      </c>
      <c r="E842" t="s">
        <v>4</v>
      </c>
      <c r="F842">
        <v>19711</v>
      </c>
      <c r="G842">
        <v>34</v>
      </c>
      <c r="H842" t="s">
        <v>363</v>
      </c>
      <c r="I842" t="b">
        <v>0</v>
      </c>
      <c r="J842">
        <f t="shared" si="26"/>
        <v>0</v>
      </c>
      <c r="K842" t="str">
        <f t="shared" si="27"/>
        <v>Neutral</v>
      </c>
    </row>
    <row r="843" spans="1:11" x14ac:dyDescent="0.2">
      <c r="A843" t="s">
        <v>2308</v>
      </c>
      <c r="B843" t="s">
        <v>2311</v>
      </c>
      <c r="C843" t="s">
        <v>309</v>
      </c>
      <c r="D843" t="s">
        <v>3</v>
      </c>
      <c r="E843" t="s">
        <v>4</v>
      </c>
      <c r="F843">
        <v>118</v>
      </c>
      <c r="G843">
        <v>110</v>
      </c>
      <c r="H843" t="s">
        <v>76</v>
      </c>
      <c r="I843" t="b">
        <v>0</v>
      </c>
      <c r="J843">
        <f t="shared" si="26"/>
        <v>-10</v>
      </c>
      <c r="K843" t="str">
        <f t="shared" si="27"/>
        <v>Negative</v>
      </c>
    </row>
    <row r="844" spans="1:11" x14ac:dyDescent="0.2">
      <c r="A844" t="s">
        <v>2975</v>
      </c>
      <c r="B844" t="s">
        <v>2976</v>
      </c>
      <c r="C844" t="s">
        <v>2977</v>
      </c>
      <c r="D844" t="s">
        <v>3</v>
      </c>
      <c r="E844" t="s">
        <v>4</v>
      </c>
      <c r="F844">
        <v>444</v>
      </c>
      <c r="G844">
        <v>301</v>
      </c>
      <c r="H844" t="s">
        <v>13</v>
      </c>
      <c r="I844" t="b">
        <v>0</v>
      </c>
      <c r="J844">
        <f t="shared" si="26"/>
        <v>0</v>
      </c>
      <c r="K844" t="str">
        <f t="shared" si="27"/>
        <v>Neutral</v>
      </c>
    </row>
    <row r="845" spans="1:11" x14ac:dyDescent="0.2">
      <c r="A845" t="s">
        <v>106</v>
      </c>
      <c r="B845" t="s">
        <v>107</v>
      </c>
      <c r="C845" t="s">
        <v>108</v>
      </c>
      <c r="D845" t="s">
        <v>109</v>
      </c>
      <c r="E845" t="s">
        <v>4</v>
      </c>
      <c r="F845">
        <v>17</v>
      </c>
      <c r="G845">
        <v>39</v>
      </c>
      <c r="H845" t="s">
        <v>13</v>
      </c>
      <c r="I845" t="b">
        <v>0</v>
      </c>
      <c r="J845">
        <f t="shared" si="26"/>
        <v>0</v>
      </c>
      <c r="K845" t="str">
        <f t="shared" si="27"/>
        <v>Neutral</v>
      </c>
    </row>
    <row r="846" spans="1:11" x14ac:dyDescent="0.2">
      <c r="A846" t="s">
        <v>4451</v>
      </c>
      <c r="B846" t="s">
        <v>4452</v>
      </c>
      <c r="C846" t="s">
        <v>190</v>
      </c>
      <c r="D846" t="s">
        <v>4453</v>
      </c>
      <c r="E846" t="s">
        <v>4</v>
      </c>
      <c r="F846">
        <v>5173</v>
      </c>
      <c r="G846">
        <v>5108</v>
      </c>
      <c r="H846" t="s">
        <v>13</v>
      </c>
      <c r="I846" t="b">
        <v>0</v>
      </c>
      <c r="J846">
        <f t="shared" si="26"/>
        <v>0</v>
      </c>
      <c r="K846" t="str">
        <f t="shared" si="27"/>
        <v>Neutral</v>
      </c>
    </row>
    <row r="847" spans="1:11" x14ac:dyDescent="0.2">
      <c r="A847" t="s">
        <v>946</v>
      </c>
      <c r="B847" t="s">
        <v>947</v>
      </c>
      <c r="C847" t="s">
        <v>948</v>
      </c>
      <c r="D847" t="s">
        <v>3</v>
      </c>
      <c r="E847" t="s">
        <v>4</v>
      </c>
      <c r="F847">
        <v>146</v>
      </c>
      <c r="G847">
        <v>142</v>
      </c>
      <c r="H847" t="s">
        <v>50</v>
      </c>
      <c r="I847" t="b">
        <v>0</v>
      </c>
      <c r="J847">
        <f t="shared" si="26"/>
        <v>0</v>
      </c>
      <c r="K847" t="str">
        <f t="shared" si="27"/>
        <v>Neutral</v>
      </c>
    </row>
    <row r="848" spans="1:11" x14ac:dyDescent="0.2">
      <c r="A848" t="s">
        <v>2389</v>
      </c>
      <c r="B848" t="s">
        <v>2390</v>
      </c>
      <c r="C848" t="s">
        <v>2391</v>
      </c>
      <c r="D848" t="s">
        <v>2392</v>
      </c>
      <c r="E848" t="s">
        <v>4</v>
      </c>
      <c r="F848">
        <v>76</v>
      </c>
      <c r="G848">
        <v>272</v>
      </c>
      <c r="H848" t="s">
        <v>1092</v>
      </c>
      <c r="I848" t="b">
        <v>0</v>
      </c>
      <c r="J848">
        <f t="shared" si="26"/>
        <v>10</v>
      </c>
      <c r="K848" t="str">
        <f t="shared" si="27"/>
        <v>Positive</v>
      </c>
    </row>
    <row r="849" spans="1:11" x14ac:dyDescent="0.2">
      <c r="A849" t="s">
        <v>3321</v>
      </c>
      <c r="B849" t="s">
        <v>3324</v>
      </c>
      <c r="C849" t="s">
        <v>3325</v>
      </c>
      <c r="D849" t="s">
        <v>3326</v>
      </c>
      <c r="E849" t="s">
        <v>4</v>
      </c>
      <c r="F849">
        <v>70</v>
      </c>
      <c r="G849">
        <v>233</v>
      </c>
      <c r="H849" t="s">
        <v>363</v>
      </c>
      <c r="I849" t="b">
        <v>0</v>
      </c>
      <c r="J849">
        <f t="shared" si="26"/>
        <v>0</v>
      </c>
      <c r="K849" t="str">
        <f t="shared" si="27"/>
        <v>Neutral</v>
      </c>
    </row>
    <row r="850" spans="1:11" x14ac:dyDescent="0.2">
      <c r="A850" t="s">
        <v>4156</v>
      </c>
      <c r="B850" t="s">
        <v>4157</v>
      </c>
      <c r="C850" t="s">
        <v>4158</v>
      </c>
      <c r="D850" t="s">
        <v>3</v>
      </c>
      <c r="E850" t="s">
        <v>4</v>
      </c>
      <c r="F850">
        <v>26</v>
      </c>
      <c r="G850">
        <v>50</v>
      </c>
      <c r="H850" t="s">
        <v>114</v>
      </c>
      <c r="I850" t="b">
        <v>0</v>
      </c>
      <c r="J850">
        <f t="shared" si="26"/>
        <v>0</v>
      </c>
      <c r="K850" t="str">
        <f t="shared" si="27"/>
        <v>Neutral</v>
      </c>
    </row>
    <row r="851" spans="1:11" x14ac:dyDescent="0.2">
      <c r="A851" t="s">
        <v>2625</v>
      </c>
      <c r="B851" t="s">
        <v>2626</v>
      </c>
      <c r="C851" t="s">
        <v>241</v>
      </c>
      <c r="D851" t="s">
        <v>2627</v>
      </c>
      <c r="E851" t="s">
        <v>4</v>
      </c>
      <c r="F851">
        <v>310</v>
      </c>
      <c r="G851">
        <v>273</v>
      </c>
      <c r="H851" t="s">
        <v>13</v>
      </c>
      <c r="I851" t="b">
        <v>0</v>
      </c>
      <c r="J851">
        <f t="shared" si="26"/>
        <v>0</v>
      </c>
      <c r="K851" t="str">
        <f t="shared" si="27"/>
        <v>Neutral</v>
      </c>
    </row>
    <row r="852" spans="1:11" x14ac:dyDescent="0.2">
      <c r="A852" t="s">
        <v>2698</v>
      </c>
      <c r="B852" t="s">
        <v>2699</v>
      </c>
      <c r="C852" t="s">
        <v>873</v>
      </c>
      <c r="D852" t="s">
        <v>3</v>
      </c>
      <c r="E852" t="s">
        <v>4</v>
      </c>
      <c r="F852">
        <v>0</v>
      </c>
      <c r="G852">
        <v>14</v>
      </c>
      <c r="H852" t="s">
        <v>86</v>
      </c>
      <c r="I852" t="b">
        <v>0</v>
      </c>
      <c r="J852">
        <f t="shared" si="26"/>
        <v>-10</v>
      </c>
      <c r="K852" t="str">
        <f t="shared" si="27"/>
        <v>Negative</v>
      </c>
    </row>
    <row r="853" spans="1:11" x14ac:dyDescent="0.2">
      <c r="A853" t="s">
        <v>3565</v>
      </c>
      <c r="B853" t="s">
        <v>3566</v>
      </c>
      <c r="C853" t="s">
        <v>2871</v>
      </c>
      <c r="D853" t="s">
        <v>3567</v>
      </c>
      <c r="E853" t="s">
        <v>4</v>
      </c>
      <c r="F853">
        <v>13378</v>
      </c>
      <c r="G853">
        <v>1958</v>
      </c>
      <c r="H853" t="s">
        <v>13</v>
      </c>
      <c r="I853" t="b">
        <v>0</v>
      </c>
      <c r="J853">
        <f t="shared" si="26"/>
        <v>0</v>
      </c>
      <c r="K853" t="str">
        <f t="shared" si="27"/>
        <v>Neutral</v>
      </c>
    </row>
    <row r="854" spans="1:11" x14ac:dyDescent="0.2">
      <c r="A854" t="s">
        <v>4483</v>
      </c>
      <c r="B854" t="s">
        <v>4484</v>
      </c>
      <c r="C854" t="s">
        <v>4485</v>
      </c>
      <c r="D854" t="s">
        <v>1372</v>
      </c>
      <c r="E854" t="s">
        <v>4</v>
      </c>
      <c r="F854">
        <v>196</v>
      </c>
      <c r="G854">
        <v>209</v>
      </c>
      <c r="H854" t="s">
        <v>13</v>
      </c>
      <c r="I854" t="b">
        <v>0</v>
      </c>
      <c r="J854">
        <f t="shared" si="26"/>
        <v>0</v>
      </c>
      <c r="K854" t="str">
        <f t="shared" si="27"/>
        <v>Neutral</v>
      </c>
    </row>
    <row r="855" spans="1:11" x14ac:dyDescent="0.2">
      <c r="A855" t="s">
        <v>5402</v>
      </c>
      <c r="B855" t="s">
        <v>5403</v>
      </c>
      <c r="C855" t="s">
        <v>5404</v>
      </c>
      <c r="D855" t="s">
        <v>5405</v>
      </c>
      <c r="E855" t="s">
        <v>4</v>
      </c>
      <c r="F855">
        <v>159</v>
      </c>
      <c r="G855">
        <v>416</v>
      </c>
      <c r="H855" t="s">
        <v>13</v>
      </c>
      <c r="I855" t="b">
        <v>0</v>
      </c>
      <c r="J855">
        <f t="shared" si="26"/>
        <v>0</v>
      </c>
      <c r="K855" t="str">
        <f t="shared" si="27"/>
        <v>Neutral</v>
      </c>
    </row>
    <row r="856" spans="1:11" x14ac:dyDescent="0.2">
      <c r="A856" t="s">
        <v>1271</v>
      </c>
      <c r="B856" t="s">
        <v>1272</v>
      </c>
      <c r="C856" t="s">
        <v>1273</v>
      </c>
      <c r="D856" t="s">
        <v>1274</v>
      </c>
      <c r="E856" t="s">
        <v>4</v>
      </c>
      <c r="F856">
        <v>416</v>
      </c>
      <c r="G856">
        <v>594</v>
      </c>
      <c r="H856" t="s">
        <v>13</v>
      </c>
      <c r="I856" t="b">
        <v>0</v>
      </c>
      <c r="J856">
        <f t="shared" si="26"/>
        <v>10</v>
      </c>
      <c r="K856" t="str">
        <f t="shared" si="27"/>
        <v>Positive</v>
      </c>
    </row>
    <row r="857" spans="1:11" x14ac:dyDescent="0.2">
      <c r="A857" t="s">
        <v>2308</v>
      </c>
      <c r="B857" t="s">
        <v>2309</v>
      </c>
      <c r="C857" t="s">
        <v>1346</v>
      </c>
      <c r="D857" t="s">
        <v>2310</v>
      </c>
      <c r="E857" t="s">
        <v>4</v>
      </c>
      <c r="F857">
        <v>683</v>
      </c>
      <c r="G857">
        <v>149</v>
      </c>
      <c r="H857" t="s">
        <v>13</v>
      </c>
      <c r="I857" t="b">
        <v>0</v>
      </c>
      <c r="J857">
        <f t="shared" si="26"/>
        <v>10</v>
      </c>
      <c r="K857" t="str">
        <f t="shared" si="27"/>
        <v>Positive</v>
      </c>
    </row>
    <row r="858" spans="1:11" x14ac:dyDescent="0.2">
      <c r="A858" t="s">
        <v>6559</v>
      </c>
      <c r="B858" t="s">
        <v>6560</v>
      </c>
      <c r="C858" t="s">
        <v>2402</v>
      </c>
      <c r="D858" t="s">
        <v>3</v>
      </c>
      <c r="E858" t="s">
        <v>4</v>
      </c>
      <c r="F858">
        <v>372</v>
      </c>
      <c r="G858">
        <v>572</v>
      </c>
      <c r="H858" t="s">
        <v>342</v>
      </c>
      <c r="I858" t="b">
        <v>0</v>
      </c>
      <c r="J858">
        <f t="shared" si="26"/>
        <v>0</v>
      </c>
      <c r="K858" t="str">
        <f t="shared" si="27"/>
        <v>Neutral</v>
      </c>
    </row>
    <row r="859" spans="1:11" x14ac:dyDescent="0.2">
      <c r="A859" t="s">
        <v>1885</v>
      </c>
      <c r="B859" t="s">
        <v>1886</v>
      </c>
      <c r="C859" t="s">
        <v>1254</v>
      </c>
      <c r="D859" t="s">
        <v>1255</v>
      </c>
      <c r="E859" t="s">
        <v>4</v>
      </c>
      <c r="F859">
        <v>1354</v>
      </c>
      <c r="G859">
        <v>1070</v>
      </c>
      <c r="H859" t="s">
        <v>13</v>
      </c>
      <c r="I859" t="b">
        <v>0</v>
      </c>
      <c r="J859">
        <f t="shared" si="26"/>
        <v>0</v>
      </c>
      <c r="K859" t="str">
        <f t="shared" si="27"/>
        <v>Neutral</v>
      </c>
    </row>
    <row r="860" spans="1:11" x14ac:dyDescent="0.2">
      <c r="A860" t="s">
        <v>5796</v>
      </c>
      <c r="B860" t="s">
        <v>5797</v>
      </c>
      <c r="C860" t="s">
        <v>5798</v>
      </c>
      <c r="D860" t="s">
        <v>326</v>
      </c>
      <c r="E860" t="s">
        <v>4</v>
      </c>
      <c r="F860">
        <v>667</v>
      </c>
      <c r="G860">
        <v>148</v>
      </c>
      <c r="H860" t="s">
        <v>13</v>
      </c>
      <c r="I860" t="b">
        <v>0</v>
      </c>
      <c r="J860">
        <f t="shared" si="26"/>
        <v>0</v>
      </c>
      <c r="K860" t="str">
        <f t="shared" si="27"/>
        <v>Neutral</v>
      </c>
    </row>
    <row r="861" spans="1:11" x14ac:dyDescent="0.2">
      <c r="A861" t="s">
        <v>4411</v>
      </c>
      <c r="B861" t="s">
        <v>4412</v>
      </c>
      <c r="C861" t="s">
        <v>3635</v>
      </c>
      <c r="D861" t="s">
        <v>538</v>
      </c>
      <c r="E861" t="s">
        <v>4</v>
      </c>
      <c r="F861">
        <v>129</v>
      </c>
      <c r="G861">
        <v>240</v>
      </c>
      <c r="H861" t="s">
        <v>13</v>
      </c>
      <c r="I861" t="b">
        <v>0</v>
      </c>
      <c r="J861">
        <f t="shared" si="26"/>
        <v>0</v>
      </c>
      <c r="K861" t="str">
        <f t="shared" si="27"/>
        <v>Neutral</v>
      </c>
    </row>
    <row r="862" spans="1:11" x14ac:dyDescent="0.2">
      <c r="A862" t="s">
        <v>5137</v>
      </c>
      <c r="B862" t="s">
        <v>5138</v>
      </c>
      <c r="C862" t="s">
        <v>93</v>
      </c>
      <c r="D862" t="s">
        <v>94</v>
      </c>
      <c r="E862" t="s">
        <v>4</v>
      </c>
      <c r="F862">
        <v>136</v>
      </c>
      <c r="G862">
        <v>11</v>
      </c>
      <c r="H862" t="s">
        <v>13</v>
      </c>
      <c r="I862" t="b">
        <v>0</v>
      </c>
      <c r="J862">
        <f t="shared" si="26"/>
        <v>0</v>
      </c>
      <c r="K862" t="str">
        <f t="shared" si="27"/>
        <v>Neutral</v>
      </c>
    </row>
    <row r="863" spans="1:11" x14ac:dyDescent="0.2">
      <c r="A863" t="s">
        <v>77</v>
      </c>
      <c r="B863" t="s">
        <v>78</v>
      </c>
      <c r="C863" t="s">
        <v>79</v>
      </c>
      <c r="D863" t="s">
        <v>3</v>
      </c>
      <c r="E863" t="s">
        <v>4</v>
      </c>
      <c r="F863">
        <v>17</v>
      </c>
      <c r="G863">
        <v>207</v>
      </c>
      <c r="H863" t="s">
        <v>13</v>
      </c>
      <c r="I863" t="b">
        <v>0</v>
      </c>
      <c r="J863">
        <f t="shared" si="26"/>
        <v>0</v>
      </c>
      <c r="K863" t="str">
        <f t="shared" si="27"/>
        <v>Neutral</v>
      </c>
    </row>
    <row r="864" spans="1:11" x14ac:dyDescent="0.2">
      <c r="A864" t="s">
        <v>4941</v>
      </c>
      <c r="B864" t="s">
        <v>4942</v>
      </c>
      <c r="C864" t="s">
        <v>579</v>
      </c>
      <c r="D864" t="s">
        <v>3001</v>
      </c>
      <c r="E864" t="s">
        <v>4</v>
      </c>
      <c r="F864">
        <v>4809</v>
      </c>
      <c r="G864">
        <v>693</v>
      </c>
      <c r="H864" t="s">
        <v>13</v>
      </c>
      <c r="I864" t="b">
        <v>0</v>
      </c>
      <c r="J864">
        <f t="shared" si="26"/>
        <v>0</v>
      </c>
      <c r="K864" t="str">
        <f t="shared" si="27"/>
        <v>Neutral</v>
      </c>
    </row>
    <row r="865" spans="1:11" x14ac:dyDescent="0.2">
      <c r="A865" t="s">
        <v>1566</v>
      </c>
      <c r="B865" t="s">
        <v>1567</v>
      </c>
      <c r="C865" t="s">
        <v>1568</v>
      </c>
      <c r="D865" t="s">
        <v>3</v>
      </c>
      <c r="E865" t="s">
        <v>4</v>
      </c>
      <c r="F865">
        <v>54</v>
      </c>
      <c r="G865">
        <v>233</v>
      </c>
      <c r="H865" t="s">
        <v>1569</v>
      </c>
      <c r="I865" t="b">
        <v>0</v>
      </c>
      <c r="J865">
        <f t="shared" si="26"/>
        <v>0</v>
      </c>
      <c r="K865" t="str">
        <f t="shared" si="27"/>
        <v>Neutral</v>
      </c>
    </row>
    <row r="866" spans="1:11" x14ac:dyDescent="0.2">
      <c r="A866" t="s">
        <v>5260</v>
      </c>
      <c r="B866" t="s">
        <v>5261</v>
      </c>
      <c r="C866" t="s">
        <v>2279</v>
      </c>
      <c r="D866" t="s">
        <v>5262</v>
      </c>
      <c r="E866" t="s">
        <v>4</v>
      </c>
      <c r="F866">
        <v>6752</v>
      </c>
      <c r="G866">
        <v>2991</v>
      </c>
      <c r="H866" t="s">
        <v>13</v>
      </c>
      <c r="I866" t="b">
        <v>0</v>
      </c>
      <c r="J866">
        <f t="shared" si="26"/>
        <v>0</v>
      </c>
      <c r="K866" t="str">
        <f t="shared" si="27"/>
        <v>Neutral</v>
      </c>
    </row>
    <row r="867" spans="1:11" x14ac:dyDescent="0.2">
      <c r="A867" t="s">
        <v>2762</v>
      </c>
      <c r="B867" t="s">
        <v>2763</v>
      </c>
      <c r="C867" t="s">
        <v>391</v>
      </c>
      <c r="D867" t="s">
        <v>2764</v>
      </c>
      <c r="E867" t="s">
        <v>4</v>
      </c>
      <c r="F867">
        <v>744</v>
      </c>
      <c r="G867">
        <v>551</v>
      </c>
      <c r="H867" t="s">
        <v>13</v>
      </c>
      <c r="I867" t="b">
        <v>0</v>
      </c>
      <c r="J867">
        <f t="shared" si="26"/>
        <v>0</v>
      </c>
      <c r="K867" t="str">
        <f t="shared" si="27"/>
        <v>Neutral</v>
      </c>
    </row>
    <row r="868" spans="1:11" x14ac:dyDescent="0.2">
      <c r="A868" t="s">
        <v>4471</v>
      </c>
      <c r="B868" t="s">
        <v>4472</v>
      </c>
      <c r="C868" t="s">
        <v>3852</v>
      </c>
      <c r="D868" t="s">
        <v>4473</v>
      </c>
      <c r="E868" t="s">
        <v>4</v>
      </c>
      <c r="F868">
        <v>573</v>
      </c>
      <c r="G868">
        <v>419</v>
      </c>
      <c r="H868" t="s">
        <v>13</v>
      </c>
      <c r="I868" t="b">
        <v>0</v>
      </c>
      <c r="J868">
        <f t="shared" si="26"/>
        <v>0</v>
      </c>
      <c r="K868" t="str">
        <f t="shared" si="27"/>
        <v>Neutral</v>
      </c>
    </row>
    <row r="869" spans="1:11" x14ac:dyDescent="0.2">
      <c r="A869" t="s">
        <v>2769</v>
      </c>
      <c r="B869" t="s">
        <v>2770</v>
      </c>
      <c r="C869" t="s">
        <v>2028</v>
      </c>
      <c r="D869" t="s">
        <v>2771</v>
      </c>
      <c r="E869" t="s">
        <v>4</v>
      </c>
      <c r="F869">
        <v>1322</v>
      </c>
      <c r="G869">
        <v>1009</v>
      </c>
      <c r="H869" t="s">
        <v>13</v>
      </c>
      <c r="I869" t="b">
        <v>0</v>
      </c>
      <c r="J869">
        <f t="shared" si="26"/>
        <v>0</v>
      </c>
      <c r="K869" t="str">
        <f t="shared" si="27"/>
        <v>Neutral</v>
      </c>
    </row>
    <row r="870" spans="1:11" x14ac:dyDescent="0.2">
      <c r="A870" t="s">
        <v>6945</v>
      </c>
      <c r="B870" t="s">
        <v>6946</v>
      </c>
      <c r="C870" t="s">
        <v>4754</v>
      </c>
      <c r="D870" t="s">
        <v>3</v>
      </c>
      <c r="E870" t="s">
        <v>4</v>
      </c>
      <c r="F870">
        <v>2</v>
      </c>
      <c r="G870">
        <v>3</v>
      </c>
      <c r="H870" t="s">
        <v>13</v>
      </c>
      <c r="I870" t="b">
        <v>0</v>
      </c>
      <c r="J870">
        <f t="shared" si="26"/>
        <v>0</v>
      </c>
      <c r="K870" t="str">
        <f t="shared" si="27"/>
        <v>Neutral</v>
      </c>
    </row>
    <row r="871" spans="1:11" x14ac:dyDescent="0.2">
      <c r="A871" t="s">
        <v>4015</v>
      </c>
      <c r="B871" t="s">
        <v>4016</v>
      </c>
      <c r="C871" t="s">
        <v>4017</v>
      </c>
      <c r="D871" t="s">
        <v>4018</v>
      </c>
      <c r="E871" t="s">
        <v>4</v>
      </c>
      <c r="F871">
        <v>11321</v>
      </c>
      <c r="G871">
        <v>1633</v>
      </c>
      <c r="H871" t="s">
        <v>13</v>
      </c>
      <c r="I871" t="b">
        <v>0</v>
      </c>
      <c r="J871">
        <f t="shared" si="26"/>
        <v>10</v>
      </c>
      <c r="K871" t="str">
        <f t="shared" si="27"/>
        <v>Positive</v>
      </c>
    </row>
    <row r="872" spans="1:11" x14ac:dyDescent="0.2">
      <c r="A872" t="s">
        <v>2532</v>
      </c>
      <c r="B872" t="s">
        <v>2533</v>
      </c>
      <c r="C872" t="s">
        <v>2534</v>
      </c>
      <c r="D872" t="s">
        <v>3</v>
      </c>
      <c r="E872" t="s">
        <v>4</v>
      </c>
      <c r="F872">
        <v>79</v>
      </c>
      <c r="G872">
        <v>100</v>
      </c>
      <c r="H872" t="s">
        <v>13</v>
      </c>
      <c r="I872" t="b">
        <v>0</v>
      </c>
      <c r="J872">
        <f t="shared" si="26"/>
        <v>0</v>
      </c>
      <c r="K872" t="str">
        <f t="shared" si="27"/>
        <v>Neutral</v>
      </c>
    </row>
    <row r="873" spans="1:11" x14ac:dyDescent="0.2">
      <c r="A873" t="s">
        <v>5656</v>
      </c>
      <c r="B873" t="s">
        <v>5658</v>
      </c>
      <c r="C873" t="s">
        <v>1230</v>
      </c>
      <c r="D873" t="s">
        <v>1231</v>
      </c>
      <c r="E873" t="s">
        <v>4</v>
      </c>
      <c r="F873">
        <v>427</v>
      </c>
      <c r="G873">
        <v>768</v>
      </c>
      <c r="H873" t="s">
        <v>13</v>
      </c>
      <c r="I873" t="b">
        <v>0</v>
      </c>
      <c r="J873">
        <f t="shared" si="26"/>
        <v>10</v>
      </c>
      <c r="K873" t="str">
        <f t="shared" si="27"/>
        <v>Positive</v>
      </c>
    </row>
    <row r="874" spans="1:11" x14ac:dyDescent="0.2">
      <c r="A874" t="s">
        <v>3795</v>
      </c>
      <c r="B874" t="s">
        <v>3796</v>
      </c>
      <c r="C874" t="s">
        <v>3797</v>
      </c>
      <c r="D874" t="s">
        <v>101</v>
      </c>
      <c r="E874" t="s">
        <v>4</v>
      </c>
      <c r="F874">
        <v>251</v>
      </c>
      <c r="G874">
        <v>307</v>
      </c>
      <c r="H874" t="s">
        <v>13</v>
      </c>
      <c r="I874" t="b">
        <v>0</v>
      </c>
      <c r="J874">
        <f t="shared" si="26"/>
        <v>0</v>
      </c>
      <c r="K874" t="str">
        <f t="shared" si="27"/>
        <v>Neutral</v>
      </c>
    </row>
    <row r="875" spans="1:11" x14ac:dyDescent="0.2">
      <c r="A875" t="s">
        <v>1532</v>
      </c>
      <c r="B875" t="s">
        <v>1533</v>
      </c>
      <c r="C875" t="s">
        <v>1534</v>
      </c>
      <c r="D875" t="s">
        <v>1535</v>
      </c>
      <c r="E875" t="s">
        <v>4</v>
      </c>
      <c r="F875">
        <v>25</v>
      </c>
      <c r="G875">
        <v>43</v>
      </c>
      <c r="H875" t="s">
        <v>13</v>
      </c>
      <c r="I875" t="b">
        <v>0</v>
      </c>
      <c r="J875">
        <f t="shared" si="26"/>
        <v>0</v>
      </c>
      <c r="K875" t="str">
        <f t="shared" si="27"/>
        <v>Neutral</v>
      </c>
    </row>
    <row r="876" spans="1:11" x14ac:dyDescent="0.2">
      <c r="A876" t="s">
        <v>2985</v>
      </c>
      <c r="B876" t="s">
        <v>2986</v>
      </c>
      <c r="C876" t="s">
        <v>41</v>
      </c>
      <c r="D876" t="s">
        <v>2987</v>
      </c>
      <c r="E876" t="s">
        <v>4</v>
      </c>
      <c r="F876">
        <v>75</v>
      </c>
      <c r="G876">
        <v>284</v>
      </c>
      <c r="H876" t="s">
        <v>13</v>
      </c>
      <c r="I876" t="b">
        <v>0</v>
      </c>
      <c r="J876">
        <f t="shared" si="26"/>
        <v>0</v>
      </c>
      <c r="K876" t="str">
        <f t="shared" si="27"/>
        <v>Neutral</v>
      </c>
    </row>
    <row r="877" spans="1:11" x14ac:dyDescent="0.2">
      <c r="A877" t="s">
        <v>6536</v>
      </c>
      <c r="B877" t="s">
        <v>6537</v>
      </c>
      <c r="C877" t="s">
        <v>254</v>
      </c>
      <c r="D877" t="s">
        <v>6538</v>
      </c>
      <c r="E877" t="s">
        <v>38</v>
      </c>
      <c r="F877">
        <v>60056</v>
      </c>
      <c r="G877">
        <v>1201</v>
      </c>
      <c r="H877" t="s">
        <v>13</v>
      </c>
      <c r="I877" t="b">
        <v>0</v>
      </c>
      <c r="J877">
        <f t="shared" si="26"/>
        <v>0</v>
      </c>
      <c r="K877" t="str">
        <f t="shared" si="27"/>
        <v>Neutral</v>
      </c>
    </row>
    <row r="878" spans="1:11" x14ac:dyDescent="0.2">
      <c r="A878" t="s">
        <v>6551</v>
      </c>
      <c r="B878" t="s">
        <v>6552</v>
      </c>
      <c r="C878" t="s">
        <v>429</v>
      </c>
      <c r="D878" t="s">
        <v>3</v>
      </c>
      <c r="E878" t="s">
        <v>4</v>
      </c>
      <c r="F878">
        <v>19</v>
      </c>
      <c r="G878">
        <v>276</v>
      </c>
      <c r="H878" t="s">
        <v>13</v>
      </c>
      <c r="I878" t="b">
        <v>0</v>
      </c>
      <c r="J878">
        <f t="shared" si="26"/>
        <v>0</v>
      </c>
      <c r="K878" t="str">
        <f t="shared" si="27"/>
        <v>Neutral</v>
      </c>
    </row>
    <row r="879" spans="1:11" x14ac:dyDescent="0.2">
      <c r="A879" t="s">
        <v>5158</v>
      </c>
      <c r="B879" t="s">
        <v>5159</v>
      </c>
      <c r="C879" t="s">
        <v>5160</v>
      </c>
      <c r="D879" t="s">
        <v>3</v>
      </c>
      <c r="E879" t="s">
        <v>4</v>
      </c>
      <c r="F879">
        <v>10312</v>
      </c>
      <c r="G879">
        <v>11025</v>
      </c>
      <c r="H879" t="s">
        <v>5</v>
      </c>
      <c r="I879" t="b">
        <v>0</v>
      </c>
      <c r="J879">
        <f t="shared" si="26"/>
        <v>20</v>
      </c>
      <c r="K879" t="str">
        <f t="shared" si="27"/>
        <v>Positive</v>
      </c>
    </row>
    <row r="880" spans="1:11" x14ac:dyDescent="0.2">
      <c r="A880" t="s">
        <v>3386</v>
      </c>
      <c r="B880" t="s">
        <v>3387</v>
      </c>
      <c r="C880" t="s">
        <v>3388</v>
      </c>
      <c r="D880" t="s">
        <v>101</v>
      </c>
      <c r="E880" t="s">
        <v>4</v>
      </c>
      <c r="F880">
        <v>3355</v>
      </c>
      <c r="G880">
        <v>456</v>
      </c>
      <c r="H880" t="s">
        <v>13</v>
      </c>
      <c r="I880" t="b">
        <v>0</v>
      </c>
      <c r="J880">
        <f t="shared" si="26"/>
        <v>0</v>
      </c>
      <c r="K880" t="str">
        <f t="shared" si="27"/>
        <v>Neutral</v>
      </c>
    </row>
    <row r="881" spans="1:11" x14ac:dyDescent="0.2">
      <c r="A881" t="s">
        <v>4028</v>
      </c>
      <c r="B881" t="s">
        <v>4030</v>
      </c>
      <c r="C881" t="s">
        <v>1944</v>
      </c>
      <c r="D881" t="s">
        <v>3</v>
      </c>
      <c r="E881" t="s">
        <v>4</v>
      </c>
      <c r="F881">
        <v>13</v>
      </c>
      <c r="G881">
        <v>207</v>
      </c>
      <c r="H881" t="s">
        <v>2184</v>
      </c>
      <c r="I881" t="b">
        <v>0</v>
      </c>
      <c r="J881">
        <f t="shared" si="26"/>
        <v>10</v>
      </c>
      <c r="K881" t="str">
        <f t="shared" si="27"/>
        <v>Positive</v>
      </c>
    </row>
    <row r="882" spans="1:11" x14ac:dyDescent="0.2">
      <c r="A882" t="s">
        <v>6362</v>
      </c>
      <c r="B882" t="s">
        <v>6363</v>
      </c>
      <c r="C882" t="s">
        <v>3769</v>
      </c>
      <c r="D882" t="s">
        <v>1340</v>
      </c>
      <c r="E882" t="s">
        <v>4</v>
      </c>
      <c r="F882">
        <v>119</v>
      </c>
      <c r="G882">
        <v>877</v>
      </c>
      <c r="H882" t="s">
        <v>13</v>
      </c>
      <c r="I882" t="b">
        <v>0</v>
      </c>
      <c r="J882">
        <f t="shared" si="26"/>
        <v>0</v>
      </c>
      <c r="K882" t="str">
        <f t="shared" si="27"/>
        <v>Neutral</v>
      </c>
    </row>
    <row r="883" spans="1:11" x14ac:dyDescent="0.2">
      <c r="A883" t="s">
        <v>6007</v>
      </c>
      <c r="B883" t="s">
        <v>6008</v>
      </c>
      <c r="C883" t="s">
        <v>6009</v>
      </c>
      <c r="D883" t="s">
        <v>6010</v>
      </c>
      <c r="E883" t="s">
        <v>4</v>
      </c>
      <c r="F883">
        <v>1064</v>
      </c>
      <c r="G883">
        <v>362</v>
      </c>
      <c r="H883" t="s">
        <v>13</v>
      </c>
      <c r="I883" t="b">
        <v>0</v>
      </c>
      <c r="J883">
        <f t="shared" si="26"/>
        <v>10</v>
      </c>
      <c r="K883" t="str">
        <f t="shared" si="27"/>
        <v>Positive</v>
      </c>
    </row>
    <row r="884" spans="1:11" x14ac:dyDescent="0.2">
      <c r="A884" t="s">
        <v>2566</v>
      </c>
      <c r="B884" t="s">
        <v>2567</v>
      </c>
      <c r="C884" t="s">
        <v>832</v>
      </c>
      <c r="D884" t="s">
        <v>3</v>
      </c>
      <c r="E884" t="s">
        <v>4</v>
      </c>
      <c r="F884">
        <v>74</v>
      </c>
      <c r="G884">
        <v>161</v>
      </c>
      <c r="H884" t="s">
        <v>266</v>
      </c>
      <c r="I884" t="b">
        <v>0</v>
      </c>
      <c r="J884">
        <f t="shared" si="26"/>
        <v>0</v>
      </c>
      <c r="K884" t="str">
        <f t="shared" si="27"/>
        <v>Neutral</v>
      </c>
    </row>
    <row r="885" spans="1:11" x14ac:dyDescent="0.2">
      <c r="A885" t="s">
        <v>2044</v>
      </c>
      <c r="B885" t="s">
        <v>2045</v>
      </c>
      <c r="C885" t="s">
        <v>1423</v>
      </c>
      <c r="D885" t="s">
        <v>3</v>
      </c>
      <c r="E885" t="s">
        <v>4</v>
      </c>
      <c r="F885">
        <v>15</v>
      </c>
      <c r="G885">
        <v>86</v>
      </c>
      <c r="H885" t="s">
        <v>13</v>
      </c>
      <c r="I885" t="b">
        <v>0</v>
      </c>
      <c r="J885">
        <f t="shared" si="26"/>
        <v>0</v>
      </c>
      <c r="K885" t="str">
        <f t="shared" si="27"/>
        <v>Neutral</v>
      </c>
    </row>
    <row r="886" spans="1:11" x14ac:dyDescent="0.2">
      <c r="A886" t="s">
        <v>1442</v>
      </c>
      <c r="B886" t="s">
        <v>1443</v>
      </c>
      <c r="C886" t="s">
        <v>309</v>
      </c>
      <c r="D886" t="s">
        <v>3</v>
      </c>
      <c r="E886" t="s">
        <v>4</v>
      </c>
      <c r="F886">
        <v>118</v>
      </c>
      <c r="G886">
        <v>110</v>
      </c>
      <c r="H886" t="s">
        <v>76</v>
      </c>
      <c r="I886" t="b">
        <v>0</v>
      </c>
      <c r="J886">
        <f t="shared" si="26"/>
        <v>10</v>
      </c>
      <c r="K886" t="str">
        <f t="shared" si="27"/>
        <v>Positive</v>
      </c>
    </row>
    <row r="887" spans="1:11" x14ac:dyDescent="0.2">
      <c r="A887" t="s">
        <v>1620</v>
      </c>
      <c r="B887" t="s">
        <v>1621</v>
      </c>
      <c r="C887" t="s">
        <v>1622</v>
      </c>
      <c r="D887" t="s">
        <v>3</v>
      </c>
      <c r="E887" t="s">
        <v>4</v>
      </c>
      <c r="F887">
        <v>25</v>
      </c>
      <c r="G887">
        <v>290</v>
      </c>
      <c r="H887" t="s">
        <v>13</v>
      </c>
      <c r="I887" t="b">
        <v>0</v>
      </c>
      <c r="J887">
        <f t="shared" si="26"/>
        <v>10</v>
      </c>
      <c r="K887" t="str">
        <f t="shared" si="27"/>
        <v>Positive</v>
      </c>
    </row>
    <row r="888" spans="1:11" x14ac:dyDescent="0.2">
      <c r="A888" t="s">
        <v>4627</v>
      </c>
      <c r="B888" t="s">
        <v>4628</v>
      </c>
      <c r="C888" t="s">
        <v>568</v>
      </c>
      <c r="D888" t="s">
        <v>4629</v>
      </c>
      <c r="E888" t="s">
        <v>4</v>
      </c>
      <c r="F888">
        <v>57</v>
      </c>
      <c r="G888">
        <v>237</v>
      </c>
      <c r="H888" t="s">
        <v>13</v>
      </c>
      <c r="I888" t="b">
        <v>0</v>
      </c>
      <c r="J888">
        <f t="shared" si="26"/>
        <v>0</v>
      </c>
      <c r="K888" t="str">
        <f t="shared" si="27"/>
        <v>Neutral</v>
      </c>
    </row>
    <row r="889" spans="1:11" x14ac:dyDescent="0.2">
      <c r="A889" t="s">
        <v>1329</v>
      </c>
      <c r="B889" t="s">
        <v>1330</v>
      </c>
      <c r="C889" t="s">
        <v>1331</v>
      </c>
      <c r="D889" t="s">
        <v>3</v>
      </c>
      <c r="E889" t="s">
        <v>4</v>
      </c>
      <c r="F889">
        <v>48</v>
      </c>
      <c r="G889">
        <v>165</v>
      </c>
      <c r="H889" t="s">
        <v>13</v>
      </c>
      <c r="I889" t="b">
        <v>0</v>
      </c>
      <c r="J889">
        <f t="shared" si="26"/>
        <v>10</v>
      </c>
      <c r="K889" t="str">
        <f t="shared" si="27"/>
        <v>Positive</v>
      </c>
    </row>
    <row r="890" spans="1:11" x14ac:dyDescent="0.2">
      <c r="A890" t="s">
        <v>6966</v>
      </c>
      <c r="B890" t="s">
        <v>6967</v>
      </c>
      <c r="C890" t="s">
        <v>2062</v>
      </c>
      <c r="D890" t="s">
        <v>3</v>
      </c>
      <c r="E890" t="s">
        <v>4</v>
      </c>
      <c r="F890">
        <v>50</v>
      </c>
      <c r="G890">
        <v>138</v>
      </c>
      <c r="H890" t="s">
        <v>13</v>
      </c>
      <c r="I890" t="b">
        <v>0</v>
      </c>
      <c r="J890">
        <f t="shared" si="26"/>
        <v>0</v>
      </c>
      <c r="K890" t="str">
        <f t="shared" si="27"/>
        <v>Neutral</v>
      </c>
    </row>
    <row r="891" spans="1:11" x14ac:dyDescent="0.2">
      <c r="A891" t="s">
        <v>5709</v>
      </c>
      <c r="B891" t="s">
        <v>5710</v>
      </c>
      <c r="C891" t="s">
        <v>942</v>
      </c>
      <c r="D891" t="s">
        <v>3</v>
      </c>
      <c r="E891" t="s">
        <v>4</v>
      </c>
      <c r="F891">
        <v>17</v>
      </c>
      <c r="G891">
        <v>148</v>
      </c>
      <c r="H891" t="s">
        <v>13</v>
      </c>
      <c r="I891" t="b">
        <v>0</v>
      </c>
      <c r="J891">
        <f t="shared" si="26"/>
        <v>0</v>
      </c>
      <c r="K891" t="str">
        <f t="shared" si="27"/>
        <v>Neutral</v>
      </c>
    </row>
    <row r="892" spans="1:11" x14ac:dyDescent="0.2">
      <c r="A892" t="s">
        <v>423</v>
      </c>
      <c r="B892" t="s">
        <v>424</v>
      </c>
      <c r="C892" t="s">
        <v>315</v>
      </c>
      <c r="D892" t="s">
        <v>316</v>
      </c>
      <c r="E892" t="s">
        <v>4</v>
      </c>
      <c r="F892">
        <v>207</v>
      </c>
      <c r="G892">
        <v>630</v>
      </c>
      <c r="H892" t="s">
        <v>13</v>
      </c>
      <c r="I892" t="b">
        <v>0</v>
      </c>
      <c r="J892">
        <f t="shared" si="26"/>
        <v>20</v>
      </c>
      <c r="K892" t="str">
        <f t="shared" si="27"/>
        <v>Positive</v>
      </c>
    </row>
    <row r="893" spans="1:11" x14ac:dyDescent="0.2">
      <c r="A893" t="s">
        <v>3005</v>
      </c>
      <c r="B893" t="s">
        <v>3006</v>
      </c>
      <c r="C893" t="s">
        <v>2367</v>
      </c>
      <c r="D893" t="s">
        <v>3</v>
      </c>
      <c r="E893" t="s">
        <v>4</v>
      </c>
      <c r="F893">
        <v>222</v>
      </c>
      <c r="G893">
        <v>224</v>
      </c>
      <c r="H893" t="s">
        <v>13</v>
      </c>
      <c r="I893" t="b">
        <v>0</v>
      </c>
      <c r="J893">
        <f t="shared" si="26"/>
        <v>10</v>
      </c>
      <c r="K893" t="str">
        <f t="shared" si="27"/>
        <v>Positive</v>
      </c>
    </row>
    <row r="894" spans="1:11" x14ac:dyDescent="0.2">
      <c r="A894" t="s">
        <v>1289</v>
      </c>
      <c r="B894" t="s">
        <v>1290</v>
      </c>
      <c r="C894" t="s">
        <v>1291</v>
      </c>
      <c r="D894" t="s">
        <v>1292</v>
      </c>
      <c r="E894" t="s">
        <v>4</v>
      </c>
      <c r="F894">
        <v>850</v>
      </c>
      <c r="G894">
        <v>262</v>
      </c>
      <c r="H894" t="s">
        <v>13</v>
      </c>
      <c r="I894" t="b">
        <v>0</v>
      </c>
      <c r="J894">
        <f t="shared" si="26"/>
        <v>10</v>
      </c>
      <c r="K894" t="str">
        <f t="shared" si="27"/>
        <v>Positive</v>
      </c>
    </row>
    <row r="895" spans="1:11" x14ac:dyDescent="0.2">
      <c r="A895" t="s">
        <v>3389</v>
      </c>
      <c r="B895" t="s">
        <v>3390</v>
      </c>
      <c r="C895" t="s">
        <v>3391</v>
      </c>
      <c r="D895" t="s">
        <v>3392</v>
      </c>
      <c r="E895" t="s">
        <v>4</v>
      </c>
      <c r="F895">
        <v>1035</v>
      </c>
      <c r="G895">
        <v>1628</v>
      </c>
      <c r="H895" t="s">
        <v>13</v>
      </c>
      <c r="I895" t="b">
        <v>0</v>
      </c>
      <c r="J895">
        <f t="shared" si="26"/>
        <v>10</v>
      </c>
      <c r="K895" t="str">
        <f t="shared" si="27"/>
        <v>Positive</v>
      </c>
    </row>
    <row r="896" spans="1:11" x14ac:dyDescent="0.2">
      <c r="A896" t="s">
        <v>3511</v>
      </c>
      <c r="B896" t="s">
        <v>3512</v>
      </c>
      <c r="C896" t="s">
        <v>3513</v>
      </c>
      <c r="D896" t="s">
        <v>172</v>
      </c>
      <c r="E896" t="s">
        <v>4</v>
      </c>
      <c r="F896">
        <v>96</v>
      </c>
      <c r="G896">
        <v>73</v>
      </c>
      <c r="H896" t="s">
        <v>13</v>
      </c>
      <c r="I896" t="b">
        <v>0</v>
      </c>
      <c r="J896">
        <f t="shared" si="26"/>
        <v>10</v>
      </c>
      <c r="K896" t="str">
        <f t="shared" si="27"/>
        <v>Positive</v>
      </c>
    </row>
    <row r="897" spans="1:11" x14ac:dyDescent="0.2">
      <c r="A897" t="s">
        <v>4324</v>
      </c>
      <c r="B897" t="s">
        <v>4325</v>
      </c>
      <c r="C897" t="s">
        <v>1838</v>
      </c>
      <c r="D897" t="s">
        <v>3</v>
      </c>
      <c r="E897" t="s">
        <v>4</v>
      </c>
      <c r="F897">
        <v>123</v>
      </c>
      <c r="G897">
        <v>93</v>
      </c>
      <c r="H897" t="s">
        <v>13</v>
      </c>
      <c r="I897" t="b">
        <v>0</v>
      </c>
      <c r="J897">
        <f t="shared" si="26"/>
        <v>10</v>
      </c>
      <c r="K897" t="str">
        <f t="shared" si="27"/>
        <v>Positive</v>
      </c>
    </row>
    <row r="898" spans="1:11" x14ac:dyDescent="0.2">
      <c r="A898" t="s">
        <v>5406</v>
      </c>
      <c r="B898" t="s">
        <v>5407</v>
      </c>
      <c r="C898" t="s">
        <v>1985</v>
      </c>
      <c r="D898" t="s">
        <v>3</v>
      </c>
      <c r="E898" t="s">
        <v>4</v>
      </c>
      <c r="F898">
        <v>128</v>
      </c>
      <c r="G898">
        <v>427</v>
      </c>
      <c r="H898" t="s">
        <v>13</v>
      </c>
      <c r="I898" t="b">
        <v>0</v>
      </c>
      <c r="J898">
        <f t="shared" si="26"/>
        <v>10</v>
      </c>
      <c r="K898" t="str">
        <f t="shared" si="27"/>
        <v>Positive</v>
      </c>
    </row>
    <row r="899" spans="1:11" x14ac:dyDescent="0.2">
      <c r="A899" t="s">
        <v>2034</v>
      </c>
      <c r="B899" t="s">
        <v>2035</v>
      </c>
      <c r="C899" t="s">
        <v>898</v>
      </c>
      <c r="D899" t="s">
        <v>1657</v>
      </c>
      <c r="E899" t="s">
        <v>4</v>
      </c>
      <c r="F899">
        <v>601</v>
      </c>
      <c r="G899">
        <v>23</v>
      </c>
      <c r="H899" t="s">
        <v>13</v>
      </c>
      <c r="I899" t="b">
        <v>0</v>
      </c>
      <c r="J899">
        <f t="shared" ref="J899:J962" si="28">sentimentCalc(B899)</f>
        <v>10</v>
      </c>
      <c r="K899" t="str">
        <f t="shared" ref="K899:K962" si="29">sentimentCategory(J899)</f>
        <v>Positive</v>
      </c>
    </row>
    <row r="900" spans="1:11" x14ac:dyDescent="0.2">
      <c r="A900" t="s">
        <v>3932</v>
      </c>
      <c r="B900" t="s">
        <v>3933</v>
      </c>
      <c r="C900" t="s">
        <v>2646</v>
      </c>
      <c r="D900" t="s">
        <v>3690</v>
      </c>
      <c r="E900" t="s">
        <v>4</v>
      </c>
      <c r="F900">
        <v>39272</v>
      </c>
      <c r="G900">
        <v>193</v>
      </c>
      <c r="H900" t="s">
        <v>13</v>
      </c>
      <c r="I900" t="b">
        <v>0</v>
      </c>
      <c r="J900">
        <f t="shared" si="28"/>
        <v>0</v>
      </c>
      <c r="K900" t="str">
        <f t="shared" si="29"/>
        <v>Neutral</v>
      </c>
    </row>
    <row r="901" spans="1:11" x14ac:dyDescent="0.2">
      <c r="A901" t="s">
        <v>1570</v>
      </c>
      <c r="B901" t="s">
        <v>1571</v>
      </c>
      <c r="C901" t="s">
        <v>1572</v>
      </c>
      <c r="D901" t="s">
        <v>1573</v>
      </c>
      <c r="E901" t="s">
        <v>4</v>
      </c>
      <c r="F901">
        <v>1310</v>
      </c>
      <c r="G901">
        <v>3065</v>
      </c>
      <c r="H901" t="s">
        <v>13</v>
      </c>
      <c r="I901" t="b">
        <v>0</v>
      </c>
      <c r="J901">
        <f t="shared" si="28"/>
        <v>10</v>
      </c>
      <c r="K901" t="str">
        <f t="shared" si="29"/>
        <v>Positive</v>
      </c>
    </row>
    <row r="902" spans="1:11" x14ac:dyDescent="0.2">
      <c r="A902" t="s">
        <v>3992</v>
      </c>
      <c r="B902" t="s">
        <v>3993</v>
      </c>
      <c r="C902" t="s">
        <v>579</v>
      </c>
      <c r="D902" t="s">
        <v>3</v>
      </c>
      <c r="E902" t="s">
        <v>4</v>
      </c>
      <c r="F902">
        <v>562</v>
      </c>
      <c r="G902">
        <v>193</v>
      </c>
      <c r="H902" t="s">
        <v>5</v>
      </c>
      <c r="I902" t="b">
        <v>0</v>
      </c>
      <c r="J902">
        <f t="shared" si="28"/>
        <v>0</v>
      </c>
      <c r="K902" t="str">
        <f t="shared" si="29"/>
        <v>Neutral</v>
      </c>
    </row>
    <row r="903" spans="1:11" x14ac:dyDescent="0.2">
      <c r="A903" t="s">
        <v>553</v>
      </c>
      <c r="B903" t="s">
        <v>554</v>
      </c>
      <c r="C903" t="s">
        <v>70</v>
      </c>
      <c r="D903" t="s">
        <v>555</v>
      </c>
      <c r="E903" t="s">
        <v>4</v>
      </c>
      <c r="F903">
        <v>759</v>
      </c>
      <c r="G903">
        <v>867</v>
      </c>
      <c r="H903" t="s">
        <v>13</v>
      </c>
      <c r="I903" t="b">
        <v>0</v>
      </c>
      <c r="J903">
        <f t="shared" si="28"/>
        <v>10</v>
      </c>
      <c r="K903" t="str">
        <f t="shared" si="29"/>
        <v>Positive</v>
      </c>
    </row>
    <row r="904" spans="1:11" x14ac:dyDescent="0.2">
      <c r="A904" t="s">
        <v>2412</v>
      </c>
      <c r="B904" t="s">
        <v>2413</v>
      </c>
      <c r="C904" t="s">
        <v>230</v>
      </c>
      <c r="D904" t="s">
        <v>2414</v>
      </c>
      <c r="E904" t="s">
        <v>4</v>
      </c>
      <c r="F904">
        <v>241</v>
      </c>
      <c r="G904">
        <v>301</v>
      </c>
      <c r="H904" t="s">
        <v>13</v>
      </c>
      <c r="I904" t="b">
        <v>0</v>
      </c>
      <c r="J904">
        <f t="shared" si="28"/>
        <v>0</v>
      </c>
      <c r="K904" t="str">
        <f t="shared" si="29"/>
        <v>Neutral</v>
      </c>
    </row>
    <row r="905" spans="1:11" x14ac:dyDescent="0.2">
      <c r="A905" t="s">
        <v>4923</v>
      </c>
      <c r="B905" t="s">
        <v>4924</v>
      </c>
      <c r="C905" t="s">
        <v>4925</v>
      </c>
      <c r="D905" t="s">
        <v>3</v>
      </c>
      <c r="E905" t="s">
        <v>4</v>
      </c>
      <c r="F905">
        <v>64</v>
      </c>
      <c r="G905">
        <v>97</v>
      </c>
      <c r="H905" t="s">
        <v>13</v>
      </c>
      <c r="I905" t="b">
        <v>0</v>
      </c>
      <c r="J905">
        <f t="shared" si="28"/>
        <v>0</v>
      </c>
      <c r="K905" t="str">
        <f t="shared" si="29"/>
        <v>Neutral</v>
      </c>
    </row>
    <row r="906" spans="1:11" x14ac:dyDescent="0.2">
      <c r="A906" t="s">
        <v>4695</v>
      </c>
      <c r="B906" t="s">
        <v>4696</v>
      </c>
      <c r="C906" t="s">
        <v>3588</v>
      </c>
      <c r="D906" t="s">
        <v>3</v>
      </c>
      <c r="E906" t="s">
        <v>4</v>
      </c>
      <c r="F906">
        <v>92</v>
      </c>
      <c r="G906">
        <v>83</v>
      </c>
      <c r="H906" t="s">
        <v>13</v>
      </c>
      <c r="I906" t="b">
        <v>0</v>
      </c>
      <c r="J906">
        <f t="shared" si="28"/>
        <v>20</v>
      </c>
      <c r="K906" t="str">
        <f t="shared" si="29"/>
        <v>Positive</v>
      </c>
    </row>
    <row r="907" spans="1:11" x14ac:dyDescent="0.2">
      <c r="A907" t="s">
        <v>6572</v>
      </c>
      <c r="B907" t="s">
        <v>6573</v>
      </c>
      <c r="C907" t="s">
        <v>4080</v>
      </c>
      <c r="D907" t="s">
        <v>3</v>
      </c>
      <c r="E907" t="s">
        <v>4</v>
      </c>
      <c r="F907">
        <v>1569</v>
      </c>
      <c r="G907">
        <v>1822</v>
      </c>
      <c r="H907" t="s">
        <v>13</v>
      </c>
      <c r="I907" t="b">
        <v>0</v>
      </c>
      <c r="J907">
        <f t="shared" si="28"/>
        <v>30</v>
      </c>
      <c r="K907" t="str">
        <f t="shared" si="29"/>
        <v>Positive</v>
      </c>
    </row>
    <row r="908" spans="1:11" x14ac:dyDescent="0.2">
      <c r="A908" t="s">
        <v>5466</v>
      </c>
      <c r="B908" t="s">
        <v>5467</v>
      </c>
      <c r="C908" t="s">
        <v>5468</v>
      </c>
      <c r="D908" t="s">
        <v>101</v>
      </c>
      <c r="E908" t="s">
        <v>4</v>
      </c>
      <c r="F908">
        <v>5744</v>
      </c>
      <c r="G908">
        <v>6127</v>
      </c>
      <c r="H908" t="s">
        <v>5</v>
      </c>
      <c r="I908" t="b">
        <v>0</v>
      </c>
      <c r="J908">
        <f t="shared" si="28"/>
        <v>20</v>
      </c>
      <c r="K908" t="str">
        <f t="shared" si="29"/>
        <v>Positive</v>
      </c>
    </row>
    <row r="909" spans="1:11" x14ac:dyDescent="0.2">
      <c r="A909" t="s">
        <v>3422</v>
      </c>
      <c r="B909" t="s">
        <v>3423</v>
      </c>
      <c r="C909" t="s">
        <v>1618</v>
      </c>
      <c r="D909" t="s">
        <v>3</v>
      </c>
      <c r="E909" t="s">
        <v>4</v>
      </c>
      <c r="F909">
        <v>225</v>
      </c>
      <c r="G909">
        <v>909</v>
      </c>
      <c r="H909" t="s">
        <v>13</v>
      </c>
      <c r="I909" t="b">
        <v>0</v>
      </c>
      <c r="J909">
        <f t="shared" si="28"/>
        <v>10</v>
      </c>
      <c r="K909" t="str">
        <f t="shared" si="29"/>
        <v>Positive</v>
      </c>
    </row>
    <row r="910" spans="1:11" x14ac:dyDescent="0.2">
      <c r="A910" t="s">
        <v>2160</v>
      </c>
      <c r="B910" t="s">
        <v>2162</v>
      </c>
      <c r="C910" t="s">
        <v>2163</v>
      </c>
      <c r="D910" t="s">
        <v>3</v>
      </c>
      <c r="E910" t="s">
        <v>4</v>
      </c>
      <c r="F910">
        <v>347</v>
      </c>
      <c r="G910">
        <v>270</v>
      </c>
      <c r="H910" t="s">
        <v>13</v>
      </c>
      <c r="I910" t="b">
        <v>0</v>
      </c>
      <c r="J910">
        <f t="shared" si="28"/>
        <v>0</v>
      </c>
      <c r="K910" t="str">
        <f t="shared" si="29"/>
        <v>Neutral</v>
      </c>
    </row>
    <row r="911" spans="1:11" x14ac:dyDescent="0.2">
      <c r="A911" t="s">
        <v>1281</v>
      </c>
      <c r="B911" t="s">
        <v>1282</v>
      </c>
      <c r="C911" t="s">
        <v>1283</v>
      </c>
      <c r="D911" t="s">
        <v>3</v>
      </c>
      <c r="E911" t="s">
        <v>4</v>
      </c>
      <c r="F911">
        <v>3</v>
      </c>
      <c r="G911">
        <v>132</v>
      </c>
      <c r="H911" t="s">
        <v>13</v>
      </c>
      <c r="I911" t="b">
        <v>0</v>
      </c>
      <c r="J911">
        <f t="shared" si="28"/>
        <v>0</v>
      </c>
      <c r="K911" t="str">
        <f t="shared" si="29"/>
        <v>Neutral</v>
      </c>
    </row>
    <row r="912" spans="1:11" x14ac:dyDescent="0.2">
      <c r="A912" t="s">
        <v>960</v>
      </c>
      <c r="B912" t="s">
        <v>961</v>
      </c>
      <c r="C912" t="s">
        <v>962</v>
      </c>
      <c r="D912" t="s">
        <v>3</v>
      </c>
      <c r="E912" t="s">
        <v>4</v>
      </c>
      <c r="F912">
        <v>214</v>
      </c>
      <c r="G912">
        <v>393</v>
      </c>
      <c r="H912" t="s">
        <v>13</v>
      </c>
      <c r="I912" t="b">
        <v>0</v>
      </c>
      <c r="J912">
        <f t="shared" si="28"/>
        <v>10</v>
      </c>
      <c r="K912" t="str">
        <f t="shared" si="29"/>
        <v>Positive</v>
      </c>
    </row>
    <row r="913" spans="1:11" x14ac:dyDescent="0.2">
      <c r="A913" t="s">
        <v>3427</v>
      </c>
      <c r="B913" t="s">
        <v>3428</v>
      </c>
      <c r="C913" t="s">
        <v>3429</v>
      </c>
      <c r="D913" t="s">
        <v>3430</v>
      </c>
      <c r="E913" t="s">
        <v>4</v>
      </c>
      <c r="F913">
        <v>1552</v>
      </c>
      <c r="G913">
        <v>433</v>
      </c>
      <c r="H913" t="s">
        <v>13</v>
      </c>
      <c r="I913" t="b">
        <v>0</v>
      </c>
      <c r="J913">
        <f t="shared" si="28"/>
        <v>10</v>
      </c>
      <c r="K913" t="str">
        <f t="shared" si="29"/>
        <v>Positive</v>
      </c>
    </row>
    <row r="914" spans="1:11" x14ac:dyDescent="0.2">
      <c r="A914" t="s">
        <v>5272</v>
      </c>
      <c r="B914" t="s">
        <v>5273</v>
      </c>
      <c r="C914" t="s">
        <v>293</v>
      </c>
      <c r="D914" t="s">
        <v>3</v>
      </c>
      <c r="E914" t="s">
        <v>4</v>
      </c>
      <c r="F914">
        <v>3634</v>
      </c>
      <c r="G914">
        <v>3732</v>
      </c>
      <c r="H914" t="s">
        <v>13</v>
      </c>
      <c r="I914" t="b">
        <v>0</v>
      </c>
      <c r="J914">
        <f t="shared" si="28"/>
        <v>0</v>
      </c>
      <c r="K914" t="str">
        <f t="shared" si="29"/>
        <v>Neutral</v>
      </c>
    </row>
    <row r="915" spans="1:11" x14ac:dyDescent="0.2">
      <c r="A915" t="s">
        <v>3960</v>
      </c>
      <c r="B915" t="s">
        <v>3961</v>
      </c>
      <c r="C915" t="s">
        <v>595</v>
      </c>
      <c r="D915" t="s">
        <v>599</v>
      </c>
      <c r="E915" t="s">
        <v>4</v>
      </c>
      <c r="F915">
        <v>91</v>
      </c>
      <c r="G915">
        <v>751</v>
      </c>
      <c r="H915" t="s">
        <v>13</v>
      </c>
      <c r="I915" t="b">
        <v>0</v>
      </c>
      <c r="J915">
        <f t="shared" si="28"/>
        <v>0</v>
      </c>
      <c r="K915" t="str">
        <f t="shared" si="29"/>
        <v>Neutral</v>
      </c>
    </row>
    <row r="916" spans="1:11" x14ac:dyDescent="0.2">
      <c r="A916" t="s">
        <v>4530</v>
      </c>
      <c r="B916" t="s">
        <v>4531</v>
      </c>
      <c r="C916" t="s">
        <v>279</v>
      </c>
      <c r="D916" t="s">
        <v>569</v>
      </c>
      <c r="E916" t="s">
        <v>4</v>
      </c>
      <c r="F916">
        <v>299</v>
      </c>
      <c r="G916">
        <v>310</v>
      </c>
      <c r="H916" t="s">
        <v>13</v>
      </c>
      <c r="I916" t="b">
        <v>0</v>
      </c>
      <c r="J916">
        <f t="shared" si="28"/>
        <v>0</v>
      </c>
      <c r="K916" t="str">
        <f t="shared" si="29"/>
        <v>Neutral</v>
      </c>
    </row>
    <row r="917" spans="1:11" x14ac:dyDescent="0.2">
      <c r="A917" t="s">
        <v>4565</v>
      </c>
      <c r="B917" t="s">
        <v>4566</v>
      </c>
      <c r="C917" t="s">
        <v>4567</v>
      </c>
      <c r="D917" t="s">
        <v>3</v>
      </c>
      <c r="E917" t="s">
        <v>4</v>
      </c>
      <c r="F917">
        <v>13</v>
      </c>
      <c r="G917">
        <v>50</v>
      </c>
      <c r="H917" t="s">
        <v>13</v>
      </c>
      <c r="I917" t="b">
        <v>0</v>
      </c>
      <c r="J917">
        <f t="shared" si="28"/>
        <v>10</v>
      </c>
      <c r="K917" t="str">
        <f t="shared" si="29"/>
        <v>Positive</v>
      </c>
    </row>
    <row r="918" spans="1:11" x14ac:dyDescent="0.2">
      <c r="A918" t="s">
        <v>1718</v>
      </c>
      <c r="B918" t="s">
        <v>1719</v>
      </c>
      <c r="C918" t="s">
        <v>1720</v>
      </c>
      <c r="D918" t="s">
        <v>1721</v>
      </c>
      <c r="E918" t="s">
        <v>4</v>
      </c>
      <c r="F918">
        <v>202</v>
      </c>
      <c r="G918">
        <v>424</v>
      </c>
      <c r="H918" t="s">
        <v>13</v>
      </c>
      <c r="I918" t="b">
        <v>0</v>
      </c>
      <c r="J918">
        <f t="shared" si="28"/>
        <v>10</v>
      </c>
      <c r="K918" t="str">
        <f t="shared" si="29"/>
        <v>Positive</v>
      </c>
    </row>
    <row r="919" spans="1:11" x14ac:dyDescent="0.2">
      <c r="A919" t="s">
        <v>735</v>
      </c>
      <c r="B919" t="s">
        <v>736</v>
      </c>
      <c r="C919" t="s">
        <v>737</v>
      </c>
      <c r="D919" t="s">
        <v>3</v>
      </c>
      <c r="E919" t="s">
        <v>4</v>
      </c>
      <c r="F919">
        <v>46</v>
      </c>
      <c r="G919">
        <v>96</v>
      </c>
      <c r="H919" t="s">
        <v>13</v>
      </c>
      <c r="I919" t="b">
        <v>0</v>
      </c>
      <c r="J919">
        <f t="shared" si="28"/>
        <v>0</v>
      </c>
      <c r="K919" t="str">
        <f t="shared" si="29"/>
        <v>Neutral</v>
      </c>
    </row>
    <row r="920" spans="1:11" x14ac:dyDescent="0.2">
      <c r="A920" t="s">
        <v>926</v>
      </c>
      <c r="B920" t="s">
        <v>927</v>
      </c>
      <c r="C920" t="s">
        <v>558</v>
      </c>
      <c r="D920" t="s">
        <v>928</v>
      </c>
      <c r="E920" t="s">
        <v>4</v>
      </c>
      <c r="F920">
        <v>4140</v>
      </c>
      <c r="G920">
        <v>2233</v>
      </c>
      <c r="H920" t="s">
        <v>86</v>
      </c>
      <c r="I920" t="b">
        <v>0</v>
      </c>
      <c r="J920">
        <f t="shared" si="28"/>
        <v>0</v>
      </c>
      <c r="K920" t="str">
        <f t="shared" si="29"/>
        <v>Neutral</v>
      </c>
    </row>
    <row r="921" spans="1:11" x14ac:dyDescent="0.2">
      <c r="A921" t="s">
        <v>1760</v>
      </c>
      <c r="B921" t="s">
        <v>1761</v>
      </c>
      <c r="C921" t="s">
        <v>60</v>
      </c>
      <c r="D921" t="s">
        <v>3</v>
      </c>
      <c r="E921" t="s">
        <v>4</v>
      </c>
      <c r="F921">
        <v>77</v>
      </c>
      <c r="G921">
        <v>115</v>
      </c>
      <c r="H921" t="s">
        <v>13</v>
      </c>
      <c r="I921" t="b">
        <v>0</v>
      </c>
      <c r="J921">
        <f t="shared" si="28"/>
        <v>-10</v>
      </c>
      <c r="K921" t="str">
        <f t="shared" si="29"/>
        <v>Negative</v>
      </c>
    </row>
    <row r="922" spans="1:11" x14ac:dyDescent="0.2">
      <c r="A922" t="s">
        <v>1421</v>
      </c>
      <c r="B922" t="s">
        <v>1422</v>
      </c>
      <c r="C922" t="s">
        <v>1423</v>
      </c>
      <c r="D922" t="s">
        <v>3</v>
      </c>
      <c r="E922" t="s">
        <v>4</v>
      </c>
      <c r="F922">
        <v>21</v>
      </c>
      <c r="G922">
        <v>101</v>
      </c>
      <c r="H922" t="s">
        <v>13</v>
      </c>
      <c r="I922" t="b">
        <v>0</v>
      </c>
      <c r="J922">
        <f t="shared" si="28"/>
        <v>0</v>
      </c>
      <c r="K922" t="str">
        <f t="shared" si="29"/>
        <v>Neutral</v>
      </c>
    </row>
    <row r="923" spans="1:11" x14ac:dyDescent="0.2">
      <c r="A923" t="s">
        <v>4784</v>
      </c>
      <c r="B923" t="s">
        <v>4785</v>
      </c>
      <c r="C923" t="s">
        <v>513</v>
      </c>
      <c r="D923" t="s">
        <v>4513</v>
      </c>
      <c r="E923" t="s">
        <v>4</v>
      </c>
      <c r="F923">
        <v>129</v>
      </c>
      <c r="G923">
        <v>603</v>
      </c>
      <c r="H923" t="s">
        <v>13</v>
      </c>
      <c r="I923" t="b">
        <v>0</v>
      </c>
      <c r="J923">
        <f t="shared" si="28"/>
        <v>0</v>
      </c>
      <c r="K923" t="str">
        <f t="shared" si="29"/>
        <v>Neutral</v>
      </c>
    </row>
    <row r="924" spans="1:11" x14ac:dyDescent="0.2">
      <c r="A924" t="s">
        <v>4648</v>
      </c>
      <c r="B924" t="s">
        <v>4649</v>
      </c>
      <c r="C924" t="s">
        <v>4650</v>
      </c>
      <c r="D924" t="s">
        <v>4651</v>
      </c>
      <c r="E924" t="s">
        <v>4</v>
      </c>
      <c r="F924">
        <v>1607</v>
      </c>
      <c r="G924">
        <v>1364</v>
      </c>
      <c r="H924" t="s">
        <v>13</v>
      </c>
      <c r="I924" t="b">
        <v>0</v>
      </c>
      <c r="J924">
        <f t="shared" si="28"/>
        <v>10</v>
      </c>
      <c r="K924" t="str">
        <f t="shared" si="29"/>
        <v>Positive</v>
      </c>
    </row>
    <row r="925" spans="1:11" x14ac:dyDescent="0.2">
      <c r="A925" t="s">
        <v>1144</v>
      </c>
      <c r="B925" t="s">
        <v>1145</v>
      </c>
      <c r="C925" t="s">
        <v>1142</v>
      </c>
      <c r="D925" t="s">
        <v>1143</v>
      </c>
      <c r="E925" t="s">
        <v>4</v>
      </c>
      <c r="F925">
        <v>4774</v>
      </c>
      <c r="G925">
        <v>1095</v>
      </c>
      <c r="H925" t="s">
        <v>13</v>
      </c>
      <c r="I925" t="b">
        <v>0</v>
      </c>
      <c r="J925">
        <f t="shared" si="28"/>
        <v>10</v>
      </c>
      <c r="K925" t="str">
        <f t="shared" si="29"/>
        <v>Positive</v>
      </c>
    </row>
    <row r="926" spans="1:11" x14ac:dyDescent="0.2">
      <c r="A926" t="s">
        <v>1064</v>
      </c>
      <c r="B926" t="s">
        <v>1065</v>
      </c>
      <c r="C926" t="s">
        <v>764</v>
      </c>
      <c r="D926" t="s">
        <v>1066</v>
      </c>
      <c r="E926" t="s">
        <v>4</v>
      </c>
      <c r="F926">
        <v>4493</v>
      </c>
      <c r="G926">
        <v>4254</v>
      </c>
      <c r="H926" t="s">
        <v>13</v>
      </c>
      <c r="I926" t="b">
        <v>0</v>
      </c>
      <c r="J926">
        <f t="shared" si="28"/>
        <v>0</v>
      </c>
      <c r="K926" t="str">
        <f t="shared" si="29"/>
        <v>Neutral</v>
      </c>
    </row>
    <row r="927" spans="1:11" x14ac:dyDescent="0.2">
      <c r="A927" t="s">
        <v>3417</v>
      </c>
      <c r="B927" t="s">
        <v>3418</v>
      </c>
      <c r="C927" t="s">
        <v>2871</v>
      </c>
      <c r="D927" t="s">
        <v>3</v>
      </c>
      <c r="E927" t="s">
        <v>4</v>
      </c>
      <c r="F927">
        <v>15</v>
      </c>
      <c r="G927">
        <v>368</v>
      </c>
      <c r="H927" t="s">
        <v>13</v>
      </c>
      <c r="I927" t="b">
        <v>0</v>
      </c>
      <c r="J927">
        <f t="shared" si="28"/>
        <v>0</v>
      </c>
      <c r="K927" t="str">
        <f t="shared" si="29"/>
        <v>Neutral</v>
      </c>
    </row>
    <row r="928" spans="1:11" x14ac:dyDescent="0.2">
      <c r="A928" t="s">
        <v>3791</v>
      </c>
      <c r="B928" t="s">
        <v>3792</v>
      </c>
      <c r="C928" t="s">
        <v>1587</v>
      </c>
      <c r="D928" t="s">
        <v>242</v>
      </c>
      <c r="E928" t="s">
        <v>4</v>
      </c>
      <c r="F928">
        <v>95</v>
      </c>
      <c r="G928">
        <v>68</v>
      </c>
      <c r="H928" t="s">
        <v>13</v>
      </c>
      <c r="I928" t="b">
        <v>0</v>
      </c>
      <c r="J928">
        <f t="shared" si="28"/>
        <v>0</v>
      </c>
      <c r="K928" t="str">
        <f t="shared" si="29"/>
        <v>Neutral</v>
      </c>
    </row>
    <row r="929" spans="1:11" x14ac:dyDescent="0.2">
      <c r="A929" t="s">
        <v>2377</v>
      </c>
      <c r="B929" t="s">
        <v>2378</v>
      </c>
      <c r="C929" t="s">
        <v>2379</v>
      </c>
      <c r="D929" t="s">
        <v>3</v>
      </c>
      <c r="E929" t="s">
        <v>4</v>
      </c>
      <c r="F929">
        <v>33252</v>
      </c>
      <c r="G929">
        <v>505</v>
      </c>
      <c r="H929" t="s">
        <v>13</v>
      </c>
      <c r="I929" t="b">
        <v>0</v>
      </c>
      <c r="J929">
        <f t="shared" si="28"/>
        <v>10</v>
      </c>
      <c r="K929" t="str">
        <f t="shared" si="29"/>
        <v>Positive</v>
      </c>
    </row>
    <row r="930" spans="1:11" x14ac:dyDescent="0.2">
      <c r="A930" t="s">
        <v>6039</v>
      </c>
      <c r="B930" t="s">
        <v>6040</v>
      </c>
      <c r="C930" t="s">
        <v>2490</v>
      </c>
      <c r="D930" t="s">
        <v>6041</v>
      </c>
      <c r="E930" t="s">
        <v>4</v>
      </c>
      <c r="F930">
        <v>149</v>
      </c>
      <c r="G930">
        <v>162</v>
      </c>
      <c r="H930" t="s">
        <v>13</v>
      </c>
      <c r="I930" t="b">
        <v>0</v>
      </c>
      <c r="J930">
        <f t="shared" si="28"/>
        <v>0</v>
      </c>
      <c r="K930" t="str">
        <f t="shared" si="29"/>
        <v>Neutral</v>
      </c>
    </row>
    <row r="931" spans="1:11" x14ac:dyDescent="0.2">
      <c r="A931" t="s">
        <v>6232</v>
      </c>
      <c r="B931" t="s">
        <v>6233</v>
      </c>
      <c r="C931" t="s">
        <v>185</v>
      </c>
      <c r="D931" t="s">
        <v>6234</v>
      </c>
      <c r="E931" t="s">
        <v>4</v>
      </c>
      <c r="F931">
        <v>15</v>
      </c>
      <c r="G931">
        <v>109</v>
      </c>
      <c r="H931" t="s">
        <v>13</v>
      </c>
      <c r="I931" t="b">
        <v>0</v>
      </c>
      <c r="J931">
        <f t="shared" si="28"/>
        <v>0</v>
      </c>
      <c r="K931" t="str">
        <f t="shared" si="29"/>
        <v>Neutral</v>
      </c>
    </row>
    <row r="932" spans="1:11" x14ac:dyDescent="0.2">
      <c r="A932" t="s">
        <v>6584</v>
      </c>
      <c r="B932" t="s">
        <v>6585</v>
      </c>
      <c r="C932" t="s">
        <v>4061</v>
      </c>
      <c r="D932" t="s">
        <v>326</v>
      </c>
      <c r="E932" t="s">
        <v>4</v>
      </c>
      <c r="F932">
        <v>27</v>
      </c>
      <c r="G932">
        <v>54</v>
      </c>
      <c r="H932" t="s">
        <v>13</v>
      </c>
      <c r="I932" t="b">
        <v>0</v>
      </c>
      <c r="J932">
        <f t="shared" si="28"/>
        <v>10</v>
      </c>
      <c r="K932" t="str">
        <f t="shared" si="29"/>
        <v>Positive</v>
      </c>
    </row>
    <row r="933" spans="1:11" x14ac:dyDescent="0.2">
      <c r="A933" t="s">
        <v>2261</v>
      </c>
      <c r="B933" t="s">
        <v>2262</v>
      </c>
      <c r="C933" t="s">
        <v>2263</v>
      </c>
      <c r="D933" t="s">
        <v>64</v>
      </c>
      <c r="E933" t="s">
        <v>4</v>
      </c>
      <c r="F933">
        <v>16</v>
      </c>
      <c r="G933">
        <v>64</v>
      </c>
      <c r="H933" t="s">
        <v>13</v>
      </c>
      <c r="I933" t="b">
        <v>0</v>
      </c>
      <c r="J933">
        <f t="shared" si="28"/>
        <v>0</v>
      </c>
      <c r="K933" t="str">
        <f t="shared" si="29"/>
        <v>Neutral</v>
      </c>
    </row>
    <row r="934" spans="1:11" x14ac:dyDescent="0.2">
      <c r="A934" t="s">
        <v>317</v>
      </c>
      <c r="B934" t="s">
        <v>318</v>
      </c>
      <c r="C934" t="s">
        <v>319</v>
      </c>
      <c r="D934" t="s">
        <v>320</v>
      </c>
      <c r="E934" t="s">
        <v>4</v>
      </c>
      <c r="F934">
        <v>720</v>
      </c>
      <c r="G934">
        <v>1404</v>
      </c>
      <c r="H934" t="s">
        <v>13</v>
      </c>
      <c r="I934" t="b">
        <v>0</v>
      </c>
      <c r="J934">
        <f t="shared" si="28"/>
        <v>10</v>
      </c>
      <c r="K934" t="str">
        <f t="shared" si="29"/>
        <v>Positive</v>
      </c>
    </row>
    <row r="935" spans="1:11" x14ac:dyDescent="0.2">
      <c r="A935" t="s">
        <v>6282</v>
      </c>
      <c r="B935" t="s">
        <v>6283</v>
      </c>
      <c r="C935" t="s">
        <v>5891</v>
      </c>
      <c r="D935" t="s">
        <v>6284</v>
      </c>
      <c r="E935" t="s">
        <v>4</v>
      </c>
      <c r="F935">
        <v>48</v>
      </c>
      <c r="G935">
        <v>99</v>
      </c>
      <c r="H935" t="s">
        <v>13</v>
      </c>
      <c r="I935" t="b">
        <v>0</v>
      </c>
      <c r="J935">
        <f t="shared" si="28"/>
        <v>0</v>
      </c>
      <c r="K935" t="str">
        <f t="shared" si="29"/>
        <v>Neutral</v>
      </c>
    </row>
    <row r="936" spans="1:11" x14ac:dyDescent="0.2">
      <c r="A936" t="s">
        <v>6192</v>
      </c>
      <c r="B936" t="s">
        <v>6193</v>
      </c>
      <c r="C936" t="s">
        <v>5220</v>
      </c>
      <c r="D936" t="s">
        <v>3</v>
      </c>
      <c r="E936" t="s">
        <v>4</v>
      </c>
      <c r="F936">
        <v>3</v>
      </c>
      <c r="G936">
        <v>5</v>
      </c>
      <c r="H936" t="s">
        <v>13</v>
      </c>
      <c r="I936" t="b">
        <v>0</v>
      </c>
      <c r="J936">
        <f t="shared" si="28"/>
        <v>0</v>
      </c>
      <c r="K936" t="str">
        <f t="shared" si="29"/>
        <v>Neutral</v>
      </c>
    </row>
    <row r="937" spans="1:11" x14ac:dyDescent="0.2">
      <c r="A937" t="s">
        <v>5434</v>
      </c>
      <c r="B937" t="s">
        <v>5435</v>
      </c>
      <c r="C937" t="s">
        <v>4609</v>
      </c>
      <c r="D937" t="s">
        <v>403</v>
      </c>
      <c r="E937" t="s">
        <v>4</v>
      </c>
      <c r="F937">
        <v>35815</v>
      </c>
      <c r="G937">
        <v>1551</v>
      </c>
      <c r="H937" t="s">
        <v>13</v>
      </c>
      <c r="I937" t="b">
        <v>0</v>
      </c>
      <c r="J937">
        <f t="shared" si="28"/>
        <v>10</v>
      </c>
      <c r="K937" t="str">
        <f t="shared" si="29"/>
        <v>Positive</v>
      </c>
    </row>
    <row r="938" spans="1:11" x14ac:dyDescent="0.2">
      <c r="A938" t="s">
        <v>2875</v>
      </c>
      <c r="B938" t="s">
        <v>2876</v>
      </c>
      <c r="C938" t="s">
        <v>1423</v>
      </c>
      <c r="D938" t="s">
        <v>2877</v>
      </c>
      <c r="E938" t="s">
        <v>4</v>
      </c>
      <c r="F938">
        <v>2264</v>
      </c>
      <c r="G938">
        <v>2351</v>
      </c>
      <c r="H938" t="s">
        <v>13</v>
      </c>
      <c r="I938" t="b">
        <v>0</v>
      </c>
      <c r="J938">
        <f t="shared" si="28"/>
        <v>0</v>
      </c>
      <c r="K938" t="str">
        <f t="shared" si="29"/>
        <v>Neutral</v>
      </c>
    </row>
    <row r="939" spans="1:11" x14ac:dyDescent="0.2">
      <c r="A939" t="s">
        <v>397</v>
      </c>
      <c r="B939" t="s">
        <v>398</v>
      </c>
      <c r="C939" t="s">
        <v>399</v>
      </c>
      <c r="D939" t="s">
        <v>3</v>
      </c>
      <c r="E939" t="s">
        <v>4</v>
      </c>
      <c r="F939">
        <v>9</v>
      </c>
      <c r="G939">
        <v>85</v>
      </c>
      <c r="H939" t="s">
        <v>13</v>
      </c>
      <c r="I939" t="b">
        <v>0</v>
      </c>
      <c r="J939">
        <f t="shared" si="28"/>
        <v>0</v>
      </c>
      <c r="K939" t="str">
        <f t="shared" si="29"/>
        <v>Neutral</v>
      </c>
    </row>
    <row r="940" spans="1:11" x14ac:dyDescent="0.2">
      <c r="A940" t="s">
        <v>3482</v>
      </c>
      <c r="B940" t="s">
        <v>3483</v>
      </c>
      <c r="C940" t="s">
        <v>3484</v>
      </c>
      <c r="D940" t="s">
        <v>3485</v>
      </c>
      <c r="E940" t="s">
        <v>4</v>
      </c>
      <c r="F940">
        <v>3326</v>
      </c>
      <c r="G940">
        <v>1973</v>
      </c>
      <c r="H940" t="s">
        <v>13</v>
      </c>
      <c r="I940" t="b">
        <v>0</v>
      </c>
      <c r="J940">
        <f t="shared" si="28"/>
        <v>0</v>
      </c>
      <c r="K940" t="str">
        <f t="shared" si="29"/>
        <v>Neutral</v>
      </c>
    </row>
    <row r="941" spans="1:11" x14ac:dyDescent="0.2">
      <c r="A941" t="s">
        <v>3200</v>
      </c>
      <c r="B941" t="s">
        <v>3201</v>
      </c>
      <c r="C941" t="s">
        <v>1324</v>
      </c>
      <c r="D941" t="s">
        <v>3</v>
      </c>
      <c r="E941" t="s">
        <v>4</v>
      </c>
      <c r="F941">
        <v>23</v>
      </c>
      <c r="G941">
        <v>253</v>
      </c>
      <c r="H941" t="s">
        <v>13</v>
      </c>
      <c r="I941" t="b">
        <v>0</v>
      </c>
      <c r="J941">
        <f t="shared" si="28"/>
        <v>0</v>
      </c>
      <c r="K941" t="str">
        <f t="shared" si="29"/>
        <v>Neutral</v>
      </c>
    </row>
    <row r="942" spans="1:11" x14ac:dyDescent="0.2">
      <c r="A942" t="s">
        <v>2018</v>
      </c>
      <c r="B942" t="s">
        <v>2019</v>
      </c>
      <c r="C942" t="s">
        <v>2020</v>
      </c>
      <c r="D942" t="s">
        <v>3</v>
      </c>
      <c r="E942" t="s">
        <v>4</v>
      </c>
      <c r="F942">
        <v>48</v>
      </c>
      <c r="G942">
        <v>246</v>
      </c>
      <c r="H942" t="s">
        <v>13</v>
      </c>
      <c r="I942" t="b">
        <v>0</v>
      </c>
      <c r="J942">
        <f t="shared" si="28"/>
        <v>0</v>
      </c>
      <c r="K942" t="str">
        <f t="shared" si="29"/>
        <v>Neutral</v>
      </c>
    </row>
    <row r="943" spans="1:11" x14ac:dyDescent="0.2">
      <c r="A943" t="s">
        <v>1979</v>
      </c>
      <c r="B943" t="s">
        <v>1980</v>
      </c>
      <c r="C943" t="s">
        <v>1981</v>
      </c>
      <c r="D943" t="s">
        <v>1982</v>
      </c>
      <c r="E943" t="s">
        <v>4</v>
      </c>
      <c r="F943">
        <v>85</v>
      </c>
      <c r="G943">
        <v>229</v>
      </c>
      <c r="H943" t="s">
        <v>645</v>
      </c>
      <c r="I943" t="b">
        <v>0</v>
      </c>
      <c r="J943">
        <f t="shared" si="28"/>
        <v>0</v>
      </c>
      <c r="K943" t="str">
        <f t="shared" si="29"/>
        <v>Neutral</v>
      </c>
    </row>
    <row r="944" spans="1:11" x14ac:dyDescent="0.2">
      <c r="A944" t="s">
        <v>6966</v>
      </c>
      <c r="B944" t="s">
        <v>6968</v>
      </c>
      <c r="C944" t="s">
        <v>4187</v>
      </c>
      <c r="D944" t="s">
        <v>98</v>
      </c>
      <c r="E944" t="s">
        <v>4</v>
      </c>
      <c r="F944">
        <v>40</v>
      </c>
      <c r="G944">
        <v>136</v>
      </c>
      <c r="H944" t="s">
        <v>13</v>
      </c>
      <c r="I944" t="b">
        <v>0</v>
      </c>
      <c r="J944">
        <f t="shared" si="28"/>
        <v>0</v>
      </c>
      <c r="K944" t="str">
        <f t="shared" si="29"/>
        <v>Neutral</v>
      </c>
    </row>
    <row r="945" spans="1:11" x14ac:dyDescent="0.2">
      <c r="A945" t="s">
        <v>2077</v>
      </c>
      <c r="B945" t="s">
        <v>2078</v>
      </c>
      <c r="C945" t="s">
        <v>2079</v>
      </c>
      <c r="D945" t="s">
        <v>2080</v>
      </c>
      <c r="E945" t="s">
        <v>4</v>
      </c>
      <c r="F945">
        <v>207</v>
      </c>
      <c r="G945">
        <v>322</v>
      </c>
      <c r="H945" t="s">
        <v>50</v>
      </c>
      <c r="I945" t="b">
        <v>0</v>
      </c>
      <c r="J945">
        <f t="shared" si="28"/>
        <v>0</v>
      </c>
      <c r="K945" t="str">
        <f t="shared" si="29"/>
        <v>Neutral</v>
      </c>
    </row>
    <row r="946" spans="1:11" x14ac:dyDescent="0.2">
      <c r="A946" t="s">
        <v>3469</v>
      </c>
      <c r="B946" t="s">
        <v>3470</v>
      </c>
      <c r="C946" t="s">
        <v>824</v>
      </c>
      <c r="D946" t="s">
        <v>3471</v>
      </c>
      <c r="E946" t="s">
        <v>4</v>
      </c>
      <c r="F946">
        <v>579</v>
      </c>
      <c r="G946">
        <v>92</v>
      </c>
      <c r="H946" t="s">
        <v>13</v>
      </c>
      <c r="I946" t="b">
        <v>0</v>
      </c>
      <c r="J946">
        <f t="shared" si="28"/>
        <v>0</v>
      </c>
      <c r="K946" t="str">
        <f t="shared" si="29"/>
        <v>Neutral</v>
      </c>
    </row>
    <row r="947" spans="1:11" x14ac:dyDescent="0.2">
      <c r="A947" t="s">
        <v>1355</v>
      </c>
      <c r="B947" t="s">
        <v>1356</v>
      </c>
      <c r="C947" t="s">
        <v>97</v>
      </c>
      <c r="D947" t="s">
        <v>3</v>
      </c>
      <c r="E947" t="s">
        <v>4</v>
      </c>
      <c r="F947">
        <v>12</v>
      </c>
      <c r="G947">
        <v>6</v>
      </c>
      <c r="H947" t="s">
        <v>13</v>
      </c>
      <c r="I947" t="b">
        <v>0</v>
      </c>
      <c r="J947">
        <f t="shared" si="28"/>
        <v>0</v>
      </c>
      <c r="K947" t="str">
        <f t="shared" si="29"/>
        <v>Neutral</v>
      </c>
    </row>
    <row r="948" spans="1:11" x14ac:dyDescent="0.2">
      <c r="A948" t="s">
        <v>243</v>
      </c>
      <c r="B948" t="s">
        <v>244</v>
      </c>
      <c r="C948" t="s">
        <v>245</v>
      </c>
      <c r="D948" t="s">
        <v>3</v>
      </c>
      <c r="E948" t="s">
        <v>4</v>
      </c>
      <c r="F948">
        <v>2788</v>
      </c>
      <c r="G948">
        <v>760</v>
      </c>
      <c r="H948" t="s">
        <v>13</v>
      </c>
      <c r="I948" t="b">
        <v>0</v>
      </c>
      <c r="J948">
        <f t="shared" si="28"/>
        <v>0</v>
      </c>
      <c r="K948" t="str">
        <f t="shared" si="29"/>
        <v>Neutral</v>
      </c>
    </row>
    <row r="949" spans="1:11" x14ac:dyDescent="0.2">
      <c r="A949" t="s">
        <v>4848</v>
      </c>
      <c r="B949" t="s">
        <v>4849</v>
      </c>
      <c r="C949" t="s">
        <v>662</v>
      </c>
      <c r="D949" t="s">
        <v>4850</v>
      </c>
      <c r="E949" t="s">
        <v>4</v>
      </c>
      <c r="F949">
        <v>768</v>
      </c>
      <c r="G949">
        <v>499</v>
      </c>
      <c r="H949" t="s">
        <v>13</v>
      </c>
      <c r="I949" t="b">
        <v>0</v>
      </c>
      <c r="J949">
        <f t="shared" si="28"/>
        <v>10</v>
      </c>
      <c r="K949" t="str">
        <f t="shared" si="29"/>
        <v>Positive</v>
      </c>
    </row>
    <row r="950" spans="1:11" x14ac:dyDescent="0.2">
      <c r="A950" t="s">
        <v>2961</v>
      </c>
      <c r="B950" t="s">
        <v>2962</v>
      </c>
      <c r="C950" t="s">
        <v>2028</v>
      </c>
      <c r="D950" t="s">
        <v>2771</v>
      </c>
      <c r="E950" t="s">
        <v>4</v>
      </c>
      <c r="F950">
        <v>1323</v>
      </c>
      <c r="G950">
        <v>1009</v>
      </c>
      <c r="H950" t="s">
        <v>13</v>
      </c>
      <c r="I950" t="b">
        <v>0</v>
      </c>
      <c r="J950">
        <f t="shared" si="28"/>
        <v>-10</v>
      </c>
      <c r="K950" t="str">
        <f t="shared" si="29"/>
        <v>Negative</v>
      </c>
    </row>
    <row r="951" spans="1:11" x14ac:dyDescent="0.2">
      <c r="A951" t="s">
        <v>677</v>
      </c>
      <c r="B951" t="s">
        <v>678</v>
      </c>
      <c r="C951" t="s">
        <v>679</v>
      </c>
      <c r="D951" t="s">
        <v>680</v>
      </c>
      <c r="E951" t="s">
        <v>4</v>
      </c>
      <c r="F951">
        <v>51</v>
      </c>
      <c r="G951">
        <v>152</v>
      </c>
      <c r="H951" t="s">
        <v>13</v>
      </c>
      <c r="I951" t="b">
        <v>0</v>
      </c>
      <c r="J951">
        <f t="shared" si="28"/>
        <v>0</v>
      </c>
      <c r="K951" t="str">
        <f t="shared" si="29"/>
        <v>Neutral</v>
      </c>
    </row>
    <row r="952" spans="1:11" x14ac:dyDescent="0.2">
      <c r="A952" t="s">
        <v>6798</v>
      </c>
      <c r="B952" t="s">
        <v>6799</v>
      </c>
      <c r="C952" t="s">
        <v>301</v>
      </c>
      <c r="D952" t="s">
        <v>302</v>
      </c>
      <c r="E952" t="s">
        <v>4</v>
      </c>
      <c r="F952">
        <v>51</v>
      </c>
      <c r="G952">
        <v>62</v>
      </c>
      <c r="H952" t="s">
        <v>13</v>
      </c>
      <c r="I952" t="b">
        <v>0</v>
      </c>
      <c r="J952">
        <f t="shared" si="28"/>
        <v>0</v>
      </c>
      <c r="K952" t="str">
        <f t="shared" si="29"/>
        <v>Neutral</v>
      </c>
    </row>
    <row r="953" spans="1:11" x14ac:dyDescent="0.2">
      <c r="A953" t="s">
        <v>4500</v>
      </c>
      <c r="B953" t="s">
        <v>4501</v>
      </c>
      <c r="C953" t="s">
        <v>2738</v>
      </c>
      <c r="D953" t="s">
        <v>4502</v>
      </c>
      <c r="E953" t="s">
        <v>4</v>
      </c>
      <c r="F953">
        <v>473</v>
      </c>
      <c r="G953">
        <v>270</v>
      </c>
      <c r="H953" t="s">
        <v>13</v>
      </c>
      <c r="I953" t="b">
        <v>0</v>
      </c>
      <c r="J953">
        <f t="shared" si="28"/>
        <v>0</v>
      </c>
      <c r="K953" t="str">
        <f t="shared" si="29"/>
        <v>Neutral</v>
      </c>
    </row>
    <row r="954" spans="1:11" x14ac:dyDescent="0.2">
      <c r="A954" t="s">
        <v>1704</v>
      </c>
      <c r="B954" t="s">
        <v>1705</v>
      </c>
      <c r="C954" t="s">
        <v>1706</v>
      </c>
      <c r="D954" t="s">
        <v>1255</v>
      </c>
      <c r="E954" t="s">
        <v>4</v>
      </c>
      <c r="F954">
        <v>0</v>
      </c>
      <c r="G954">
        <v>12</v>
      </c>
      <c r="H954" t="s">
        <v>13</v>
      </c>
      <c r="I954" t="b">
        <v>0</v>
      </c>
      <c r="J954">
        <f t="shared" si="28"/>
        <v>10</v>
      </c>
      <c r="K954" t="str">
        <f t="shared" si="29"/>
        <v>Positive</v>
      </c>
    </row>
    <row r="955" spans="1:11" x14ac:dyDescent="0.2">
      <c r="A955" t="s">
        <v>4623</v>
      </c>
      <c r="B955" t="s">
        <v>4624</v>
      </c>
      <c r="C955" t="s">
        <v>2665</v>
      </c>
      <c r="D955" t="s">
        <v>2666</v>
      </c>
      <c r="E955" t="s">
        <v>4</v>
      </c>
      <c r="F955">
        <v>7</v>
      </c>
      <c r="G955">
        <v>285</v>
      </c>
      <c r="H955" t="s">
        <v>13</v>
      </c>
      <c r="I955" t="b">
        <v>0</v>
      </c>
      <c r="J955">
        <f t="shared" si="28"/>
        <v>10</v>
      </c>
      <c r="K955" t="str">
        <f t="shared" si="29"/>
        <v>Positive</v>
      </c>
    </row>
    <row r="956" spans="1:11" x14ac:dyDescent="0.2">
      <c r="A956" t="s">
        <v>4670</v>
      </c>
      <c r="B956" t="s">
        <v>4671</v>
      </c>
      <c r="C956" t="s">
        <v>3011</v>
      </c>
      <c r="D956" t="s">
        <v>4672</v>
      </c>
      <c r="E956" t="s">
        <v>4</v>
      </c>
      <c r="F956">
        <v>1227</v>
      </c>
      <c r="G956">
        <v>751</v>
      </c>
      <c r="H956" t="s">
        <v>13</v>
      </c>
      <c r="I956" t="b">
        <v>0</v>
      </c>
      <c r="J956">
        <f t="shared" si="28"/>
        <v>0</v>
      </c>
      <c r="K956" t="str">
        <f t="shared" si="29"/>
        <v>Neutral</v>
      </c>
    </row>
    <row r="957" spans="1:11" x14ac:dyDescent="0.2">
      <c r="A957" t="s">
        <v>2609</v>
      </c>
      <c r="B957" t="s">
        <v>2610</v>
      </c>
      <c r="C957" t="s">
        <v>2611</v>
      </c>
      <c r="D957" t="s">
        <v>3</v>
      </c>
      <c r="E957" t="s">
        <v>4</v>
      </c>
      <c r="F957">
        <v>9646</v>
      </c>
      <c r="G957">
        <v>45</v>
      </c>
      <c r="H957" t="s">
        <v>13</v>
      </c>
      <c r="I957" t="b">
        <v>0</v>
      </c>
      <c r="J957">
        <f t="shared" si="28"/>
        <v>0</v>
      </c>
      <c r="K957" t="str">
        <f t="shared" si="29"/>
        <v>Neutral</v>
      </c>
    </row>
    <row r="958" spans="1:11" x14ac:dyDescent="0.2">
      <c r="A958" t="s">
        <v>4591</v>
      </c>
      <c r="B958" t="s">
        <v>4592</v>
      </c>
      <c r="C958" t="s">
        <v>4593</v>
      </c>
      <c r="D958" t="s">
        <v>4594</v>
      </c>
      <c r="E958" t="s">
        <v>4</v>
      </c>
      <c r="F958">
        <v>94</v>
      </c>
      <c r="G958">
        <v>54</v>
      </c>
      <c r="H958" t="s">
        <v>13</v>
      </c>
      <c r="I958" t="b">
        <v>0</v>
      </c>
      <c r="J958">
        <f t="shared" si="28"/>
        <v>0</v>
      </c>
      <c r="K958" t="str">
        <f t="shared" si="29"/>
        <v>Neutral</v>
      </c>
    </row>
    <row r="959" spans="1:11" x14ac:dyDescent="0.2">
      <c r="A959" t="s">
        <v>1467</v>
      </c>
      <c r="B959" t="s">
        <v>1468</v>
      </c>
      <c r="C959" t="s">
        <v>1469</v>
      </c>
      <c r="D959" t="s">
        <v>3</v>
      </c>
      <c r="E959" t="s">
        <v>4</v>
      </c>
      <c r="F959">
        <v>53</v>
      </c>
      <c r="G959">
        <v>375</v>
      </c>
      <c r="H959" t="s">
        <v>13</v>
      </c>
      <c r="I959" t="b">
        <v>0</v>
      </c>
      <c r="J959">
        <f t="shared" si="28"/>
        <v>0</v>
      </c>
      <c r="K959" t="str">
        <f t="shared" si="29"/>
        <v>Neutral</v>
      </c>
    </row>
    <row r="960" spans="1:11" x14ac:dyDescent="0.2">
      <c r="A960" t="s">
        <v>3446</v>
      </c>
      <c r="B960" t="s">
        <v>3447</v>
      </c>
      <c r="C960" t="s">
        <v>3448</v>
      </c>
      <c r="D960" t="s">
        <v>3449</v>
      </c>
      <c r="E960" t="s">
        <v>4</v>
      </c>
      <c r="F960">
        <v>84</v>
      </c>
      <c r="G960">
        <v>316</v>
      </c>
      <c r="H960" t="s">
        <v>13</v>
      </c>
      <c r="I960" t="b">
        <v>0</v>
      </c>
      <c r="J960">
        <f t="shared" si="28"/>
        <v>-10</v>
      </c>
      <c r="K960" t="str">
        <f t="shared" si="29"/>
        <v>Negative</v>
      </c>
    </row>
    <row r="961" spans="1:11" x14ac:dyDescent="0.2">
      <c r="A961" t="s">
        <v>6499</v>
      </c>
      <c r="B961" t="s">
        <v>6500</v>
      </c>
      <c r="C961" t="s">
        <v>6501</v>
      </c>
      <c r="D961" t="s">
        <v>3</v>
      </c>
      <c r="E961" t="s">
        <v>4</v>
      </c>
      <c r="F961">
        <v>35</v>
      </c>
      <c r="G961">
        <v>52</v>
      </c>
      <c r="H961" t="s">
        <v>13</v>
      </c>
      <c r="I961" t="b">
        <v>0</v>
      </c>
      <c r="J961">
        <f t="shared" si="28"/>
        <v>10</v>
      </c>
      <c r="K961" t="str">
        <f t="shared" si="29"/>
        <v>Positive</v>
      </c>
    </row>
    <row r="962" spans="1:11" x14ac:dyDescent="0.2">
      <c r="A962" t="s">
        <v>7204</v>
      </c>
      <c r="B962" t="s">
        <v>7205</v>
      </c>
      <c r="C962" t="s">
        <v>4617</v>
      </c>
      <c r="D962" t="s">
        <v>3</v>
      </c>
      <c r="E962" t="s">
        <v>4</v>
      </c>
      <c r="F962">
        <v>171</v>
      </c>
      <c r="G962">
        <v>351</v>
      </c>
      <c r="H962" t="s">
        <v>13</v>
      </c>
      <c r="I962" t="b">
        <v>0</v>
      </c>
      <c r="J962">
        <f t="shared" si="28"/>
        <v>20</v>
      </c>
      <c r="K962" t="str">
        <f t="shared" si="29"/>
        <v>Positive</v>
      </c>
    </row>
    <row r="963" spans="1:11" x14ac:dyDescent="0.2">
      <c r="A963" t="s">
        <v>2818</v>
      </c>
      <c r="B963" t="s">
        <v>2819</v>
      </c>
      <c r="C963" t="s">
        <v>283</v>
      </c>
      <c r="D963" t="s">
        <v>3</v>
      </c>
      <c r="E963" t="s">
        <v>4</v>
      </c>
      <c r="F963">
        <v>24</v>
      </c>
      <c r="G963">
        <v>242</v>
      </c>
      <c r="H963" t="s">
        <v>13</v>
      </c>
      <c r="I963" t="b">
        <v>0</v>
      </c>
      <c r="J963">
        <f t="shared" ref="J963:J1026" si="30">sentimentCalc(B963)</f>
        <v>0</v>
      </c>
      <c r="K963" t="str">
        <f t="shared" ref="K963:K1026" si="31">sentimentCategory(J963)</f>
        <v>Neutral</v>
      </c>
    </row>
    <row r="964" spans="1:11" x14ac:dyDescent="0.2">
      <c r="A964" t="s">
        <v>2677</v>
      </c>
      <c r="B964" t="s">
        <v>2678</v>
      </c>
      <c r="C964" t="s">
        <v>2679</v>
      </c>
      <c r="D964" t="s">
        <v>3</v>
      </c>
      <c r="E964" t="s">
        <v>4</v>
      </c>
      <c r="F964">
        <v>275</v>
      </c>
      <c r="G964">
        <v>200</v>
      </c>
      <c r="H964" t="s">
        <v>374</v>
      </c>
      <c r="I964" t="b">
        <v>0</v>
      </c>
      <c r="J964">
        <f t="shared" si="30"/>
        <v>10</v>
      </c>
      <c r="K964" t="str">
        <f t="shared" si="31"/>
        <v>Positive</v>
      </c>
    </row>
    <row r="965" spans="1:11" x14ac:dyDescent="0.2">
      <c r="A965" t="s">
        <v>4757</v>
      </c>
      <c r="B965" t="s">
        <v>4758</v>
      </c>
      <c r="C965" t="s">
        <v>4759</v>
      </c>
      <c r="D965" t="s">
        <v>3</v>
      </c>
      <c r="E965" t="s">
        <v>4</v>
      </c>
      <c r="F965">
        <v>3182</v>
      </c>
      <c r="G965">
        <v>4464</v>
      </c>
      <c r="H965" t="s">
        <v>13</v>
      </c>
      <c r="I965" t="b">
        <v>0</v>
      </c>
      <c r="J965">
        <f t="shared" si="30"/>
        <v>0</v>
      </c>
      <c r="K965" t="str">
        <f t="shared" si="31"/>
        <v>Neutral</v>
      </c>
    </row>
    <row r="966" spans="1:11" x14ac:dyDescent="0.2">
      <c r="A966" t="s">
        <v>2932</v>
      </c>
      <c r="B966" t="s">
        <v>2933</v>
      </c>
      <c r="C966" t="s">
        <v>2934</v>
      </c>
      <c r="D966" t="s">
        <v>3</v>
      </c>
      <c r="E966" t="s">
        <v>4</v>
      </c>
      <c r="F966">
        <v>15</v>
      </c>
      <c r="G966">
        <v>159</v>
      </c>
      <c r="H966" t="s">
        <v>374</v>
      </c>
      <c r="I966" t="b">
        <v>0</v>
      </c>
      <c r="J966">
        <f t="shared" si="30"/>
        <v>0</v>
      </c>
      <c r="K966" t="str">
        <f t="shared" si="31"/>
        <v>Neutral</v>
      </c>
    </row>
    <row r="967" spans="1:11" x14ac:dyDescent="0.2">
      <c r="A967" t="s">
        <v>2332</v>
      </c>
      <c r="B967" t="s">
        <v>2333</v>
      </c>
      <c r="C967" t="s">
        <v>2334</v>
      </c>
      <c r="D967" t="s">
        <v>2335</v>
      </c>
      <c r="E967" t="s">
        <v>4</v>
      </c>
      <c r="F967">
        <v>120</v>
      </c>
      <c r="G967">
        <v>140</v>
      </c>
      <c r="H967" t="s">
        <v>13</v>
      </c>
      <c r="I967" t="b">
        <v>0</v>
      </c>
      <c r="J967">
        <f t="shared" si="30"/>
        <v>0</v>
      </c>
      <c r="K967" t="str">
        <f t="shared" si="31"/>
        <v>Neutral</v>
      </c>
    </row>
    <row r="968" spans="1:11" x14ac:dyDescent="0.2">
      <c r="A968" t="s">
        <v>2644</v>
      </c>
      <c r="B968" t="s">
        <v>2645</v>
      </c>
      <c r="C968" t="s">
        <v>2646</v>
      </c>
      <c r="D968" t="s">
        <v>2647</v>
      </c>
      <c r="E968" t="s">
        <v>4</v>
      </c>
      <c r="F968">
        <v>312</v>
      </c>
      <c r="G968">
        <v>182</v>
      </c>
      <c r="H968" t="s">
        <v>13</v>
      </c>
      <c r="I968" t="b">
        <v>0</v>
      </c>
      <c r="J968">
        <f t="shared" si="30"/>
        <v>0</v>
      </c>
      <c r="K968" t="str">
        <f t="shared" si="31"/>
        <v>Neutral</v>
      </c>
    </row>
    <row r="969" spans="1:11" x14ac:dyDescent="0.2">
      <c r="A969" t="s">
        <v>3294</v>
      </c>
      <c r="B969" t="s">
        <v>3295</v>
      </c>
      <c r="C969" t="s">
        <v>2942</v>
      </c>
      <c r="D969" t="s">
        <v>3296</v>
      </c>
      <c r="E969" t="s">
        <v>4</v>
      </c>
      <c r="F969">
        <v>266</v>
      </c>
      <c r="G969">
        <v>687</v>
      </c>
      <c r="H969" t="s">
        <v>13</v>
      </c>
      <c r="I969" t="b">
        <v>0</v>
      </c>
      <c r="J969">
        <f t="shared" si="30"/>
        <v>0</v>
      </c>
      <c r="K969" t="str">
        <f t="shared" si="31"/>
        <v>Neutral</v>
      </c>
    </row>
    <row r="970" spans="1:11" x14ac:dyDescent="0.2">
      <c r="A970" t="s">
        <v>6697</v>
      </c>
      <c r="B970" t="s">
        <v>6698</v>
      </c>
      <c r="C970" t="s">
        <v>2212</v>
      </c>
      <c r="D970" t="s">
        <v>6684</v>
      </c>
      <c r="E970" t="s">
        <v>4</v>
      </c>
      <c r="F970">
        <v>9</v>
      </c>
      <c r="G970">
        <v>8</v>
      </c>
      <c r="H970" t="s">
        <v>13</v>
      </c>
      <c r="I970" t="b">
        <v>0</v>
      </c>
      <c r="J970">
        <f t="shared" si="30"/>
        <v>0</v>
      </c>
      <c r="K970" t="str">
        <f t="shared" si="31"/>
        <v>Neutral</v>
      </c>
    </row>
    <row r="971" spans="1:11" x14ac:dyDescent="0.2">
      <c r="A971" t="s">
        <v>4436</v>
      </c>
      <c r="B971" t="s">
        <v>4437</v>
      </c>
      <c r="C971" t="s">
        <v>4438</v>
      </c>
      <c r="D971" t="s">
        <v>1376</v>
      </c>
      <c r="E971" t="s">
        <v>4</v>
      </c>
      <c r="F971">
        <v>144</v>
      </c>
      <c r="G971">
        <v>539</v>
      </c>
      <c r="H971" t="s">
        <v>13</v>
      </c>
      <c r="I971" t="b">
        <v>0</v>
      </c>
      <c r="J971">
        <f t="shared" si="30"/>
        <v>10</v>
      </c>
      <c r="K971" t="str">
        <f t="shared" si="31"/>
        <v>Positive</v>
      </c>
    </row>
    <row r="972" spans="1:11" x14ac:dyDescent="0.2">
      <c r="A972" t="s">
        <v>3317</v>
      </c>
      <c r="B972" t="s">
        <v>3318</v>
      </c>
      <c r="C972" t="s">
        <v>3319</v>
      </c>
      <c r="D972" t="s">
        <v>3320</v>
      </c>
      <c r="E972" t="s">
        <v>4</v>
      </c>
      <c r="F972">
        <v>187</v>
      </c>
      <c r="G972">
        <v>530</v>
      </c>
      <c r="H972" t="s">
        <v>13</v>
      </c>
      <c r="I972" t="b">
        <v>0</v>
      </c>
      <c r="J972">
        <f t="shared" si="30"/>
        <v>0</v>
      </c>
      <c r="K972" t="str">
        <f t="shared" si="31"/>
        <v>Neutral</v>
      </c>
    </row>
    <row r="973" spans="1:11" x14ac:dyDescent="0.2">
      <c r="A973" t="s">
        <v>2363</v>
      </c>
      <c r="B973" t="s">
        <v>2364</v>
      </c>
      <c r="C973" t="s">
        <v>309</v>
      </c>
      <c r="D973" t="s">
        <v>3</v>
      </c>
      <c r="E973" t="s">
        <v>4</v>
      </c>
      <c r="F973">
        <v>118</v>
      </c>
      <c r="G973">
        <v>110</v>
      </c>
      <c r="H973" t="s">
        <v>76</v>
      </c>
      <c r="I973" t="b">
        <v>0</v>
      </c>
      <c r="J973">
        <f t="shared" si="30"/>
        <v>0</v>
      </c>
      <c r="K973" t="str">
        <f t="shared" si="31"/>
        <v>Neutral</v>
      </c>
    </row>
    <row r="974" spans="1:11" x14ac:dyDescent="0.2">
      <c r="A974" t="s">
        <v>360</v>
      </c>
      <c r="B974" t="s">
        <v>361</v>
      </c>
      <c r="C974" t="s">
        <v>362</v>
      </c>
      <c r="D974" t="s">
        <v>3</v>
      </c>
      <c r="E974" t="s">
        <v>4</v>
      </c>
      <c r="F974">
        <v>6</v>
      </c>
      <c r="G974">
        <v>91</v>
      </c>
      <c r="H974" t="s">
        <v>363</v>
      </c>
      <c r="I974" t="b">
        <v>0</v>
      </c>
      <c r="J974">
        <f t="shared" si="30"/>
        <v>0</v>
      </c>
      <c r="K974" t="str">
        <f t="shared" si="31"/>
        <v>Neutral</v>
      </c>
    </row>
    <row r="975" spans="1:11" x14ac:dyDescent="0.2">
      <c r="A975" t="s">
        <v>4563</v>
      </c>
      <c r="B975" t="s">
        <v>4564</v>
      </c>
      <c r="C975" t="s">
        <v>3733</v>
      </c>
      <c r="D975" t="s">
        <v>1347</v>
      </c>
      <c r="E975" t="s">
        <v>4</v>
      </c>
      <c r="F975">
        <v>170</v>
      </c>
      <c r="G975">
        <v>1093</v>
      </c>
      <c r="H975" t="s">
        <v>13</v>
      </c>
      <c r="I975" t="b">
        <v>0</v>
      </c>
      <c r="J975">
        <f t="shared" si="30"/>
        <v>0</v>
      </c>
      <c r="K975" t="str">
        <f t="shared" si="31"/>
        <v>Neutral</v>
      </c>
    </row>
    <row r="976" spans="1:11" x14ac:dyDescent="0.2">
      <c r="A976" t="s">
        <v>5922</v>
      </c>
      <c r="B976" t="s">
        <v>5923</v>
      </c>
      <c r="C976" t="s">
        <v>5924</v>
      </c>
      <c r="D976" t="s">
        <v>3</v>
      </c>
      <c r="E976" t="s">
        <v>4</v>
      </c>
      <c r="F976">
        <v>82</v>
      </c>
      <c r="G976">
        <v>569</v>
      </c>
      <c r="H976" t="s">
        <v>13</v>
      </c>
      <c r="I976" t="b">
        <v>0</v>
      </c>
      <c r="J976">
        <f t="shared" si="30"/>
        <v>0</v>
      </c>
      <c r="K976" t="str">
        <f t="shared" si="31"/>
        <v>Neutral</v>
      </c>
    </row>
    <row r="977" spans="1:11" x14ac:dyDescent="0.2">
      <c r="A977" t="s">
        <v>3042</v>
      </c>
      <c r="B977" t="s">
        <v>3043</v>
      </c>
      <c r="C977" t="s">
        <v>895</v>
      </c>
      <c r="D977" t="s">
        <v>3044</v>
      </c>
      <c r="E977" t="s">
        <v>4</v>
      </c>
      <c r="F977">
        <v>79</v>
      </c>
      <c r="G977">
        <v>543</v>
      </c>
      <c r="H977" t="s">
        <v>13</v>
      </c>
      <c r="I977" t="b">
        <v>0</v>
      </c>
      <c r="J977">
        <f t="shared" si="30"/>
        <v>10</v>
      </c>
      <c r="K977" t="str">
        <f t="shared" si="31"/>
        <v>Positive</v>
      </c>
    </row>
    <row r="978" spans="1:11" x14ac:dyDescent="0.2">
      <c r="A978" t="s">
        <v>2816</v>
      </c>
      <c r="B978" t="s">
        <v>2817</v>
      </c>
      <c r="C978" t="s">
        <v>568</v>
      </c>
      <c r="D978" t="s">
        <v>64</v>
      </c>
      <c r="E978" t="s">
        <v>4</v>
      </c>
      <c r="F978">
        <v>42</v>
      </c>
      <c r="G978">
        <v>209</v>
      </c>
      <c r="H978" t="s">
        <v>13</v>
      </c>
      <c r="I978" t="b">
        <v>0</v>
      </c>
      <c r="J978">
        <f t="shared" si="30"/>
        <v>20</v>
      </c>
      <c r="K978" t="str">
        <f t="shared" si="31"/>
        <v>Positive</v>
      </c>
    </row>
    <row r="979" spans="1:11" x14ac:dyDescent="0.2">
      <c r="A979" t="s">
        <v>354</v>
      </c>
      <c r="B979" t="s">
        <v>355</v>
      </c>
      <c r="C979" t="s">
        <v>283</v>
      </c>
      <c r="D979" t="s">
        <v>3</v>
      </c>
      <c r="E979" t="s">
        <v>4</v>
      </c>
      <c r="F979">
        <v>22</v>
      </c>
      <c r="G979">
        <v>240</v>
      </c>
      <c r="H979" t="s">
        <v>13</v>
      </c>
      <c r="I979" t="b">
        <v>0</v>
      </c>
      <c r="J979">
        <f t="shared" si="30"/>
        <v>0</v>
      </c>
      <c r="K979" t="str">
        <f t="shared" si="31"/>
        <v>Neutral</v>
      </c>
    </row>
    <row r="980" spans="1:11" x14ac:dyDescent="0.2">
      <c r="A980" t="s">
        <v>6685</v>
      </c>
      <c r="B980" t="s">
        <v>6686</v>
      </c>
      <c r="C980" t="s">
        <v>1254</v>
      </c>
      <c r="D980" t="s">
        <v>326</v>
      </c>
      <c r="E980" t="s">
        <v>4</v>
      </c>
      <c r="F980">
        <v>55</v>
      </c>
      <c r="G980">
        <v>305</v>
      </c>
      <c r="H980" t="s">
        <v>13</v>
      </c>
      <c r="I980" t="b">
        <v>0</v>
      </c>
      <c r="J980">
        <f t="shared" si="30"/>
        <v>0</v>
      </c>
      <c r="K980" t="str">
        <f t="shared" si="31"/>
        <v>Neutral</v>
      </c>
    </row>
    <row r="981" spans="1:11" x14ac:dyDescent="0.2">
      <c r="A981" t="s">
        <v>2509</v>
      </c>
      <c r="B981" t="s">
        <v>2510</v>
      </c>
      <c r="C981" t="s">
        <v>1991</v>
      </c>
      <c r="D981" t="s">
        <v>2511</v>
      </c>
      <c r="E981" t="s">
        <v>4</v>
      </c>
      <c r="F981">
        <v>191</v>
      </c>
      <c r="G981">
        <v>648</v>
      </c>
      <c r="H981" t="s">
        <v>13</v>
      </c>
      <c r="I981" t="b">
        <v>0</v>
      </c>
      <c r="J981">
        <f t="shared" si="30"/>
        <v>0</v>
      </c>
      <c r="K981" t="str">
        <f t="shared" si="31"/>
        <v>Neutral</v>
      </c>
    </row>
    <row r="982" spans="1:11" x14ac:dyDescent="0.2">
      <c r="A982" t="s">
        <v>4318</v>
      </c>
      <c r="B982" t="s">
        <v>4319</v>
      </c>
      <c r="C982" t="s">
        <v>2395</v>
      </c>
      <c r="D982" t="s">
        <v>3</v>
      </c>
      <c r="E982" t="s">
        <v>4</v>
      </c>
      <c r="F982">
        <v>123</v>
      </c>
      <c r="G982">
        <v>235</v>
      </c>
      <c r="H982" t="s">
        <v>13</v>
      </c>
      <c r="I982" t="b">
        <v>0</v>
      </c>
      <c r="J982">
        <f t="shared" si="30"/>
        <v>0</v>
      </c>
      <c r="K982" t="str">
        <f t="shared" si="31"/>
        <v>Neutral</v>
      </c>
    </row>
    <row r="983" spans="1:11" x14ac:dyDescent="0.2">
      <c r="A983" t="s">
        <v>6400</v>
      </c>
      <c r="B983" t="s">
        <v>6401</v>
      </c>
      <c r="C983" t="s">
        <v>6402</v>
      </c>
      <c r="D983" t="s">
        <v>6403</v>
      </c>
      <c r="E983" t="s">
        <v>4</v>
      </c>
      <c r="F983">
        <v>321</v>
      </c>
      <c r="G983">
        <v>58</v>
      </c>
      <c r="H983" t="s">
        <v>13</v>
      </c>
      <c r="I983" t="b">
        <v>0</v>
      </c>
      <c r="J983">
        <f t="shared" si="30"/>
        <v>0</v>
      </c>
      <c r="K983" t="str">
        <f t="shared" si="31"/>
        <v>Neutral</v>
      </c>
    </row>
    <row r="984" spans="1:11" x14ac:dyDescent="0.2">
      <c r="A984" t="s">
        <v>6386</v>
      </c>
      <c r="B984" t="s">
        <v>6387</v>
      </c>
      <c r="C984" t="s">
        <v>873</v>
      </c>
      <c r="D984" t="s">
        <v>6388</v>
      </c>
      <c r="E984" t="s">
        <v>4</v>
      </c>
      <c r="F984">
        <v>77</v>
      </c>
      <c r="G984">
        <v>146</v>
      </c>
      <c r="H984" t="s">
        <v>13</v>
      </c>
      <c r="I984" t="b">
        <v>0</v>
      </c>
      <c r="J984">
        <f t="shared" si="30"/>
        <v>10</v>
      </c>
      <c r="K984" t="str">
        <f t="shared" si="31"/>
        <v>Positive</v>
      </c>
    </row>
    <row r="985" spans="1:11" x14ac:dyDescent="0.2">
      <c r="A985" t="s">
        <v>1390</v>
      </c>
      <c r="B985" t="s">
        <v>1391</v>
      </c>
      <c r="C985" t="s">
        <v>1392</v>
      </c>
      <c r="D985" t="s">
        <v>3</v>
      </c>
      <c r="E985" t="s">
        <v>4</v>
      </c>
      <c r="F985">
        <v>10</v>
      </c>
      <c r="G985">
        <v>23</v>
      </c>
      <c r="H985" t="s">
        <v>13</v>
      </c>
      <c r="I985" t="b">
        <v>0</v>
      </c>
      <c r="J985">
        <f t="shared" si="30"/>
        <v>0</v>
      </c>
      <c r="K985" t="str">
        <f t="shared" si="31"/>
        <v>Neutral</v>
      </c>
    </row>
    <row r="986" spans="1:11" x14ac:dyDescent="0.2">
      <c r="A986" t="s">
        <v>1983</v>
      </c>
      <c r="B986" t="s">
        <v>1984</v>
      </c>
      <c r="C986" t="s">
        <v>1985</v>
      </c>
      <c r="D986" t="s">
        <v>3</v>
      </c>
      <c r="E986" t="s">
        <v>4</v>
      </c>
      <c r="F986">
        <v>65</v>
      </c>
      <c r="G986">
        <v>81</v>
      </c>
      <c r="H986" t="s">
        <v>13</v>
      </c>
      <c r="I986" t="b">
        <v>0</v>
      </c>
      <c r="J986">
        <f t="shared" si="30"/>
        <v>0</v>
      </c>
      <c r="K986" t="str">
        <f t="shared" si="31"/>
        <v>Neutral</v>
      </c>
    </row>
    <row r="987" spans="1:11" x14ac:dyDescent="0.2">
      <c r="A987" t="s">
        <v>5374</v>
      </c>
      <c r="B987" t="s">
        <v>5375</v>
      </c>
      <c r="C987" t="s">
        <v>5376</v>
      </c>
      <c r="D987" t="s">
        <v>3</v>
      </c>
      <c r="E987" t="s">
        <v>4</v>
      </c>
      <c r="F987">
        <v>403</v>
      </c>
      <c r="G987">
        <v>746</v>
      </c>
      <c r="H987" t="s">
        <v>13</v>
      </c>
      <c r="I987" t="b">
        <v>0</v>
      </c>
      <c r="J987">
        <f t="shared" si="30"/>
        <v>0</v>
      </c>
      <c r="K987" t="str">
        <f t="shared" si="31"/>
        <v>Neutral</v>
      </c>
    </row>
    <row r="988" spans="1:11" x14ac:dyDescent="0.2">
      <c r="A988" t="s">
        <v>5456</v>
      </c>
      <c r="B988" t="s">
        <v>5457</v>
      </c>
      <c r="C988" t="s">
        <v>5458</v>
      </c>
      <c r="D988" t="s">
        <v>5459</v>
      </c>
      <c r="E988" t="s">
        <v>4</v>
      </c>
      <c r="F988">
        <v>192</v>
      </c>
      <c r="G988">
        <v>198</v>
      </c>
      <c r="H988" t="s">
        <v>13</v>
      </c>
      <c r="I988" t="b">
        <v>0</v>
      </c>
      <c r="J988">
        <f t="shared" si="30"/>
        <v>10</v>
      </c>
      <c r="K988" t="str">
        <f t="shared" si="31"/>
        <v>Positive</v>
      </c>
    </row>
    <row r="989" spans="1:11" x14ac:dyDescent="0.2">
      <c r="A989" t="s">
        <v>5165</v>
      </c>
      <c r="B989" t="s">
        <v>5166</v>
      </c>
      <c r="C989" t="s">
        <v>5167</v>
      </c>
      <c r="D989" t="s">
        <v>4817</v>
      </c>
      <c r="E989" t="s">
        <v>4</v>
      </c>
      <c r="F989">
        <v>3</v>
      </c>
      <c r="G989">
        <v>30</v>
      </c>
      <c r="H989" t="s">
        <v>13</v>
      </c>
      <c r="I989" t="b">
        <v>0</v>
      </c>
      <c r="J989">
        <f t="shared" si="30"/>
        <v>0</v>
      </c>
      <c r="K989" t="str">
        <f t="shared" si="31"/>
        <v>Neutral</v>
      </c>
    </row>
    <row r="990" spans="1:11" x14ac:dyDescent="0.2">
      <c r="A990" t="s">
        <v>1667</v>
      </c>
      <c r="B990" t="s">
        <v>1668</v>
      </c>
      <c r="C990" t="s">
        <v>1669</v>
      </c>
      <c r="D990" t="s">
        <v>1670</v>
      </c>
      <c r="E990" t="s">
        <v>4</v>
      </c>
      <c r="F990">
        <v>105</v>
      </c>
      <c r="G990">
        <v>178</v>
      </c>
      <c r="H990" t="s">
        <v>13</v>
      </c>
      <c r="I990" t="b">
        <v>0</v>
      </c>
      <c r="J990">
        <f t="shared" si="30"/>
        <v>0</v>
      </c>
      <c r="K990" t="str">
        <f t="shared" si="31"/>
        <v>Neutral</v>
      </c>
    </row>
    <row r="991" spans="1:11" x14ac:dyDescent="0.2">
      <c r="A991" t="s">
        <v>5426</v>
      </c>
      <c r="B991" t="s">
        <v>5427</v>
      </c>
      <c r="C991" t="s">
        <v>3635</v>
      </c>
      <c r="D991" t="s">
        <v>5428</v>
      </c>
      <c r="E991" t="s">
        <v>4</v>
      </c>
      <c r="F991">
        <v>4248</v>
      </c>
      <c r="G991">
        <v>1721</v>
      </c>
      <c r="H991" t="s">
        <v>13</v>
      </c>
      <c r="I991" t="b">
        <v>0</v>
      </c>
      <c r="J991">
        <f t="shared" si="30"/>
        <v>10</v>
      </c>
      <c r="K991" t="str">
        <f t="shared" si="31"/>
        <v>Positive</v>
      </c>
    </row>
    <row r="992" spans="1:11" x14ac:dyDescent="0.2">
      <c r="A992" t="s">
        <v>6295</v>
      </c>
      <c r="B992" t="s">
        <v>6296</v>
      </c>
      <c r="C992" t="s">
        <v>6297</v>
      </c>
      <c r="D992" t="s">
        <v>550</v>
      </c>
      <c r="E992" t="s">
        <v>4</v>
      </c>
      <c r="F992">
        <v>1594</v>
      </c>
      <c r="G992">
        <v>2660</v>
      </c>
      <c r="H992" t="s">
        <v>13</v>
      </c>
      <c r="I992" t="b">
        <v>0</v>
      </c>
      <c r="J992">
        <f t="shared" si="30"/>
        <v>0</v>
      </c>
      <c r="K992" t="str">
        <f t="shared" si="31"/>
        <v>Neutral</v>
      </c>
    </row>
    <row r="993" spans="1:11" x14ac:dyDescent="0.2">
      <c r="A993" t="s">
        <v>6740</v>
      </c>
      <c r="B993" t="s">
        <v>6741</v>
      </c>
      <c r="C993" t="s">
        <v>6742</v>
      </c>
      <c r="D993" t="s">
        <v>6743</v>
      </c>
      <c r="E993" t="s">
        <v>4</v>
      </c>
      <c r="F993">
        <v>98</v>
      </c>
      <c r="G993">
        <v>159</v>
      </c>
      <c r="H993" t="s">
        <v>13</v>
      </c>
      <c r="I993" t="b">
        <v>0</v>
      </c>
      <c r="J993">
        <f t="shared" si="30"/>
        <v>-10</v>
      </c>
      <c r="K993" t="str">
        <f t="shared" si="31"/>
        <v>Negative</v>
      </c>
    </row>
    <row r="994" spans="1:11" x14ac:dyDescent="0.2">
      <c r="A994" t="s">
        <v>256</v>
      </c>
      <c r="B994" t="s">
        <v>257</v>
      </c>
      <c r="C994" t="s">
        <v>258</v>
      </c>
      <c r="D994" t="s">
        <v>259</v>
      </c>
      <c r="E994" t="s">
        <v>4</v>
      </c>
      <c r="F994">
        <v>46</v>
      </c>
      <c r="G994">
        <v>126</v>
      </c>
      <c r="H994" t="s">
        <v>13</v>
      </c>
      <c r="I994" t="b">
        <v>0</v>
      </c>
      <c r="J994">
        <f t="shared" si="30"/>
        <v>0</v>
      </c>
      <c r="K994" t="str">
        <f t="shared" si="31"/>
        <v>Neutral</v>
      </c>
    </row>
    <row r="995" spans="1:11" x14ac:dyDescent="0.2">
      <c r="A995" t="s">
        <v>5147</v>
      </c>
      <c r="B995" t="s">
        <v>5148</v>
      </c>
      <c r="C995" t="s">
        <v>1499</v>
      </c>
      <c r="D995" t="s">
        <v>3</v>
      </c>
      <c r="E995" t="s">
        <v>4</v>
      </c>
      <c r="F995">
        <v>64</v>
      </c>
      <c r="G995">
        <v>71</v>
      </c>
      <c r="H995" t="s">
        <v>13</v>
      </c>
      <c r="I995" t="b">
        <v>0</v>
      </c>
      <c r="J995">
        <f t="shared" si="30"/>
        <v>0</v>
      </c>
      <c r="K995" t="str">
        <f t="shared" si="31"/>
        <v>Neutral</v>
      </c>
    </row>
    <row r="996" spans="1:11" x14ac:dyDescent="0.2">
      <c r="A996" t="s">
        <v>2365</v>
      </c>
      <c r="B996" t="s">
        <v>2366</v>
      </c>
      <c r="C996" t="s">
        <v>2367</v>
      </c>
      <c r="D996" t="s">
        <v>3</v>
      </c>
      <c r="E996" t="s">
        <v>4</v>
      </c>
      <c r="F996">
        <v>222</v>
      </c>
      <c r="G996">
        <v>224</v>
      </c>
      <c r="H996" t="s">
        <v>13</v>
      </c>
      <c r="I996" t="b">
        <v>0</v>
      </c>
      <c r="J996">
        <f t="shared" si="30"/>
        <v>0</v>
      </c>
      <c r="K996" t="str">
        <f t="shared" si="31"/>
        <v>Neutral</v>
      </c>
    </row>
    <row r="997" spans="1:11" x14ac:dyDescent="0.2">
      <c r="A997" t="s">
        <v>4742</v>
      </c>
      <c r="B997" t="s">
        <v>4743</v>
      </c>
      <c r="C997" t="s">
        <v>3769</v>
      </c>
      <c r="D997" t="s">
        <v>64</v>
      </c>
      <c r="E997" t="s">
        <v>4</v>
      </c>
      <c r="F997">
        <v>162</v>
      </c>
      <c r="G997">
        <v>362</v>
      </c>
      <c r="H997" t="s">
        <v>13</v>
      </c>
      <c r="I997" t="b">
        <v>0</v>
      </c>
      <c r="J997">
        <f t="shared" si="30"/>
        <v>10</v>
      </c>
      <c r="K997" t="str">
        <f t="shared" si="31"/>
        <v>Positive</v>
      </c>
    </row>
    <row r="998" spans="1:11" x14ac:dyDescent="0.2">
      <c r="A998" t="s">
        <v>2579</v>
      </c>
      <c r="B998" t="s">
        <v>2580</v>
      </c>
      <c r="C998" t="s">
        <v>2581</v>
      </c>
      <c r="D998" t="s">
        <v>320</v>
      </c>
      <c r="E998" t="s">
        <v>4</v>
      </c>
      <c r="F998">
        <v>159</v>
      </c>
      <c r="G998">
        <v>122</v>
      </c>
      <c r="H998" t="s">
        <v>13</v>
      </c>
      <c r="I998" t="b">
        <v>0</v>
      </c>
      <c r="J998">
        <f t="shared" si="30"/>
        <v>0</v>
      </c>
      <c r="K998" t="str">
        <f t="shared" si="31"/>
        <v>Neutral</v>
      </c>
    </row>
    <row r="999" spans="1:11" x14ac:dyDescent="0.2">
      <c r="A999" t="s">
        <v>3450</v>
      </c>
      <c r="B999" t="s">
        <v>3452</v>
      </c>
      <c r="C999" t="s">
        <v>1572</v>
      </c>
      <c r="D999" t="s">
        <v>3453</v>
      </c>
      <c r="E999" t="s">
        <v>4</v>
      </c>
      <c r="F999">
        <v>183</v>
      </c>
      <c r="G999">
        <v>358</v>
      </c>
      <c r="H999" t="s">
        <v>13</v>
      </c>
      <c r="I999" t="b">
        <v>0</v>
      </c>
      <c r="J999">
        <f t="shared" si="30"/>
        <v>0</v>
      </c>
      <c r="K999" t="str">
        <f t="shared" si="31"/>
        <v>Neutral</v>
      </c>
    </row>
    <row r="1000" spans="1:11" x14ac:dyDescent="0.2">
      <c r="A1000" t="s">
        <v>5279</v>
      </c>
      <c r="B1000" t="s">
        <v>5280</v>
      </c>
      <c r="C1000" t="s">
        <v>5281</v>
      </c>
      <c r="D1000" t="s">
        <v>1027</v>
      </c>
      <c r="E1000" t="s">
        <v>4</v>
      </c>
      <c r="F1000">
        <v>6</v>
      </c>
      <c r="G1000">
        <v>36</v>
      </c>
      <c r="H1000" t="s">
        <v>13</v>
      </c>
      <c r="I1000" t="b">
        <v>0</v>
      </c>
      <c r="J1000">
        <f t="shared" si="30"/>
        <v>10</v>
      </c>
      <c r="K1000" t="str">
        <f t="shared" si="31"/>
        <v>Positive</v>
      </c>
    </row>
    <row r="1001" spans="1:11" x14ac:dyDescent="0.2">
      <c r="A1001" t="s">
        <v>535</v>
      </c>
      <c r="B1001" t="s">
        <v>536</v>
      </c>
      <c r="C1001" t="s">
        <v>537</v>
      </c>
      <c r="D1001" t="s">
        <v>538</v>
      </c>
      <c r="E1001" t="s">
        <v>4</v>
      </c>
      <c r="F1001">
        <v>543</v>
      </c>
      <c r="G1001">
        <v>179</v>
      </c>
      <c r="H1001" t="s">
        <v>13</v>
      </c>
      <c r="I1001" t="b">
        <v>0</v>
      </c>
      <c r="J1001">
        <f t="shared" si="30"/>
        <v>0</v>
      </c>
      <c r="K1001" t="str">
        <f t="shared" si="31"/>
        <v>Neutral</v>
      </c>
    </row>
    <row r="1002" spans="1:11" x14ac:dyDescent="0.2">
      <c r="A1002" t="s">
        <v>2547</v>
      </c>
      <c r="B1002" t="s">
        <v>2548</v>
      </c>
      <c r="C1002" t="s">
        <v>2549</v>
      </c>
      <c r="D1002" t="s">
        <v>2550</v>
      </c>
      <c r="E1002" t="s">
        <v>4</v>
      </c>
      <c r="F1002">
        <v>34</v>
      </c>
      <c r="G1002">
        <v>70</v>
      </c>
      <c r="H1002" t="s">
        <v>13</v>
      </c>
      <c r="I1002" t="b">
        <v>0</v>
      </c>
      <c r="J1002">
        <f t="shared" si="30"/>
        <v>0</v>
      </c>
      <c r="K1002" t="str">
        <f t="shared" si="31"/>
        <v>Neutral</v>
      </c>
    </row>
    <row r="1003" spans="1:11" x14ac:dyDescent="0.2">
      <c r="A1003" t="s">
        <v>6406</v>
      </c>
      <c r="B1003" t="s">
        <v>6407</v>
      </c>
      <c r="C1003" t="s">
        <v>6408</v>
      </c>
      <c r="D1003" t="s">
        <v>6409</v>
      </c>
      <c r="E1003" t="s">
        <v>4</v>
      </c>
      <c r="F1003">
        <v>28</v>
      </c>
      <c r="G1003">
        <v>188</v>
      </c>
      <c r="H1003" t="s">
        <v>13</v>
      </c>
      <c r="I1003" t="b">
        <v>0</v>
      </c>
      <c r="J1003">
        <f t="shared" si="30"/>
        <v>0</v>
      </c>
      <c r="K1003" t="str">
        <f t="shared" si="31"/>
        <v>Neutral</v>
      </c>
    </row>
    <row r="1004" spans="1:11" x14ac:dyDescent="0.2">
      <c r="A1004" t="s">
        <v>7184</v>
      </c>
      <c r="B1004" t="s">
        <v>7185</v>
      </c>
      <c r="C1004" t="s">
        <v>1947</v>
      </c>
      <c r="D1004" t="s">
        <v>7186</v>
      </c>
      <c r="E1004" t="s">
        <v>4</v>
      </c>
      <c r="F1004">
        <v>942</v>
      </c>
      <c r="G1004">
        <v>1121</v>
      </c>
      <c r="H1004" t="s">
        <v>13</v>
      </c>
      <c r="I1004" t="b">
        <v>0</v>
      </c>
      <c r="J1004">
        <f t="shared" si="30"/>
        <v>0</v>
      </c>
      <c r="K1004" t="str">
        <f t="shared" si="31"/>
        <v>Neutral</v>
      </c>
    </row>
    <row r="1005" spans="1:11" x14ac:dyDescent="0.2">
      <c r="A1005" t="s">
        <v>1014</v>
      </c>
      <c r="B1005" t="s">
        <v>1015</v>
      </c>
      <c r="C1005" t="s">
        <v>1016</v>
      </c>
      <c r="D1005" t="s">
        <v>3</v>
      </c>
      <c r="E1005" t="s">
        <v>4</v>
      </c>
      <c r="F1005">
        <v>57</v>
      </c>
      <c r="G1005">
        <v>45</v>
      </c>
      <c r="H1005" t="s">
        <v>13</v>
      </c>
      <c r="I1005" t="b">
        <v>0</v>
      </c>
      <c r="J1005">
        <f t="shared" si="30"/>
        <v>0</v>
      </c>
      <c r="K1005" t="str">
        <f t="shared" si="31"/>
        <v>Neutral</v>
      </c>
    </row>
    <row r="1006" spans="1:11" x14ac:dyDescent="0.2">
      <c r="A1006" t="s">
        <v>4009</v>
      </c>
      <c r="B1006" t="s">
        <v>4010</v>
      </c>
      <c r="C1006" t="s">
        <v>4011</v>
      </c>
      <c r="D1006" t="s">
        <v>3</v>
      </c>
      <c r="E1006" t="s">
        <v>4</v>
      </c>
      <c r="F1006">
        <v>1</v>
      </c>
      <c r="G1006">
        <v>1</v>
      </c>
      <c r="H1006" t="s">
        <v>13</v>
      </c>
      <c r="I1006" t="b">
        <v>0</v>
      </c>
      <c r="J1006">
        <f t="shared" si="30"/>
        <v>0</v>
      </c>
      <c r="K1006" t="str">
        <f t="shared" si="31"/>
        <v>Neutral</v>
      </c>
    </row>
    <row r="1007" spans="1:11" x14ac:dyDescent="0.2">
      <c r="A1007" t="s">
        <v>1458</v>
      </c>
      <c r="B1007" t="s">
        <v>1459</v>
      </c>
      <c r="C1007" t="s">
        <v>1460</v>
      </c>
      <c r="D1007" t="s">
        <v>403</v>
      </c>
      <c r="E1007" t="s">
        <v>4</v>
      </c>
      <c r="F1007">
        <v>547</v>
      </c>
      <c r="G1007">
        <v>720</v>
      </c>
      <c r="H1007" t="s">
        <v>13</v>
      </c>
      <c r="I1007" t="b">
        <v>0</v>
      </c>
      <c r="J1007">
        <f t="shared" si="30"/>
        <v>0</v>
      </c>
      <c r="K1007" t="str">
        <f t="shared" si="31"/>
        <v>Neutral</v>
      </c>
    </row>
    <row r="1008" spans="1:11" x14ac:dyDescent="0.2">
      <c r="A1008" t="s">
        <v>5539</v>
      </c>
      <c r="B1008" t="s">
        <v>5540</v>
      </c>
      <c r="C1008" t="s">
        <v>1572</v>
      </c>
      <c r="D1008" t="s">
        <v>5541</v>
      </c>
      <c r="E1008" t="s">
        <v>4</v>
      </c>
      <c r="F1008">
        <v>137</v>
      </c>
      <c r="G1008">
        <v>404</v>
      </c>
      <c r="H1008" t="s">
        <v>13</v>
      </c>
      <c r="I1008" t="b">
        <v>0</v>
      </c>
      <c r="J1008">
        <f t="shared" si="30"/>
        <v>10</v>
      </c>
      <c r="K1008" t="str">
        <f t="shared" si="31"/>
        <v>Positive</v>
      </c>
    </row>
    <row r="1009" spans="1:11" x14ac:dyDescent="0.2">
      <c r="A1009" t="s">
        <v>4140</v>
      </c>
      <c r="B1009" t="s">
        <v>4141</v>
      </c>
      <c r="C1009" t="s">
        <v>4142</v>
      </c>
      <c r="D1009" t="s">
        <v>4143</v>
      </c>
      <c r="E1009" t="s">
        <v>4</v>
      </c>
      <c r="F1009">
        <v>1</v>
      </c>
      <c r="G1009">
        <v>7</v>
      </c>
      <c r="H1009" t="s">
        <v>1584</v>
      </c>
      <c r="I1009" t="b">
        <v>0</v>
      </c>
      <c r="J1009">
        <f t="shared" si="30"/>
        <v>0</v>
      </c>
      <c r="K1009" t="str">
        <f t="shared" si="31"/>
        <v>Neutral</v>
      </c>
    </row>
    <row r="1010" spans="1:11" x14ac:dyDescent="0.2">
      <c r="A1010" t="s">
        <v>4329</v>
      </c>
      <c r="B1010" t="s">
        <v>4333</v>
      </c>
      <c r="C1010" t="s">
        <v>4114</v>
      </c>
      <c r="D1010" t="s">
        <v>3</v>
      </c>
      <c r="E1010" t="s">
        <v>4</v>
      </c>
      <c r="F1010">
        <v>9</v>
      </c>
      <c r="G1010">
        <v>57</v>
      </c>
      <c r="H1010" t="s">
        <v>13</v>
      </c>
      <c r="I1010" t="b">
        <v>0</v>
      </c>
      <c r="J1010">
        <f t="shared" si="30"/>
        <v>10</v>
      </c>
      <c r="K1010" t="str">
        <f t="shared" si="31"/>
        <v>Positive</v>
      </c>
    </row>
    <row r="1011" spans="1:11" x14ac:dyDescent="0.2">
      <c r="A1011" t="s">
        <v>6654</v>
      </c>
      <c r="B1011" t="s">
        <v>6655</v>
      </c>
      <c r="C1011" t="s">
        <v>459</v>
      </c>
      <c r="D1011" t="s">
        <v>216</v>
      </c>
      <c r="E1011" t="s">
        <v>4</v>
      </c>
      <c r="F1011">
        <v>178</v>
      </c>
      <c r="G1011">
        <v>135</v>
      </c>
      <c r="H1011" t="s">
        <v>13</v>
      </c>
      <c r="I1011" t="b">
        <v>0</v>
      </c>
      <c r="J1011">
        <f t="shared" si="30"/>
        <v>0</v>
      </c>
      <c r="K1011" t="str">
        <f t="shared" si="31"/>
        <v>Neutral</v>
      </c>
    </row>
    <row r="1012" spans="1:11" x14ac:dyDescent="0.2">
      <c r="A1012" t="s">
        <v>5531</v>
      </c>
      <c r="B1012" t="s">
        <v>5532</v>
      </c>
      <c r="C1012" t="s">
        <v>5533</v>
      </c>
      <c r="D1012" t="s">
        <v>3</v>
      </c>
      <c r="E1012" t="s">
        <v>4</v>
      </c>
      <c r="F1012">
        <v>3194</v>
      </c>
      <c r="G1012">
        <v>3136</v>
      </c>
      <c r="H1012" t="s">
        <v>5</v>
      </c>
      <c r="I1012" t="b">
        <v>0</v>
      </c>
      <c r="J1012">
        <f t="shared" si="30"/>
        <v>0</v>
      </c>
      <c r="K1012" t="str">
        <f t="shared" si="31"/>
        <v>Neutral</v>
      </c>
    </row>
    <row r="1013" spans="1:11" x14ac:dyDescent="0.2">
      <c r="A1013" t="s">
        <v>3303</v>
      </c>
      <c r="B1013" t="s">
        <v>3304</v>
      </c>
      <c r="C1013" t="s">
        <v>3305</v>
      </c>
      <c r="D1013" t="s">
        <v>3</v>
      </c>
      <c r="E1013" t="s">
        <v>4</v>
      </c>
      <c r="F1013">
        <v>5395</v>
      </c>
      <c r="G1013">
        <v>698</v>
      </c>
      <c r="H1013" t="s">
        <v>13</v>
      </c>
      <c r="I1013" t="b">
        <v>0</v>
      </c>
      <c r="J1013">
        <f t="shared" si="30"/>
        <v>0</v>
      </c>
      <c r="K1013" t="str">
        <f t="shared" si="31"/>
        <v>Neutral</v>
      </c>
    </row>
    <row r="1014" spans="1:11" x14ac:dyDescent="0.2">
      <c r="A1014" t="s">
        <v>1716</v>
      </c>
      <c r="B1014" t="s">
        <v>1717</v>
      </c>
      <c r="C1014" t="s">
        <v>1596</v>
      </c>
      <c r="D1014" t="s">
        <v>1597</v>
      </c>
      <c r="E1014" t="s">
        <v>4</v>
      </c>
      <c r="F1014">
        <v>4</v>
      </c>
      <c r="G1014">
        <v>0</v>
      </c>
      <c r="H1014" t="s">
        <v>13</v>
      </c>
      <c r="I1014" t="b">
        <v>0</v>
      </c>
      <c r="J1014">
        <f t="shared" si="30"/>
        <v>0</v>
      </c>
      <c r="K1014" t="str">
        <f t="shared" si="31"/>
        <v>Neutral</v>
      </c>
    </row>
    <row r="1015" spans="1:11" x14ac:dyDescent="0.2">
      <c r="A1015" t="s">
        <v>4947</v>
      </c>
      <c r="B1015" t="s">
        <v>4948</v>
      </c>
      <c r="C1015" t="s">
        <v>4949</v>
      </c>
      <c r="D1015" t="s">
        <v>3</v>
      </c>
      <c r="E1015" t="s">
        <v>4</v>
      </c>
      <c r="F1015">
        <v>48</v>
      </c>
      <c r="G1015">
        <v>149</v>
      </c>
      <c r="H1015" t="s">
        <v>645</v>
      </c>
      <c r="I1015" t="b">
        <v>0</v>
      </c>
      <c r="J1015">
        <f t="shared" si="30"/>
        <v>0</v>
      </c>
      <c r="K1015" t="str">
        <f t="shared" si="31"/>
        <v>Neutral</v>
      </c>
    </row>
    <row r="1016" spans="1:11" x14ac:dyDescent="0.2">
      <c r="A1016" t="s">
        <v>6462</v>
      </c>
      <c r="B1016" t="s">
        <v>6463</v>
      </c>
      <c r="C1016" t="s">
        <v>1375</v>
      </c>
      <c r="D1016" t="s">
        <v>3</v>
      </c>
      <c r="E1016" t="s">
        <v>4</v>
      </c>
      <c r="F1016">
        <v>62</v>
      </c>
      <c r="G1016">
        <v>130</v>
      </c>
      <c r="H1016" t="s">
        <v>13</v>
      </c>
      <c r="I1016" t="b">
        <v>0</v>
      </c>
      <c r="J1016">
        <f t="shared" si="30"/>
        <v>0</v>
      </c>
      <c r="K1016" t="str">
        <f t="shared" si="31"/>
        <v>Neutral</v>
      </c>
    </row>
    <row r="1017" spans="1:11" x14ac:dyDescent="0.2">
      <c r="A1017" t="s">
        <v>6370</v>
      </c>
      <c r="B1017" t="s">
        <v>6371</v>
      </c>
      <c r="C1017" t="s">
        <v>3557</v>
      </c>
      <c r="D1017" t="s">
        <v>6372</v>
      </c>
      <c r="E1017" t="s">
        <v>4</v>
      </c>
      <c r="F1017">
        <v>319</v>
      </c>
      <c r="G1017">
        <v>582</v>
      </c>
      <c r="H1017" t="s">
        <v>13</v>
      </c>
      <c r="I1017" t="b">
        <v>0</v>
      </c>
      <c r="J1017">
        <f t="shared" si="30"/>
        <v>0</v>
      </c>
      <c r="K1017" t="str">
        <f t="shared" si="31"/>
        <v>Neutral</v>
      </c>
    </row>
    <row r="1018" spans="1:11" x14ac:dyDescent="0.2">
      <c r="A1018" t="s">
        <v>3339</v>
      </c>
      <c r="B1018" t="s">
        <v>3340</v>
      </c>
      <c r="C1018" t="s">
        <v>1026</v>
      </c>
      <c r="D1018" t="s">
        <v>3</v>
      </c>
      <c r="E1018" t="s">
        <v>4</v>
      </c>
      <c r="F1018">
        <v>82</v>
      </c>
      <c r="G1018">
        <v>238</v>
      </c>
      <c r="H1018" t="s">
        <v>13</v>
      </c>
      <c r="I1018" t="b">
        <v>0</v>
      </c>
      <c r="J1018">
        <f t="shared" si="30"/>
        <v>0</v>
      </c>
      <c r="K1018" t="str">
        <f t="shared" si="31"/>
        <v>Neutral</v>
      </c>
    </row>
    <row r="1019" spans="1:11" x14ac:dyDescent="0.2">
      <c r="A1019" t="s">
        <v>6790</v>
      </c>
      <c r="B1019" t="s">
        <v>6791</v>
      </c>
      <c r="C1019" t="s">
        <v>595</v>
      </c>
      <c r="D1019" t="s">
        <v>1845</v>
      </c>
      <c r="E1019" t="s">
        <v>4</v>
      </c>
      <c r="F1019">
        <v>1282</v>
      </c>
      <c r="G1019">
        <v>270</v>
      </c>
      <c r="H1019" t="s">
        <v>13</v>
      </c>
      <c r="I1019" t="b">
        <v>0</v>
      </c>
      <c r="J1019">
        <f t="shared" si="30"/>
        <v>-10</v>
      </c>
      <c r="K1019" t="str">
        <f t="shared" si="31"/>
        <v>Negative</v>
      </c>
    </row>
    <row r="1020" spans="1:11" x14ac:dyDescent="0.2">
      <c r="A1020" t="s">
        <v>6809</v>
      </c>
      <c r="B1020" t="s">
        <v>6810</v>
      </c>
      <c r="C1020" t="s">
        <v>323</v>
      </c>
      <c r="D1020" t="s">
        <v>3</v>
      </c>
      <c r="E1020" t="s">
        <v>4</v>
      </c>
      <c r="F1020">
        <v>19</v>
      </c>
      <c r="G1020">
        <v>75</v>
      </c>
      <c r="H1020" t="s">
        <v>13</v>
      </c>
      <c r="I1020" t="b">
        <v>0</v>
      </c>
      <c r="J1020">
        <f t="shared" si="30"/>
        <v>0</v>
      </c>
      <c r="K1020" t="str">
        <f t="shared" si="31"/>
        <v>Neutral</v>
      </c>
    </row>
    <row r="1021" spans="1:11" x14ac:dyDescent="0.2">
      <c r="A1021" t="s">
        <v>2454</v>
      </c>
      <c r="B1021" t="s">
        <v>2455</v>
      </c>
      <c r="C1021" t="s">
        <v>315</v>
      </c>
      <c r="D1021" t="s">
        <v>2456</v>
      </c>
      <c r="E1021" t="s">
        <v>4</v>
      </c>
      <c r="F1021">
        <v>23</v>
      </c>
      <c r="G1021">
        <v>150</v>
      </c>
      <c r="H1021" t="s">
        <v>13</v>
      </c>
      <c r="I1021" t="b">
        <v>0</v>
      </c>
      <c r="J1021">
        <f t="shared" si="30"/>
        <v>0</v>
      </c>
      <c r="K1021" t="str">
        <f t="shared" si="31"/>
        <v>Neutral</v>
      </c>
    </row>
    <row r="1022" spans="1:11" x14ac:dyDescent="0.2">
      <c r="A1022" t="s">
        <v>6169</v>
      </c>
      <c r="B1022" t="s">
        <v>6170</v>
      </c>
      <c r="C1022" t="s">
        <v>4911</v>
      </c>
      <c r="D1022" t="s">
        <v>3</v>
      </c>
      <c r="E1022" t="s">
        <v>4</v>
      </c>
      <c r="F1022">
        <v>1515</v>
      </c>
      <c r="G1022">
        <v>5002</v>
      </c>
      <c r="H1022" t="s">
        <v>33</v>
      </c>
      <c r="I1022" t="b">
        <v>0</v>
      </c>
      <c r="J1022">
        <f t="shared" si="30"/>
        <v>0</v>
      </c>
      <c r="K1022" t="str">
        <f t="shared" si="31"/>
        <v>Neutral</v>
      </c>
    </row>
    <row r="1023" spans="1:11" x14ac:dyDescent="0.2">
      <c r="A1023" t="s">
        <v>3112</v>
      </c>
      <c r="B1023" t="s">
        <v>3113</v>
      </c>
      <c r="C1023" t="s">
        <v>777</v>
      </c>
      <c r="D1023" t="s">
        <v>3</v>
      </c>
      <c r="E1023" t="s">
        <v>4</v>
      </c>
      <c r="F1023">
        <v>8</v>
      </c>
      <c r="G1023">
        <v>29</v>
      </c>
      <c r="H1023" t="s">
        <v>13</v>
      </c>
      <c r="I1023" t="b">
        <v>0</v>
      </c>
      <c r="J1023">
        <f t="shared" si="30"/>
        <v>0</v>
      </c>
      <c r="K1023" t="str">
        <f t="shared" si="31"/>
        <v>Neutral</v>
      </c>
    </row>
    <row r="1024" spans="1:11" x14ac:dyDescent="0.2">
      <c r="A1024" t="s">
        <v>1878</v>
      </c>
      <c r="B1024" t="s">
        <v>1879</v>
      </c>
      <c r="C1024" t="s">
        <v>1639</v>
      </c>
      <c r="D1024" t="s">
        <v>1640</v>
      </c>
      <c r="E1024" t="s">
        <v>4</v>
      </c>
      <c r="F1024">
        <v>85</v>
      </c>
      <c r="G1024">
        <v>113</v>
      </c>
      <c r="H1024" t="s">
        <v>13</v>
      </c>
      <c r="I1024" t="b">
        <v>0</v>
      </c>
      <c r="J1024">
        <f t="shared" si="30"/>
        <v>0</v>
      </c>
      <c r="K1024" t="str">
        <f t="shared" si="31"/>
        <v>Neutral</v>
      </c>
    </row>
    <row r="1025" spans="1:11" x14ac:dyDescent="0.2">
      <c r="A1025" t="s">
        <v>7220</v>
      </c>
      <c r="B1025" t="s">
        <v>7221</v>
      </c>
      <c r="C1025" t="s">
        <v>1258</v>
      </c>
      <c r="D1025" t="s">
        <v>3</v>
      </c>
      <c r="E1025" t="s">
        <v>4</v>
      </c>
      <c r="F1025">
        <v>377</v>
      </c>
      <c r="G1025">
        <v>1113</v>
      </c>
      <c r="H1025" t="s">
        <v>33</v>
      </c>
      <c r="I1025" t="b">
        <v>0</v>
      </c>
      <c r="J1025">
        <f t="shared" si="30"/>
        <v>0</v>
      </c>
      <c r="K1025" t="str">
        <f t="shared" si="31"/>
        <v>Neutral</v>
      </c>
    </row>
    <row r="1026" spans="1:11" x14ac:dyDescent="0.2">
      <c r="A1026" t="s">
        <v>5887</v>
      </c>
      <c r="B1026" t="s">
        <v>5888</v>
      </c>
      <c r="C1026" t="s">
        <v>1534</v>
      </c>
      <c r="D1026" t="s">
        <v>2276</v>
      </c>
      <c r="E1026" t="s">
        <v>4</v>
      </c>
      <c r="F1026">
        <v>313</v>
      </c>
      <c r="G1026">
        <v>79</v>
      </c>
      <c r="H1026" t="s">
        <v>13</v>
      </c>
      <c r="I1026" t="b">
        <v>0</v>
      </c>
      <c r="J1026">
        <f t="shared" si="30"/>
        <v>0</v>
      </c>
      <c r="K1026" t="str">
        <f t="shared" si="31"/>
        <v>Neutral</v>
      </c>
    </row>
    <row r="1027" spans="1:11" x14ac:dyDescent="0.2">
      <c r="A1027" t="s">
        <v>4926</v>
      </c>
      <c r="B1027" t="s">
        <v>4927</v>
      </c>
      <c r="C1027" t="s">
        <v>4647</v>
      </c>
      <c r="D1027" t="s">
        <v>3</v>
      </c>
      <c r="E1027" t="s">
        <v>4</v>
      </c>
      <c r="F1027">
        <v>3795</v>
      </c>
      <c r="G1027">
        <v>95</v>
      </c>
      <c r="H1027" t="s">
        <v>50</v>
      </c>
      <c r="I1027" t="b">
        <v>0</v>
      </c>
      <c r="J1027">
        <f t="shared" ref="J1027:J1090" si="32">sentimentCalc(B1027)</f>
        <v>10</v>
      </c>
      <c r="K1027" t="str">
        <f t="shared" ref="K1027:K1090" si="33">sentimentCategory(J1027)</f>
        <v>Positive</v>
      </c>
    </row>
    <row r="1028" spans="1:11" x14ac:dyDescent="0.2">
      <c r="A1028" t="s">
        <v>3191</v>
      </c>
      <c r="B1028" t="s">
        <v>3192</v>
      </c>
      <c r="C1028" t="s">
        <v>3193</v>
      </c>
      <c r="D1028" t="s">
        <v>3194</v>
      </c>
      <c r="E1028" t="s">
        <v>4</v>
      </c>
      <c r="F1028">
        <v>1073</v>
      </c>
      <c r="G1028">
        <v>290</v>
      </c>
      <c r="H1028" t="s">
        <v>50</v>
      </c>
      <c r="I1028" t="b">
        <v>0</v>
      </c>
      <c r="J1028">
        <f t="shared" si="32"/>
        <v>10</v>
      </c>
      <c r="K1028" t="str">
        <f t="shared" si="33"/>
        <v>Positive</v>
      </c>
    </row>
    <row r="1029" spans="1:11" x14ac:dyDescent="0.2">
      <c r="A1029" t="s">
        <v>6509</v>
      </c>
      <c r="B1029" t="s">
        <v>6510</v>
      </c>
      <c r="C1029" t="s">
        <v>3971</v>
      </c>
      <c r="D1029" t="s">
        <v>3</v>
      </c>
      <c r="E1029" t="s">
        <v>4</v>
      </c>
      <c r="F1029">
        <v>54</v>
      </c>
      <c r="G1029">
        <v>147</v>
      </c>
      <c r="H1029" t="s">
        <v>13</v>
      </c>
      <c r="I1029" t="b">
        <v>0</v>
      </c>
      <c r="J1029">
        <f t="shared" si="32"/>
        <v>0</v>
      </c>
      <c r="K1029" t="str">
        <f t="shared" si="33"/>
        <v>Neutral</v>
      </c>
    </row>
    <row r="1030" spans="1:11" x14ac:dyDescent="0.2">
      <c r="A1030" t="s">
        <v>3027</v>
      </c>
      <c r="B1030" t="s">
        <v>3028</v>
      </c>
      <c r="C1030" t="s">
        <v>104</v>
      </c>
      <c r="D1030" t="s">
        <v>3</v>
      </c>
      <c r="E1030" t="s">
        <v>4</v>
      </c>
      <c r="F1030">
        <v>2</v>
      </c>
      <c r="G1030">
        <v>0</v>
      </c>
      <c r="H1030" t="s">
        <v>363</v>
      </c>
      <c r="I1030" t="b">
        <v>0</v>
      </c>
      <c r="J1030">
        <f t="shared" si="32"/>
        <v>30</v>
      </c>
      <c r="K1030" t="str">
        <f t="shared" si="33"/>
        <v>Positive</v>
      </c>
    </row>
    <row r="1031" spans="1:11" x14ac:dyDescent="0.2">
      <c r="A1031" t="s">
        <v>4511</v>
      </c>
      <c r="B1031" t="s">
        <v>4512</v>
      </c>
      <c r="C1031" t="s">
        <v>513</v>
      </c>
      <c r="D1031" t="s">
        <v>4513</v>
      </c>
      <c r="E1031" t="s">
        <v>4</v>
      </c>
      <c r="F1031">
        <v>129</v>
      </c>
      <c r="G1031">
        <v>603</v>
      </c>
      <c r="H1031" t="s">
        <v>13</v>
      </c>
      <c r="I1031" t="b">
        <v>0</v>
      </c>
      <c r="J1031">
        <f t="shared" si="32"/>
        <v>20</v>
      </c>
      <c r="K1031" t="str">
        <f t="shared" si="33"/>
        <v>Positive</v>
      </c>
    </row>
    <row r="1032" spans="1:11" x14ac:dyDescent="0.2">
      <c r="A1032" t="s">
        <v>4228</v>
      </c>
      <c r="B1032" t="s">
        <v>4229</v>
      </c>
      <c r="C1032" t="s">
        <v>1359</v>
      </c>
      <c r="D1032" t="s">
        <v>4230</v>
      </c>
      <c r="E1032" t="s">
        <v>4</v>
      </c>
      <c r="F1032">
        <v>4753</v>
      </c>
      <c r="G1032">
        <v>1512</v>
      </c>
      <c r="H1032" t="s">
        <v>13</v>
      </c>
      <c r="I1032" t="b">
        <v>0</v>
      </c>
      <c r="J1032">
        <f t="shared" si="32"/>
        <v>10</v>
      </c>
      <c r="K1032" t="str">
        <f t="shared" si="33"/>
        <v>Positive</v>
      </c>
    </row>
    <row r="1033" spans="1:11" x14ac:dyDescent="0.2">
      <c r="A1033" t="s">
        <v>26</v>
      </c>
      <c r="B1033" t="s">
        <v>27</v>
      </c>
      <c r="C1033" t="s">
        <v>28</v>
      </c>
      <c r="D1033" t="s">
        <v>3</v>
      </c>
      <c r="E1033" t="s">
        <v>4</v>
      </c>
      <c r="F1033">
        <v>34</v>
      </c>
      <c r="G1033">
        <v>90</v>
      </c>
      <c r="H1033" t="s">
        <v>13</v>
      </c>
      <c r="I1033" t="b">
        <v>0</v>
      </c>
      <c r="J1033">
        <f t="shared" si="32"/>
        <v>10</v>
      </c>
      <c r="K1033" t="str">
        <f t="shared" si="33"/>
        <v>Positive</v>
      </c>
    </row>
    <row r="1034" spans="1:11" x14ac:dyDescent="0.2">
      <c r="A1034" t="s">
        <v>4574</v>
      </c>
      <c r="B1034" t="s">
        <v>4575</v>
      </c>
      <c r="C1034" t="s">
        <v>8</v>
      </c>
      <c r="D1034" t="s">
        <v>3</v>
      </c>
      <c r="E1034" t="s">
        <v>4</v>
      </c>
      <c r="F1034">
        <v>520</v>
      </c>
      <c r="G1034">
        <v>1752</v>
      </c>
      <c r="H1034" t="s">
        <v>13</v>
      </c>
      <c r="I1034" t="b">
        <v>0</v>
      </c>
      <c r="J1034">
        <f t="shared" si="32"/>
        <v>0</v>
      </c>
      <c r="K1034" t="str">
        <f t="shared" si="33"/>
        <v>Neutral</v>
      </c>
    </row>
    <row r="1035" spans="1:11" x14ac:dyDescent="0.2">
      <c r="A1035" t="s">
        <v>6569</v>
      </c>
      <c r="B1035" t="s">
        <v>6570</v>
      </c>
      <c r="C1035" t="s">
        <v>2120</v>
      </c>
      <c r="D1035" t="s">
        <v>6571</v>
      </c>
      <c r="E1035" t="s">
        <v>4</v>
      </c>
      <c r="F1035">
        <v>120</v>
      </c>
      <c r="G1035">
        <v>778</v>
      </c>
      <c r="H1035" t="s">
        <v>13</v>
      </c>
      <c r="I1035" t="b">
        <v>0</v>
      </c>
      <c r="J1035">
        <f t="shared" si="32"/>
        <v>10</v>
      </c>
      <c r="K1035" t="str">
        <f t="shared" si="33"/>
        <v>Positive</v>
      </c>
    </row>
    <row r="1036" spans="1:11" x14ac:dyDescent="0.2">
      <c r="A1036" t="s">
        <v>2210</v>
      </c>
      <c r="B1036" t="s">
        <v>2211</v>
      </c>
      <c r="C1036" t="s">
        <v>2212</v>
      </c>
      <c r="D1036" t="s">
        <v>2213</v>
      </c>
      <c r="E1036" t="s">
        <v>4</v>
      </c>
      <c r="F1036">
        <v>134</v>
      </c>
      <c r="G1036">
        <v>61</v>
      </c>
      <c r="H1036" t="s">
        <v>13</v>
      </c>
      <c r="I1036" t="b">
        <v>0</v>
      </c>
      <c r="J1036">
        <f t="shared" si="32"/>
        <v>10</v>
      </c>
      <c r="K1036" t="str">
        <f t="shared" si="33"/>
        <v>Positive</v>
      </c>
    </row>
    <row r="1037" spans="1:11" x14ac:dyDescent="0.2">
      <c r="A1037" t="s">
        <v>4576</v>
      </c>
      <c r="B1037" t="s">
        <v>4579</v>
      </c>
      <c r="C1037" t="s">
        <v>1877</v>
      </c>
      <c r="D1037" t="s">
        <v>3</v>
      </c>
      <c r="E1037" t="s">
        <v>4</v>
      </c>
      <c r="F1037">
        <v>159</v>
      </c>
      <c r="G1037">
        <v>193</v>
      </c>
      <c r="H1037" t="s">
        <v>13</v>
      </c>
      <c r="I1037" t="b">
        <v>0</v>
      </c>
      <c r="J1037">
        <f t="shared" si="32"/>
        <v>10</v>
      </c>
      <c r="K1037" t="str">
        <f t="shared" si="33"/>
        <v>Positive</v>
      </c>
    </row>
    <row r="1038" spans="1:11" x14ac:dyDescent="0.2">
      <c r="A1038" t="s">
        <v>3116</v>
      </c>
      <c r="B1038" t="s">
        <v>3117</v>
      </c>
      <c r="C1038" t="s">
        <v>526</v>
      </c>
      <c r="D1038" t="s">
        <v>3118</v>
      </c>
      <c r="E1038" t="s">
        <v>4</v>
      </c>
      <c r="F1038">
        <v>632</v>
      </c>
      <c r="G1038">
        <v>419</v>
      </c>
      <c r="H1038" t="s">
        <v>13</v>
      </c>
      <c r="I1038" t="b">
        <v>0</v>
      </c>
      <c r="J1038">
        <f t="shared" si="32"/>
        <v>10</v>
      </c>
      <c r="K1038" t="str">
        <f t="shared" si="33"/>
        <v>Positive</v>
      </c>
    </row>
    <row r="1039" spans="1:11" x14ac:dyDescent="0.2">
      <c r="A1039" t="s">
        <v>2751</v>
      </c>
      <c r="B1039" t="s">
        <v>2752</v>
      </c>
      <c r="C1039" t="s">
        <v>2753</v>
      </c>
      <c r="D1039" t="s">
        <v>833</v>
      </c>
      <c r="E1039" t="s">
        <v>4</v>
      </c>
      <c r="F1039">
        <v>585</v>
      </c>
      <c r="G1039">
        <v>439</v>
      </c>
      <c r="H1039" t="s">
        <v>13</v>
      </c>
      <c r="I1039" t="b">
        <v>0</v>
      </c>
      <c r="J1039">
        <f t="shared" si="32"/>
        <v>0</v>
      </c>
      <c r="K1039" t="str">
        <f t="shared" si="33"/>
        <v>Neutral</v>
      </c>
    </row>
    <row r="1040" spans="1:11" x14ac:dyDescent="0.2">
      <c r="A1040" t="s">
        <v>7005</v>
      </c>
      <c r="B1040" t="s">
        <v>7006</v>
      </c>
      <c r="C1040" t="s">
        <v>3063</v>
      </c>
      <c r="D1040" t="s">
        <v>7007</v>
      </c>
      <c r="E1040" t="s">
        <v>4</v>
      </c>
      <c r="F1040">
        <v>102</v>
      </c>
      <c r="G1040">
        <v>418</v>
      </c>
      <c r="H1040" t="s">
        <v>13</v>
      </c>
      <c r="I1040" t="b">
        <v>0</v>
      </c>
      <c r="J1040">
        <f t="shared" si="32"/>
        <v>0</v>
      </c>
      <c r="K1040" t="str">
        <f t="shared" si="33"/>
        <v>Neutral</v>
      </c>
    </row>
    <row r="1041" spans="1:11" x14ac:dyDescent="0.2">
      <c r="A1041" t="s">
        <v>6708</v>
      </c>
      <c r="B1041" t="s">
        <v>6709</v>
      </c>
      <c r="C1041" t="s">
        <v>1166</v>
      </c>
      <c r="D1041" t="s">
        <v>3</v>
      </c>
      <c r="E1041" t="s">
        <v>4</v>
      </c>
      <c r="F1041">
        <v>91</v>
      </c>
      <c r="G1041">
        <v>334</v>
      </c>
      <c r="H1041" t="s">
        <v>13</v>
      </c>
      <c r="I1041" t="b">
        <v>0</v>
      </c>
      <c r="J1041">
        <f t="shared" si="32"/>
        <v>0</v>
      </c>
      <c r="K1041" t="str">
        <f t="shared" si="33"/>
        <v>Neutral</v>
      </c>
    </row>
    <row r="1042" spans="1:11" x14ac:dyDescent="0.2">
      <c r="A1042" t="s">
        <v>6061</v>
      </c>
      <c r="B1042" t="s">
        <v>6062</v>
      </c>
      <c r="C1042" t="s">
        <v>6063</v>
      </c>
      <c r="D1042" t="s">
        <v>3</v>
      </c>
      <c r="E1042" t="s">
        <v>4</v>
      </c>
      <c r="F1042">
        <v>145</v>
      </c>
      <c r="G1042">
        <v>230</v>
      </c>
      <c r="H1042" t="s">
        <v>86</v>
      </c>
      <c r="I1042" t="b">
        <v>0</v>
      </c>
      <c r="J1042">
        <f t="shared" si="32"/>
        <v>0</v>
      </c>
      <c r="K1042" t="str">
        <f t="shared" si="33"/>
        <v>Neutral</v>
      </c>
    </row>
    <row r="1043" spans="1:11" x14ac:dyDescent="0.2">
      <c r="A1043" t="s">
        <v>6177</v>
      </c>
      <c r="B1043" t="s">
        <v>6178</v>
      </c>
      <c r="C1043" t="s">
        <v>6179</v>
      </c>
      <c r="D1043" t="s">
        <v>6180</v>
      </c>
      <c r="E1043" t="s">
        <v>4</v>
      </c>
      <c r="F1043">
        <v>1404</v>
      </c>
      <c r="G1043">
        <v>498</v>
      </c>
      <c r="H1043" t="s">
        <v>13</v>
      </c>
      <c r="I1043" t="b">
        <v>0</v>
      </c>
      <c r="J1043">
        <f t="shared" si="32"/>
        <v>0</v>
      </c>
      <c r="K1043" t="str">
        <f t="shared" si="33"/>
        <v>Neutral</v>
      </c>
    </row>
    <row r="1044" spans="1:11" x14ac:dyDescent="0.2">
      <c r="A1044" t="s">
        <v>4805</v>
      </c>
      <c r="B1044" t="s">
        <v>4806</v>
      </c>
      <c r="C1044" t="s">
        <v>226</v>
      </c>
      <c r="D1044" t="s">
        <v>227</v>
      </c>
      <c r="E1044" t="s">
        <v>4</v>
      </c>
      <c r="F1044">
        <v>9228</v>
      </c>
      <c r="G1044">
        <v>7170</v>
      </c>
      <c r="H1044" t="s">
        <v>13</v>
      </c>
      <c r="I1044" t="b">
        <v>0</v>
      </c>
      <c r="J1044">
        <f t="shared" si="32"/>
        <v>0</v>
      </c>
      <c r="K1044" t="str">
        <f t="shared" si="33"/>
        <v>Neutral</v>
      </c>
    </row>
    <row r="1045" spans="1:11" x14ac:dyDescent="0.2">
      <c r="A1045" t="s">
        <v>3374</v>
      </c>
      <c r="B1045" t="s">
        <v>3375</v>
      </c>
      <c r="C1045" t="s">
        <v>2832</v>
      </c>
      <c r="D1045" t="s">
        <v>21</v>
      </c>
      <c r="E1045" t="s">
        <v>4</v>
      </c>
      <c r="F1045">
        <v>215</v>
      </c>
      <c r="G1045">
        <v>137</v>
      </c>
      <c r="H1045" t="s">
        <v>13</v>
      </c>
      <c r="I1045" t="b">
        <v>0</v>
      </c>
      <c r="J1045">
        <f t="shared" si="32"/>
        <v>-10</v>
      </c>
      <c r="K1045" t="str">
        <f t="shared" si="33"/>
        <v>Negative</v>
      </c>
    </row>
    <row r="1046" spans="1:11" x14ac:dyDescent="0.2">
      <c r="A1046" t="s">
        <v>228</v>
      </c>
      <c r="B1046" t="s">
        <v>229</v>
      </c>
      <c r="C1046" t="s">
        <v>230</v>
      </c>
      <c r="D1046" t="s">
        <v>231</v>
      </c>
      <c r="E1046" t="s">
        <v>4</v>
      </c>
      <c r="F1046">
        <v>3601</v>
      </c>
      <c r="G1046">
        <v>4869</v>
      </c>
      <c r="H1046" t="s">
        <v>13</v>
      </c>
      <c r="I1046" t="b">
        <v>0</v>
      </c>
      <c r="J1046">
        <f t="shared" si="32"/>
        <v>0</v>
      </c>
      <c r="K1046" t="str">
        <f t="shared" si="33"/>
        <v>Neutral</v>
      </c>
    </row>
    <row r="1047" spans="1:11" x14ac:dyDescent="0.2">
      <c r="A1047" t="s">
        <v>5436</v>
      </c>
      <c r="B1047" t="s">
        <v>5437</v>
      </c>
      <c r="C1047" t="s">
        <v>5438</v>
      </c>
      <c r="D1047" t="s">
        <v>3</v>
      </c>
      <c r="E1047" t="s">
        <v>4</v>
      </c>
      <c r="F1047">
        <v>147</v>
      </c>
      <c r="G1047">
        <v>231</v>
      </c>
      <c r="H1047" t="s">
        <v>13</v>
      </c>
      <c r="I1047" t="b">
        <v>0</v>
      </c>
      <c r="J1047">
        <f t="shared" si="32"/>
        <v>0</v>
      </c>
      <c r="K1047" t="str">
        <f t="shared" si="33"/>
        <v>Neutral</v>
      </c>
    </row>
    <row r="1048" spans="1:11" x14ac:dyDescent="0.2">
      <c r="A1048" t="s">
        <v>5149</v>
      </c>
      <c r="B1048" t="s">
        <v>5150</v>
      </c>
      <c r="C1048" t="s">
        <v>2632</v>
      </c>
      <c r="D1048" t="s">
        <v>932</v>
      </c>
      <c r="E1048" t="s">
        <v>4</v>
      </c>
      <c r="F1048">
        <v>486</v>
      </c>
      <c r="G1048">
        <v>358</v>
      </c>
      <c r="H1048" t="s">
        <v>13</v>
      </c>
      <c r="I1048" t="b">
        <v>0</v>
      </c>
      <c r="J1048">
        <f t="shared" si="32"/>
        <v>0</v>
      </c>
      <c r="K1048" t="str">
        <f t="shared" si="33"/>
        <v>Neutral</v>
      </c>
    </row>
    <row r="1049" spans="1:11" x14ac:dyDescent="0.2">
      <c r="A1049" t="s">
        <v>5384</v>
      </c>
      <c r="B1049" t="s">
        <v>5385</v>
      </c>
      <c r="C1049" t="s">
        <v>786</v>
      </c>
      <c r="D1049" t="s">
        <v>932</v>
      </c>
      <c r="E1049" t="s">
        <v>4</v>
      </c>
      <c r="F1049">
        <v>167</v>
      </c>
      <c r="G1049">
        <v>62</v>
      </c>
      <c r="H1049" t="s">
        <v>13</v>
      </c>
      <c r="I1049" t="b">
        <v>0</v>
      </c>
      <c r="J1049">
        <f t="shared" si="32"/>
        <v>0</v>
      </c>
      <c r="K1049" t="str">
        <f t="shared" si="33"/>
        <v>Neutral</v>
      </c>
    </row>
    <row r="1050" spans="1:11" x14ac:dyDescent="0.2">
      <c r="A1050" t="s">
        <v>3708</v>
      </c>
      <c r="B1050" t="s">
        <v>3709</v>
      </c>
      <c r="C1050" t="s">
        <v>3710</v>
      </c>
      <c r="D1050" t="s">
        <v>3</v>
      </c>
      <c r="E1050" t="s">
        <v>4</v>
      </c>
      <c r="F1050">
        <v>62</v>
      </c>
      <c r="G1050">
        <v>332</v>
      </c>
      <c r="H1050" t="s">
        <v>13</v>
      </c>
      <c r="I1050" t="b">
        <v>0</v>
      </c>
      <c r="J1050">
        <f t="shared" si="32"/>
        <v>0</v>
      </c>
      <c r="K1050" t="str">
        <f t="shared" si="33"/>
        <v>Neutral</v>
      </c>
    </row>
    <row r="1051" spans="1:11" x14ac:dyDescent="0.2">
      <c r="A1051" t="s">
        <v>890</v>
      </c>
      <c r="B1051" t="s">
        <v>891</v>
      </c>
      <c r="C1051" t="s">
        <v>892</v>
      </c>
      <c r="D1051" t="s">
        <v>3</v>
      </c>
      <c r="E1051" t="s">
        <v>4</v>
      </c>
      <c r="F1051">
        <v>5</v>
      </c>
      <c r="G1051">
        <v>21</v>
      </c>
      <c r="H1051" t="s">
        <v>33</v>
      </c>
      <c r="I1051" t="b">
        <v>0</v>
      </c>
      <c r="J1051">
        <f t="shared" si="32"/>
        <v>0</v>
      </c>
      <c r="K1051" t="str">
        <f t="shared" si="33"/>
        <v>Neutral</v>
      </c>
    </row>
    <row r="1052" spans="1:11" x14ac:dyDescent="0.2">
      <c r="A1052" t="s">
        <v>3002</v>
      </c>
      <c r="B1052" t="s">
        <v>3003</v>
      </c>
      <c r="C1052" t="s">
        <v>2429</v>
      </c>
      <c r="D1052" t="s">
        <v>3004</v>
      </c>
      <c r="E1052" t="s">
        <v>4</v>
      </c>
      <c r="F1052">
        <v>5366</v>
      </c>
      <c r="G1052">
        <v>1650</v>
      </c>
      <c r="H1052" t="s">
        <v>13</v>
      </c>
      <c r="I1052" t="b">
        <v>0</v>
      </c>
      <c r="J1052">
        <f t="shared" si="32"/>
        <v>10</v>
      </c>
      <c r="K1052" t="str">
        <f t="shared" si="33"/>
        <v>Positive</v>
      </c>
    </row>
    <row r="1053" spans="1:11" x14ac:dyDescent="0.2">
      <c r="A1053" t="s">
        <v>2114</v>
      </c>
      <c r="B1053" t="s">
        <v>2115</v>
      </c>
      <c r="C1053" t="s">
        <v>2116</v>
      </c>
      <c r="D1053" t="s">
        <v>2117</v>
      </c>
      <c r="E1053" t="s">
        <v>4</v>
      </c>
      <c r="F1053">
        <v>728</v>
      </c>
      <c r="G1053">
        <v>448</v>
      </c>
      <c r="H1053" t="s">
        <v>13</v>
      </c>
      <c r="I1053" t="b">
        <v>0</v>
      </c>
      <c r="J1053">
        <f t="shared" si="32"/>
        <v>0</v>
      </c>
      <c r="K1053" t="str">
        <f t="shared" si="33"/>
        <v>Neutral</v>
      </c>
    </row>
    <row r="1054" spans="1:11" x14ac:dyDescent="0.2">
      <c r="A1054" t="s">
        <v>2404</v>
      </c>
      <c r="B1054" t="s">
        <v>2405</v>
      </c>
      <c r="C1054" t="s">
        <v>2406</v>
      </c>
      <c r="D1054" t="s">
        <v>3</v>
      </c>
      <c r="E1054" t="s">
        <v>4</v>
      </c>
      <c r="F1054">
        <v>31</v>
      </c>
      <c r="G1054">
        <v>113</v>
      </c>
      <c r="H1054" t="s">
        <v>13</v>
      </c>
      <c r="I1054" t="b">
        <v>0</v>
      </c>
      <c r="J1054">
        <f t="shared" si="32"/>
        <v>0</v>
      </c>
      <c r="K1054" t="str">
        <f t="shared" si="33"/>
        <v>Neutral</v>
      </c>
    </row>
    <row r="1055" spans="1:11" x14ac:dyDescent="0.2">
      <c r="A1055" t="s">
        <v>2175</v>
      </c>
      <c r="B1055" t="s">
        <v>2176</v>
      </c>
      <c r="C1055" t="s">
        <v>2177</v>
      </c>
      <c r="D1055" t="s">
        <v>3</v>
      </c>
      <c r="E1055" t="s">
        <v>4</v>
      </c>
      <c r="F1055">
        <v>2</v>
      </c>
      <c r="G1055">
        <v>27</v>
      </c>
      <c r="H1055" t="s">
        <v>13</v>
      </c>
      <c r="I1055" t="b">
        <v>0</v>
      </c>
      <c r="J1055">
        <f t="shared" si="32"/>
        <v>0</v>
      </c>
      <c r="K1055" t="str">
        <f t="shared" si="33"/>
        <v>Neutral</v>
      </c>
    </row>
    <row r="1056" spans="1:11" x14ac:dyDescent="0.2">
      <c r="A1056" t="s">
        <v>2083</v>
      </c>
      <c r="B1056" t="s">
        <v>2084</v>
      </c>
      <c r="C1056" t="s">
        <v>2085</v>
      </c>
      <c r="D1056" t="s">
        <v>3</v>
      </c>
      <c r="E1056" t="s">
        <v>4</v>
      </c>
      <c r="F1056">
        <v>13</v>
      </c>
      <c r="G1056">
        <v>26</v>
      </c>
      <c r="H1056" t="s">
        <v>13</v>
      </c>
      <c r="I1056" t="b">
        <v>0</v>
      </c>
      <c r="J1056">
        <f t="shared" si="32"/>
        <v>0</v>
      </c>
      <c r="K1056" t="str">
        <f t="shared" si="33"/>
        <v>Neutral</v>
      </c>
    </row>
    <row r="1057" spans="1:11" x14ac:dyDescent="0.2">
      <c r="A1057" t="s">
        <v>153</v>
      </c>
      <c r="B1057" t="s">
        <v>154</v>
      </c>
      <c r="C1057" t="s">
        <v>155</v>
      </c>
      <c r="D1057" t="s">
        <v>156</v>
      </c>
      <c r="E1057" t="s">
        <v>4</v>
      </c>
      <c r="F1057">
        <v>2748</v>
      </c>
      <c r="G1057">
        <v>1544</v>
      </c>
      <c r="H1057" t="s">
        <v>13</v>
      </c>
      <c r="I1057" t="b">
        <v>0</v>
      </c>
      <c r="J1057">
        <f t="shared" si="32"/>
        <v>0</v>
      </c>
      <c r="K1057" t="str">
        <f t="shared" si="33"/>
        <v>Neutral</v>
      </c>
    </row>
    <row r="1058" spans="1:11" x14ac:dyDescent="0.2">
      <c r="A1058" t="s">
        <v>1674</v>
      </c>
      <c r="B1058" t="s">
        <v>1675</v>
      </c>
      <c r="C1058" t="s">
        <v>1676</v>
      </c>
      <c r="D1058" t="s">
        <v>3</v>
      </c>
      <c r="E1058" t="s">
        <v>4</v>
      </c>
      <c r="F1058">
        <v>10</v>
      </c>
      <c r="G1058">
        <v>110</v>
      </c>
      <c r="H1058" t="s">
        <v>13</v>
      </c>
      <c r="I1058" t="b">
        <v>0</v>
      </c>
      <c r="J1058">
        <f t="shared" si="32"/>
        <v>0</v>
      </c>
      <c r="K1058" t="str">
        <f t="shared" si="33"/>
        <v>Neutral</v>
      </c>
    </row>
    <row r="1059" spans="1:11" x14ac:dyDescent="0.2">
      <c r="A1059" t="s">
        <v>3954</v>
      </c>
      <c r="B1059" t="s">
        <v>3955</v>
      </c>
      <c r="C1059" t="s">
        <v>465</v>
      </c>
      <c r="D1059" t="s">
        <v>3</v>
      </c>
      <c r="E1059" t="s">
        <v>4</v>
      </c>
      <c r="F1059">
        <v>27</v>
      </c>
      <c r="G1059">
        <v>162</v>
      </c>
      <c r="H1059" t="s">
        <v>13</v>
      </c>
      <c r="I1059" t="b">
        <v>0</v>
      </c>
      <c r="J1059">
        <f t="shared" si="32"/>
        <v>0</v>
      </c>
      <c r="K1059" t="str">
        <f t="shared" si="33"/>
        <v>Neutral</v>
      </c>
    </row>
    <row r="1060" spans="1:11" x14ac:dyDescent="0.2">
      <c r="A1060" t="s">
        <v>5801</v>
      </c>
      <c r="B1060" t="s">
        <v>5802</v>
      </c>
      <c r="C1060" t="s">
        <v>996</v>
      </c>
      <c r="D1060" t="s">
        <v>3</v>
      </c>
      <c r="E1060" t="s">
        <v>4</v>
      </c>
      <c r="F1060">
        <v>355</v>
      </c>
      <c r="G1060">
        <v>880</v>
      </c>
      <c r="H1060" t="s">
        <v>13</v>
      </c>
      <c r="I1060" t="b">
        <v>0</v>
      </c>
      <c r="J1060">
        <f t="shared" si="32"/>
        <v>0</v>
      </c>
      <c r="K1060" t="str">
        <f t="shared" si="33"/>
        <v>Neutral</v>
      </c>
    </row>
    <row r="1061" spans="1:11" x14ac:dyDescent="0.2">
      <c r="A1061" t="s">
        <v>4189</v>
      </c>
      <c r="B1061" t="s">
        <v>4190</v>
      </c>
      <c r="C1061" t="s">
        <v>2611</v>
      </c>
      <c r="D1061" t="s">
        <v>3</v>
      </c>
      <c r="E1061" t="s">
        <v>4</v>
      </c>
      <c r="F1061">
        <v>9717</v>
      </c>
      <c r="G1061">
        <v>45</v>
      </c>
      <c r="H1061" t="s">
        <v>13</v>
      </c>
      <c r="I1061" t="b">
        <v>0</v>
      </c>
      <c r="J1061">
        <f t="shared" si="32"/>
        <v>0</v>
      </c>
      <c r="K1061" t="str">
        <f t="shared" si="33"/>
        <v>Neutral</v>
      </c>
    </row>
    <row r="1062" spans="1:11" x14ac:dyDescent="0.2">
      <c r="A1062" t="s">
        <v>2905</v>
      </c>
      <c r="B1062" t="s">
        <v>2906</v>
      </c>
      <c r="C1062" t="s">
        <v>1095</v>
      </c>
      <c r="D1062" t="s">
        <v>2907</v>
      </c>
      <c r="E1062" t="s">
        <v>4</v>
      </c>
      <c r="F1062">
        <v>1195</v>
      </c>
      <c r="G1062">
        <v>468</v>
      </c>
      <c r="H1062" t="s">
        <v>13</v>
      </c>
      <c r="I1062" t="b">
        <v>0</v>
      </c>
      <c r="J1062">
        <f t="shared" si="32"/>
        <v>10</v>
      </c>
      <c r="K1062" t="str">
        <f t="shared" si="33"/>
        <v>Positive</v>
      </c>
    </row>
    <row r="1063" spans="1:11" x14ac:dyDescent="0.2">
      <c r="A1063" t="s">
        <v>2614</v>
      </c>
      <c r="B1063" t="s">
        <v>2615</v>
      </c>
      <c r="C1063" t="s">
        <v>2616</v>
      </c>
      <c r="D1063" t="s">
        <v>3</v>
      </c>
      <c r="E1063" t="s">
        <v>4</v>
      </c>
      <c r="F1063">
        <v>625</v>
      </c>
      <c r="G1063">
        <v>478</v>
      </c>
      <c r="H1063" t="s">
        <v>13</v>
      </c>
      <c r="I1063" t="b">
        <v>0</v>
      </c>
      <c r="J1063">
        <f t="shared" si="32"/>
        <v>10</v>
      </c>
      <c r="K1063" t="str">
        <f t="shared" si="33"/>
        <v>Positive</v>
      </c>
    </row>
    <row r="1064" spans="1:11" x14ac:dyDescent="0.2">
      <c r="A1064" t="s">
        <v>1777</v>
      </c>
      <c r="B1064" t="s">
        <v>1778</v>
      </c>
      <c r="C1064" t="s">
        <v>679</v>
      </c>
      <c r="D1064" t="s">
        <v>1779</v>
      </c>
      <c r="E1064" t="s">
        <v>4</v>
      </c>
      <c r="F1064">
        <v>102</v>
      </c>
      <c r="G1064">
        <v>144</v>
      </c>
      <c r="H1064" t="s">
        <v>13</v>
      </c>
      <c r="I1064" t="b">
        <v>0</v>
      </c>
      <c r="J1064">
        <f t="shared" si="32"/>
        <v>-20</v>
      </c>
      <c r="K1064" t="str">
        <f t="shared" si="33"/>
        <v>Negative</v>
      </c>
    </row>
    <row r="1065" spans="1:11" x14ac:dyDescent="0.2">
      <c r="A1065" t="s">
        <v>1088</v>
      </c>
      <c r="B1065" t="s">
        <v>1089</v>
      </c>
      <c r="C1065" t="s">
        <v>1090</v>
      </c>
      <c r="D1065" t="s">
        <v>1091</v>
      </c>
      <c r="E1065" t="s">
        <v>4</v>
      </c>
      <c r="F1065">
        <v>15</v>
      </c>
      <c r="G1065">
        <v>2</v>
      </c>
      <c r="H1065" t="s">
        <v>1092</v>
      </c>
      <c r="I1065" t="b">
        <v>0</v>
      </c>
      <c r="J1065">
        <f t="shared" si="32"/>
        <v>0</v>
      </c>
      <c r="K1065" t="str">
        <f t="shared" si="33"/>
        <v>Neutral</v>
      </c>
    </row>
    <row r="1066" spans="1:11" x14ac:dyDescent="0.2">
      <c r="A1066" t="s">
        <v>1156</v>
      </c>
      <c r="B1066" t="s">
        <v>1157</v>
      </c>
      <c r="C1066" t="s">
        <v>1158</v>
      </c>
      <c r="D1066" t="s">
        <v>1159</v>
      </c>
      <c r="E1066" t="s">
        <v>4</v>
      </c>
      <c r="F1066">
        <v>139</v>
      </c>
      <c r="G1066">
        <v>306</v>
      </c>
      <c r="H1066" t="s">
        <v>13</v>
      </c>
      <c r="I1066" t="b">
        <v>0</v>
      </c>
      <c r="J1066">
        <f t="shared" si="32"/>
        <v>10</v>
      </c>
      <c r="K1066" t="str">
        <f t="shared" si="33"/>
        <v>Positive</v>
      </c>
    </row>
    <row r="1067" spans="1:11" x14ac:dyDescent="0.2">
      <c r="A1067" t="s">
        <v>3074</v>
      </c>
      <c r="B1067" t="s">
        <v>3075</v>
      </c>
      <c r="C1067" t="s">
        <v>3076</v>
      </c>
      <c r="D1067" t="s">
        <v>510</v>
      </c>
      <c r="E1067" t="s">
        <v>4</v>
      </c>
      <c r="F1067">
        <v>7</v>
      </c>
      <c r="G1067">
        <v>35</v>
      </c>
      <c r="H1067" t="s">
        <v>13</v>
      </c>
      <c r="I1067" t="b">
        <v>0</v>
      </c>
      <c r="J1067">
        <f t="shared" si="32"/>
        <v>-30</v>
      </c>
      <c r="K1067" t="str">
        <f t="shared" si="33"/>
        <v>Negative</v>
      </c>
    </row>
    <row r="1068" spans="1:11" x14ac:dyDescent="0.2">
      <c r="A1068" t="s">
        <v>2344</v>
      </c>
      <c r="B1068" t="s">
        <v>2345</v>
      </c>
      <c r="C1068" t="s">
        <v>2346</v>
      </c>
      <c r="D1068" t="s">
        <v>2347</v>
      </c>
      <c r="E1068" t="s">
        <v>4</v>
      </c>
      <c r="F1068">
        <v>48</v>
      </c>
      <c r="G1068">
        <v>108</v>
      </c>
      <c r="H1068" t="s">
        <v>13</v>
      </c>
      <c r="I1068" t="b">
        <v>0</v>
      </c>
      <c r="J1068">
        <f t="shared" si="32"/>
        <v>0</v>
      </c>
      <c r="K1068" t="str">
        <f t="shared" si="33"/>
        <v>Neutral</v>
      </c>
    </row>
    <row r="1069" spans="1:11" x14ac:dyDescent="0.2">
      <c r="A1069" t="s">
        <v>2445</v>
      </c>
      <c r="B1069" t="s">
        <v>2446</v>
      </c>
      <c r="C1069" t="s">
        <v>2447</v>
      </c>
      <c r="D1069" t="s">
        <v>3</v>
      </c>
      <c r="E1069" t="s">
        <v>4</v>
      </c>
      <c r="F1069">
        <v>2</v>
      </c>
      <c r="G1069">
        <v>21</v>
      </c>
      <c r="H1069" t="s">
        <v>13</v>
      </c>
      <c r="I1069" t="b">
        <v>0</v>
      </c>
      <c r="J1069">
        <f t="shared" si="32"/>
        <v>10</v>
      </c>
      <c r="K1069" t="str">
        <f t="shared" si="33"/>
        <v>Positive</v>
      </c>
    </row>
    <row r="1070" spans="1:11" x14ac:dyDescent="0.2">
      <c r="A1070" t="s">
        <v>2306</v>
      </c>
      <c r="B1070" t="s">
        <v>2307</v>
      </c>
      <c r="C1070" t="s">
        <v>591</v>
      </c>
      <c r="D1070" t="s">
        <v>3</v>
      </c>
      <c r="E1070" t="s">
        <v>4</v>
      </c>
      <c r="F1070">
        <v>4610</v>
      </c>
      <c r="G1070">
        <v>449</v>
      </c>
      <c r="H1070" t="s">
        <v>13</v>
      </c>
      <c r="I1070" t="b">
        <v>0</v>
      </c>
      <c r="J1070">
        <f t="shared" si="32"/>
        <v>0</v>
      </c>
      <c r="K1070" t="str">
        <f t="shared" si="33"/>
        <v>Neutral</v>
      </c>
    </row>
    <row r="1071" spans="1:11" x14ac:dyDescent="0.2">
      <c r="A1071" t="s">
        <v>321</v>
      </c>
      <c r="B1071" t="s">
        <v>322</v>
      </c>
      <c r="C1071" t="s">
        <v>323</v>
      </c>
      <c r="D1071" t="s">
        <v>3</v>
      </c>
      <c r="E1071" t="s">
        <v>4</v>
      </c>
      <c r="F1071">
        <v>18</v>
      </c>
      <c r="G1071">
        <v>74</v>
      </c>
      <c r="H1071" t="s">
        <v>13</v>
      </c>
      <c r="I1071" t="b">
        <v>0</v>
      </c>
      <c r="J1071">
        <f t="shared" si="32"/>
        <v>0</v>
      </c>
      <c r="K1071" t="str">
        <f t="shared" si="33"/>
        <v>Neutral</v>
      </c>
    </row>
    <row r="1072" spans="1:11" x14ac:dyDescent="0.2">
      <c r="A1072" t="s">
        <v>5666</v>
      </c>
      <c r="B1072" t="s">
        <v>5667</v>
      </c>
      <c r="C1072" t="s">
        <v>683</v>
      </c>
      <c r="D1072" t="s">
        <v>4143</v>
      </c>
      <c r="E1072" t="s">
        <v>4</v>
      </c>
      <c r="F1072">
        <v>354</v>
      </c>
      <c r="G1072">
        <v>291</v>
      </c>
      <c r="H1072" t="s">
        <v>13</v>
      </c>
      <c r="I1072" t="b">
        <v>0</v>
      </c>
      <c r="J1072">
        <f t="shared" si="32"/>
        <v>0</v>
      </c>
      <c r="K1072" t="str">
        <f t="shared" si="33"/>
        <v>Neutral</v>
      </c>
    </row>
    <row r="1073" spans="1:11" x14ac:dyDescent="0.2">
      <c r="A1073" t="s">
        <v>5115</v>
      </c>
      <c r="B1073" t="s">
        <v>5116</v>
      </c>
      <c r="C1073" t="s">
        <v>730</v>
      </c>
      <c r="D1073" t="s">
        <v>3</v>
      </c>
      <c r="E1073" t="s">
        <v>4</v>
      </c>
      <c r="F1073">
        <v>49</v>
      </c>
      <c r="G1073">
        <v>146</v>
      </c>
      <c r="H1073" t="s">
        <v>13</v>
      </c>
      <c r="I1073" t="b">
        <v>0</v>
      </c>
      <c r="J1073">
        <f t="shared" si="32"/>
        <v>0</v>
      </c>
      <c r="K1073" t="str">
        <f t="shared" si="33"/>
        <v>Neutral</v>
      </c>
    </row>
    <row r="1074" spans="1:11" x14ac:dyDescent="0.2">
      <c r="A1074" t="s">
        <v>6267</v>
      </c>
      <c r="B1074" t="s">
        <v>6268</v>
      </c>
      <c r="C1074" t="s">
        <v>4080</v>
      </c>
      <c r="D1074" t="s">
        <v>6269</v>
      </c>
      <c r="E1074" t="s">
        <v>4</v>
      </c>
      <c r="F1074">
        <v>138</v>
      </c>
      <c r="G1074">
        <v>588</v>
      </c>
      <c r="H1074" t="s">
        <v>1584</v>
      </c>
      <c r="I1074" t="b">
        <v>0</v>
      </c>
      <c r="J1074">
        <f t="shared" si="32"/>
        <v>-10</v>
      </c>
      <c r="K1074" t="str">
        <f t="shared" si="33"/>
        <v>Negative</v>
      </c>
    </row>
    <row r="1075" spans="1:11" x14ac:dyDescent="0.2">
      <c r="A1075" t="s">
        <v>2726</v>
      </c>
      <c r="B1075" t="s">
        <v>2727</v>
      </c>
      <c r="C1075" t="s">
        <v>2611</v>
      </c>
      <c r="D1075" t="s">
        <v>2728</v>
      </c>
      <c r="E1075" t="s">
        <v>4</v>
      </c>
      <c r="F1075">
        <v>35</v>
      </c>
      <c r="G1075">
        <v>274</v>
      </c>
      <c r="H1075" t="s">
        <v>13</v>
      </c>
      <c r="I1075" t="b">
        <v>0</v>
      </c>
      <c r="J1075">
        <f t="shared" si="32"/>
        <v>-20</v>
      </c>
      <c r="K1075" t="str">
        <f t="shared" si="33"/>
        <v>Negative</v>
      </c>
    </row>
    <row r="1076" spans="1:11" x14ac:dyDescent="0.2">
      <c r="A1076" t="s">
        <v>4898</v>
      </c>
      <c r="B1076" t="s">
        <v>4899</v>
      </c>
      <c r="C1076" t="s">
        <v>3443</v>
      </c>
      <c r="D1076" t="s">
        <v>172</v>
      </c>
      <c r="E1076" t="s">
        <v>4</v>
      </c>
      <c r="F1076">
        <v>184</v>
      </c>
      <c r="G1076">
        <v>268</v>
      </c>
      <c r="H1076" t="s">
        <v>13</v>
      </c>
      <c r="I1076" t="b">
        <v>0</v>
      </c>
      <c r="J1076">
        <f t="shared" si="32"/>
        <v>0</v>
      </c>
      <c r="K1076" t="str">
        <f t="shared" si="33"/>
        <v>Neutral</v>
      </c>
    </row>
    <row r="1077" spans="1:11" x14ac:dyDescent="0.2">
      <c r="A1077" t="s">
        <v>5462</v>
      </c>
      <c r="B1077" t="s">
        <v>5463</v>
      </c>
      <c r="C1077" t="s">
        <v>5464</v>
      </c>
      <c r="D1077" t="s">
        <v>5465</v>
      </c>
      <c r="E1077" t="s">
        <v>4</v>
      </c>
      <c r="F1077">
        <v>8588</v>
      </c>
      <c r="G1077">
        <v>1223</v>
      </c>
      <c r="H1077" t="s">
        <v>13</v>
      </c>
      <c r="I1077" t="b">
        <v>0</v>
      </c>
      <c r="J1077">
        <f t="shared" si="32"/>
        <v>0</v>
      </c>
      <c r="K1077" t="str">
        <f t="shared" si="33"/>
        <v>Neutral</v>
      </c>
    </row>
    <row r="1078" spans="1:11" x14ac:dyDescent="0.2">
      <c r="A1078" t="s">
        <v>4163</v>
      </c>
      <c r="B1078" t="s">
        <v>4164</v>
      </c>
      <c r="C1078" t="s">
        <v>4165</v>
      </c>
      <c r="D1078" t="s">
        <v>3</v>
      </c>
      <c r="E1078" t="s">
        <v>4</v>
      </c>
      <c r="F1078">
        <v>413</v>
      </c>
      <c r="G1078">
        <v>379</v>
      </c>
      <c r="H1078" t="s">
        <v>13</v>
      </c>
      <c r="I1078" t="b">
        <v>0</v>
      </c>
      <c r="J1078">
        <f t="shared" si="32"/>
        <v>0</v>
      </c>
      <c r="K1078" t="str">
        <f t="shared" si="33"/>
        <v>Neutral</v>
      </c>
    </row>
    <row r="1079" spans="1:11" x14ac:dyDescent="0.2">
      <c r="A1079" t="s">
        <v>2118</v>
      </c>
      <c r="B1079" t="s">
        <v>2119</v>
      </c>
      <c r="C1079" t="s">
        <v>2120</v>
      </c>
      <c r="D1079" t="s">
        <v>2121</v>
      </c>
      <c r="E1079" t="s">
        <v>4</v>
      </c>
      <c r="F1079">
        <v>173</v>
      </c>
      <c r="G1079">
        <v>291</v>
      </c>
      <c r="H1079" t="s">
        <v>13</v>
      </c>
      <c r="I1079" t="b">
        <v>0</v>
      </c>
      <c r="J1079">
        <f t="shared" si="32"/>
        <v>10</v>
      </c>
      <c r="K1079" t="str">
        <f t="shared" si="33"/>
        <v>Positive</v>
      </c>
    </row>
    <row r="1080" spans="1:11" x14ac:dyDescent="0.2">
      <c r="A1080" t="s">
        <v>2585</v>
      </c>
      <c r="B1080" t="s">
        <v>2586</v>
      </c>
      <c r="C1080" t="s">
        <v>2587</v>
      </c>
      <c r="D1080" t="s">
        <v>2588</v>
      </c>
      <c r="E1080" t="s">
        <v>4</v>
      </c>
      <c r="F1080">
        <v>7</v>
      </c>
      <c r="G1080">
        <v>44</v>
      </c>
      <c r="H1080" t="s">
        <v>13</v>
      </c>
      <c r="I1080" t="b">
        <v>0</v>
      </c>
      <c r="J1080">
        <f t="shared" si="32"/>
        <v>20</v>
      </c>
      <c r="K1080" t="str">
        <f t="shared" si="33"/>
        <v>Positive</v>
      </c>
    </row>
    <row r="1081" spans="1:11" x14ac:dyDescent="0.2">
      <c r="A1081" t="s">
        <v>343</v>
      </c>
      <c r="B1081" t="s">
        <v>344</v>
      </c>
      <c r="C1081" t="s">
        <v>345</v>
      </c>
      <c r="D1081" t="s">
        <v>346</v>
      </c>
      <c r="E1081" t="s">
        <v>4</v>
      </c>
      <c r="F1081">
        <v>594</v>
      </c>
      <c r="G1081">
        <v>80</v>
      </c>
      <c r="H1081" t="s">
        <v>13</v>
      </c>
      <c r="I1081" t="b">
        <v>0</v>
      </c>
      <c r="J1081">
        <f t="shared" si="32"/>
        <v>10</v>
      </c>
      <c r="K1081" t="str">
        <f t="shared" si="33"/>
        <v>Positive</v>
      </c>
    </row>
    <row r="1082" spans="1:11" x14ac:dyDescent="0.2">
      <c r="A1082" t="s">
        <v>1097</v>
      </c>
      <c r="B1082" t="s">
        <v>1098</v>
      </c>
      <c r="C1082" t="s">
        <v>1099</v>
      </c>
      <c r="D1082" t="s">
        <v>1100</v>
      </c>
      <c r="E1082" t="s">
        <v>4</v>
      </c>
      <c r="F1082">
        <v>1700</v>
      </c>
      <c r="G1082">
        <v>328</v>
      </c>
      <c r="H1082" t="s">
        <v>13</v>
      </c>
      <c r="I1082" t="b">
        <v>0</v>
      </c>
      <c r="J1082">
        <f t="shared" si="32"/>
        <v>10</v>
      </c>
      <c r="K1082" t="str">
        <f t="shared" si="33"/>
        <v>Positive</v>
      </c>
    </row>
    <row r="1083" spans="1:11" x14ac:dyDescent="0.2">
      <c r="A1083" t="s">
        <v>2561</v>
      </c>
      <c r="B1083" t="s">
        <v>2562</v>
      </c>
      <c r="C1083" t="s">
        <v>621</v>
      </c>
      <c r="D1083" t="s">
        <v>3</v>
      </c>
      <c r="E1083" t="s">
        <v>4</v>
      </c>
      <c r="F1083">
        <v>818</v>
      </c>
      <c r="G1083">
        <v>160</v>
      </c>
      <c r="H1083" t="s">
        <v>13</v>
      </c>
      <c r="I1083" t="b">
        <v>0</v>
      </c>
      <c r="J1083">
        <f t="shared" si="32"/>
        <v>20</v>
      </c>
      <c r="K1083" t="str">
        <f t="shared" si="33"/>
        <v>Positive</v>
      </c>
    </row>
    <row r="1084" spans="1:11" x14ac:dyDescent="0.2">
      <c r="A1084" t="s">
        <v>816</v>
      </c>
      <c r="B1084" t="s">
        <v>817</v>
      </c>
      <c r="C1084" t="s">
        <v>818</v>
      </c>
      <c r="D1084" t="s">
        <v>3</v>
      </c>
      <c r="E1084" t="s">
        <v>4</v>
      </c>
      <c r="F1084">
        <v>49</v>
      </c>
      <c r="G1084">
        <v>172</v>
      </c>
      <c r="H1084" t="s">
        <v>13</v>
      </c>
      <c r="I1084" t="b">
        <v>0</v>
      </c>
      <c r="J1084">
        <f t="shared" si="32"/>
        <v>10</v>
      </c>
      <c r="K1084" t="str">
        <f t="shared" si="33"/>
        <v>Positive</v>
      </c>
    </row>
    <row r="1085" spans="1:11" x14ac:dyDescent="0.2">
      <c r="A1085" t="s">
        <v>7149</v>
      </c>
      <c r="B1085" t="s">
        <v>7150</v>
      </c>
      <c r="C1085" t="s">
        <v>3429</v>
      </c>
      <c r="D1085" t="s">
        <v>7151</v>
      </c>
      <c r="E1085" t="s">
        <v>4</v>
      </c>
      <c r="F1085">
        <v>41350</v>
      </c>
      <c r="G1085">
        <v>974</v>
      </c>
      <c r="H1085" t="s">
        <v>13</v>
      </c>
      <c r="I1085" t="b">
        <v>0</v>
      </c>
      <c r="J1085">
        <f t="shared" si="32"/>
        <v>0</v>
      </c>
      <c r="K1085" t="str">
        <f t="shared" si="33"/>
        <v>Neutral</v>
      </c>
    </row>
    <row r="1086" spans="1:11" x14ac:dyDescent="0.2">
      <c r="A1086" t="s">
        <v>5292</v>
      </c>
      <c r="B1086" t="s">
        <v>5293</v>
      </c>
      <c r="C1086" t="s">
        <v>621</v>
      </c>
      <c r="D1086" t="s">
        <v>5252</v>
      </c>
      <c r="E1086" t="s">
        <v>4</v>
      </c>
      <c r="F1086">
        <v>329</v>
      </c>
      <c r="G1086">
        <v>294</v>
      </c>
      <c r="H1086" t="s">
        <v>114</v>
      </c>
      <c r="I1086" t="b">
        <v>0</v>
      </c>
      <c r="J1086">
        <f t="shared" si="32"/>
        <v>0</v>
      </c>
      <c r="K1086" t="str">
        <f t="shared" si="33"/>
        <v>Neutral</v>
      </c>
    </row>
    <row r="1087" spans="1:11" x14ac:dyDescent="0.2">
      <c r="A1087" t="s">
        <v>874</v>
      </c>
      <c r="B1087" t="s">
        <v>875</v>
      </c>
      <c r="C1087" t="s">
        <v>876</v>
      </c>
      <c r="D1087" t="s">
        <v>3</v>
      </c>
      <c r="E1087" t="s">
        <v>4</v>
      </c>
      <c r="F1087">
        <v>94</v>
      </c>
      <c r="G1087">
        <v>221</v>
      </c>
      <c r="H1087" t="s">
        <v>13</v>
      </c>
      <c r="I1087" t="b">
        <v>0</v>
      </c>
      <c r="J1087">
        <f t="shared" si="32"/>
        <v>0</v>
      </c>
      <c r="K1087" t="str">
        <f t="shared" si="33"/>
        <v>Neutral</v>
      </c>
    </row>
    <row r="1088" spans="1:11" x14ac:dyDescent="0.2">
      <c r="A1088" t="s">
        <v>4679</v>
      </c>
      <c r="B1088" t="s">
        <v>4680</v>
      </c>
      <c r="C1088" t="s">
        <v>185</v>
      </c>
      <c r="D1088" t="s">
        <v>4681</v>
      </c>
      <c r="E1088" t="s">
        <v>38</v>
      </c>
      <c r="F1088">
        <v>1809</v>
      </c>
      <c r="G1088">
        <v>1138</v>
      </c>
      <c r="H1088" t="s">
        <v>13</v>
      </c>
      <c r="I1088" t="b">
        <v>0</v>
      </c>
      <c r="J1088">
        <f t="shared" si="32"/>
        <v>0</v>
      </c>
      <c r="K1088" t="str">
        <f t="shared" si="33"/>
        <v>Neutral</v>
      </c>
    </row>
    <row r="1089" spans="1:11" x14ac:dyDescent="0.2">
      <c r="A1089" t="s">
        <v>6982</v>
      </c>
      <c r="B1089" t="s">
        <v>6983</v>
      </c>
      <c r="C1089" t="s">
        <v>6718</v>
      </c>
      <c r="D1089" t="s">
        <v>6984</v>
      </c>
      <c r="E1089" t="s">
        <v>4</v>
      </c>
      <c r="F1089">
        <v>585</v>
      </c>
      <c r="G1089">
        <v>468</v>
      </c>
      <c r="H1089" t="s">
        <v>13</v>
      </c>
      <c r="I1089" t="b">
        <v>0</v>
      </c>
      <c r="J1089">
        <f t="shared" si="32"/>
        <v>0</v>
      </c>
      <c r="K1089" t="str">
        <f t="shared" si="33"/>
        <v>Neutral</v>
      </c>
    </row>
    <row r="1090" spans="1:11" x14ac:dyDescent="0.2">
      <c r="A1090" t="s">
        <v>6258</v>
      </c>
      <c r="B1090" t="s">
        <v>6259</v>
      </c>
      <c r="C1090" t="s">
        <v>6260</v>
      </c>
      <c r="D1090" t="s">
        <v>6261</v>
      </c>
      <c r="E1090" t="s">
        <v>4</v>
      </c>
      <c r="F1090">
        <v>75</v>
      </c>
      <c r="G1090">
        <v>186</v>
      </c>
      <c r="H1090" t="s">
        <v>50</v>
      </c>
      <c r="I1090" t="b">
        <v>0</v>
      </c>
      <c r="J1090">
        <f t="shared" si="32"/>
        <v>-10</v>
      </c>
      <c r="K1090" t="str">
        <f t="shared" si="33"/>
        <v>Negative</v>
      </c>
    </row>
    <row r="1091" spans="1:11" x14ac:dyDescent="0.2">
      <c r="A1091" t="s">
        <v>593</v>
      </c>
      <c r="B1091" t="s">
        <v>594</v>
      </c>
      <c r="C1091" t="s">
        <v>595</v>
      </c>
      <c r="D1091" t="s">
        <v>3</v>
      </c>
      <c r="E1091" t="s">
        <v>4</v>
      </c>
      <c r="F1091">
        <v>327</v>
      </c>
      <c r="G1091">
        <v>372</v>
      </c>
      <c r="H1091" t="s">
        <v>13</v>
      </c>
      <c r="I1091" t="b">
        <v>0</v>
      </c>
      <c r="J1091">
        <f t="shared" ref="J1091:J1154" si="34">sentimentCalc(B1091)</f>
        <v>10</v>
      </c>
      <c r="K1091" t="str">
        <f t="shared" ref="K1091:K1154" si="35">sentimentCategory(J1091)</f>
        <v>Positive</v>
      </c>
    </row>
    <row r="1092" spans="1:11" x14ac:dyDescent="0.2">
      <c r="A1092" t="s">
        <v>6586</v>
      </c>
      <c r="B1092" t="s">
        <v>6587</v>
      </c>
      <c r="C1092" t="s">
        <v>155</v>
      </c>
      <c r="D1092" t="s">
        <v>182</v>
      </c>
      <c r="E1092" t="s">
        <v>4</v>
      </c>
      <c r="F1092">
        <v>362</v>
      </c>
      <c r="G1092">
        <v>25</v>
      </c>
      <c r="H1092" t="s">
        <v>13</v>
      </c>
      <c r="I1092" t="b">
        <v>0</v>
      </c>
      <c r="J1092">
        <f t="shared" si="34"/>
        <v>0</v>
      </c>
      <c r="K1092" t="str">
        <f t="shared" si="35"/>
        <v>Neutral</v>
      </c>
    </row>
    <row r="1093" spans="1:11" x14ac:dyDescent="0.2">
      <c r="A1093" t="s">
        <v>1899</v>
      </c>
      <c r="B1093" t="s">
        <v>1900</v>
      </c>
      <c r="C1093" t="s">
        <v>1328</v>
      </c>
      <c r="D1093" t="s">
        <v>1901</v>
      </c>
      <c r="E1093" t="s">
        <v>4</v>
      </c>
      <c r="F1093">
        <v>97</v>
      </c>
      <c r="G1093">
        <v>89</v>
      </c>
      <c r="H1093" t="s">
        <v>13</v>
      </c>
      <c r="I1093" t="b">
        <v>0</v>
      </c>
      <c r="J1093">
        <f t="shared" si="34"/>
        <v>0</v>
      </c>
      <c r="K1093" t="str">
        <f t="shared" si="35"/>
        <v>Neutral</v>
      </c>
    </row>
    <row r="1094" spans="1:11" x14ac:dyDescent="0.2">
      <c r="A1094" t="s">
        <v>2443</v>
      </c>
      <c r="B1094" t="s">
        <v>2444</v>
      </c>
      <c r="C1094" t="s">
        <v>1862</v>
      </c>
      <c r="D1094" t="s">
        <v>220</v>
      </c>
      <c r="E1094" t="s">
        <v>4</v>
      </c>
      <c r="F1094">
        <v>580</v>
      </c>
      <c r="G1094">
        <v>501</v>
      </c>
      <c r="H1094" t="s">
        <v>13</v>
      </c>
      <c r="I1094" t="b">
        <v>0</v>
      </c>
      <c r="J1094">
        <f t="shared" si="34"/>
        <v>0</v>
      </c>
      <c r="K1094" t="str">
        <f t="shared" si="35"/>
        <v>Neutral</v>
      </c>
    </row>
    <row r="1095" spans="1:11" x14ac:dyDescent="0.2">
      <c r="A1095" t="s">
        <v>1418</v>
      </c>
      <c r="B1095" t="s">
        <v>1419</v>
      </c>
      <c r="C1095" t="s">
        <v>1420</v>
      </c>
      <c r="D1095" t="s">
        <v>550</v>
      </c>
      <c r="E1095" t="s">
        <v>4</v>
      </c>
      <c r="F1095">
        <v>501</v>
      </c>
      <c r="G1095">
        <v>641</v>
      </c>
      <c r="H1095" t="s">
        <v>13</v>
      </c>
      <c r="I1095" t="b">
        <v>0</v>
      </c>
      <c r="J1095">
        <f t="shared" si="34"/>
        <v>0</v>
      </c>
      <c r="K1095" t="str">
        <f t="shared" si="35"/>
        <v>Neutral</v>
      </c>
    </row>
    <row r="1096" spans="1:11" x14ac:dyDescent="0.2">
      <c r="A1096" t="s">
        <v>1150</v>
      </c>
      <c r="B1096" t="s">
        <v>1151</v>
      </c>
      <c r="C1096" t="s">
        <v>1152</v>
      </c>
      <c r="D1096" t="s">
        <v>1153</v>
      </c>
      <c r="E1096" t="s">
        <v>4</v>
      </c>
      <c r="F1096">
        <v>413</v>
      </c>
      <c r="G1096">
        <v>784</v>
      </c>
      <c r="H1096" t="s">
        <v>13</v>
      </c>
      <c r="I1096" t="b">
        <v>0</v>
      </c>
      <c r="J1096">
        <f t="shared" si="34"/>
        <v>0</v>
      </c>
      <c r="K1096" t="str">
        <f t="shared" si="35"/>
        <v>Neutral</v>
      </c>
    </row>
    <row r="1097" spans="1:11" x14ac:dyDescent="0.2">
      <c r="A1097" t="s">
        <v>699</v>
      </c>
      <c r="B1097" t="s">
        <v>700</v>
      </c>
      <c r="C1097" t="s">
        <v>701</v>
      </c>
      <c r="D1097" t="s">
        <v>663</v>
      </c>
      <c r="E1097" t="s">
        <v>4</v>
      </c>
      <c r="F1097">
        <v>85</v>
      </c>
      <c r="G1097">
        <v>79</v>
      </c>
      <c r="H1097" t="s">
        <v>13</v>
      </c>
      <c r="I1097" t="b">
        <v>0</v>
      </c>
      <c r="J1097">
        <f t="shared" si="34"/>
        <v>0</v>
      </c>
      <c r="K1097" t="str">
        <f t="shared" si="35"/>
        <v>Neutral</v>
      </c>
    </row>
    <row r="1098" spans="1:11" x14ac:dyDescent="0.2">
      <c r="A1098" t="s">
        <v>3476</v>
      </c>
      <c r="B1098" t="s">
        <v>3477</v>
      </c>
      <c r="C1098" t="s">
        <v>3478</v>
      </c>
      <c r="D1098" t="s">
        <v>3</v>
      </c>
      <c r="E1098" t="s">
        <v>4</v>
      </c>
      <c r="F1098">
        <v>2</v>
      </c>
      <c r="G1098">
        <v>24</v>
      </c>
      <c r="H1098" t="s">
        <v>13</v>
      </c>
      <c r="I1098" t="b">
        <v>0</v>
      </c>
      <c r="J1098">
        <f t="shared" si="34"/>
        <v>-10</v>
      </c>
      <c r="K1098" t="str">
        <f t="shared" si="35"/>
        <v>Negative</v>
      </c>
    </row>
    <row r="1099" spans="1:11" x14ac:dyDescent="0.2">
      <c r="A1099" t="s">
        <v>3402</v>
      </c>
      <c r="B1099" t="s">
        <v>3403</v>
      </c>
      <c r="C1099" t="s">
        <v>3404</v>
      </c>
      <c r="D1099" t="s">
        <v>3405</v>
      </c>
      <c r="E1099" t="s">
        <v>4</v>
      </c>
      <c r="F1099">
        <v>474</v>
      </c>
      <c r="G1099">
        <v>748</v>
      </c>
      <c r="H1099" t="s">
        <v>13</v>
      </c>
      <c r="I1099" t="b">
        <v>0</v>
      </c>
      <c r="J1099">
        <f t="shared" si="34"/>
        <v>10</v>
      </c>
      <c r="K1099" t="str">
        <f t="shared" si="35"/>
        <v>Positive</v>
      </c>
    </row>
    <row r="1100" spans="1:11" x14ac:dyDescent="0.2">
      <c r="A1100" t="s">
        <v>1312</v>
      </c>
      <c r="B1100" t="s">
        <v>1313</v>
      </c>
      <c r="C1100" t="s">
        <v>349</v>
      </c>
      <c r="D1100" t="s">
        <v>1314</v>
      </c>
      <c r="E1100" t="s">
        <v>4</v>
      </c>
      <c r="F1100">
        <v>785</v>
      </c>
      <c r="G1100">
        <v>682</v>
      </c>
      <c r="H1100" t="s">
        <v>13</v>
      </c>
      <c r="I1100" t="b">
        <v>0</v>
      </c>
      <c r="J1100">
        <f t="shared" si="34"/>
        <v>0</v>
      </c>
      <c r="K1100" t="str">
        <f t="shared" si="35"/>
        <v>Neutral</v>
      </c>
    </row>
    <row r="1101" spans="1:11" x14ac:dyDescent="0.2">
      <c r="A1101" t="s">
        <v>6334</v>
      </c>
      <c r="B1101" t="s">
        <v>6335</v>
      </c>
      <c r="C1101" t="s">
        <v>5105</v>
      </c>
      <c r="D1101" t="s">
        <v>6336</v>
      </c>
      <c r="E1101" t="s">
        <v>4</v>
      </c>
      <c r="F1101">
        <v>1414</v>
      </c>
      <c r="G1101">
        <v>413</v>
      </c>
      <c r="H1101" t="s">
        <v>13</v>
      </c>
      <c r="I1101" t="b">
        <v>0</v>
      </c>
      <c r="J1101">
        <f t="shared" si="34"/>
        <v>10</v>
      </c>
      <c r="K1101" t="str">
        <f t="shared" si="35"/>
        <v>Positive</v>
      </c>
    </row>
    <row r="1102" spans="1:11" x14ac:dyDescent="0.2">
      <c r="A1102" t="s">
        <v>3636</v>
      </c>
      <c r="B1102" t="s">
        <v>3637</v>
      </c>
      <c r="C1102" t="s">
        <v>2599</v>
      </c>
      <c r="D1102" t="s">
        <v>3</v>
      </c>
      <c r="E1102" t="s">
        <v>4</v>
      </c>
      <c r="F1102">
        <v>502</v>
      </c>
      <c r="G1102">
        <v>1865</v>
      </c>
      <c r="H1102" t="s">
        <v>13</v>
      </c>
      <c r="I1102" t="b">
        <v>0</v>
      </c>
      <c r="J1102">
        <f t="shared" si="34"/>
        <v>-10</v>
      </c>
      <c r="K1102" t="str">
        <f t="shared" si="35"/>
        <v>Negative</v>
      </c>
    </row>
    <row r="1103" spans="1:11" x14ac:dyDescent="0.2">
      <c r="A1103" t="s">
        <v>4427</v>
      </c>
      <c r="B1103" t="s">
        <v>4428</v>
      </c>
      <c r="C1103" t="s">
        <v>4429</v>
      </c>
      <c r="D1103" t="s">
        <v>2280</v>
      </c>
      <c r="E1103" t="s">
        <v>4</v>
      </c>
      <c r="F1103">
        <v>512</v>
      </c>
      <c r="G1103">
        <v>786</v>
      </c>
      <c r="H1103" t="s">
        <v>13</v>
      </c>
      <c r="I1103" t="b">
        <v>0</v>
      </c>
      <c r="J1103">
        <f t="shared" si="34"/>
        <v>-10</v>
      </c>
      <c r="K1103" t="str">
        <f t="shared" si="35"/>
        <v>Negative</v>
      </c>
    </row>
    <row r="1104" spans="1:11" x14ac:dyDescent="0.2">
      <c r="A1104" t="s">
        <v>2790</v>
      </c>
      <c r="B1104" t="s">
        <v>2791</v>
      </c>
      <c r="C1104" t="s">
        <v>2155</v>
      </c>
      <c r="D1104" t="s">
        <v>1964</v>
      </c>
      <c r="E1104" t="s">
        <v>4</v>
      </c>
      <c r="F1104">
        <v>137</v>
      </c>
      <c r="G1104">
        <v>513</v>
      </c>
      <c r="H1104" t="s">
        <v>13</v>
      </c>
      <c r="I1104" t="b">
        <v>0</v>
      </c>
      <c r="J1104">
        <f t="shared" si="34"/>
        <v>0</v>
      </c>
      <c r="K1104" t="str">
        <f t="shared" si="35"/>
        <v>Neutral</v>
      </c>
    </row>
    <row r="1105" spans="1:11" x14ac:dyDescent="0.2">
      <c r="A1105" t="s">
        <v>4990</v>
      </c>
      <c r="B1105" t="s">
        <v>4991</v>
      </c>
      <c r="C1105" t="s">
        <v>4017</v>
      </c>
      <c r="D1105" t="s">
        <v>3605</v>
      </c>
      <c r="E1105" t="s">
        <v>4</v>
      </c>
      <c r="F1105">
        <v>1309</v>
      </c>
      <c r="G1105">
        <v>4954</v>
      </c>
      <c r="H1105" t="s">
        <v>13</v>
      </c>
      <c r="I1105" t="b">
        <v>0</v>
      </c>
      <c r="J1105">
        <f t="shared" si="34"/>
        <v>0</v>
      </c>
      <c r="K1105" t="str">
        <f t="shared" si="35"/>
        <v>Neutral</v>
      </c>
    </row>
    <row r="1106" spans="1:11" x14ac:dyDescent="0.2">
      <c r="A1106" t="s">
        <v>1470</v>
      </c>
      <c r="B1106" t="s">
        <v>1471</v>
      </c>
      <c r="C1106" t="s">
        <v>1472</v>
      </c>
      <c r="D1106" t="s">
        <v>1473</v>
      </c>
      <c r="E1106" t="s">
        <v>4</v>
      </c>
      <c r="F1106">
        <v>285</v>
      </c>
      <c r="G1106">
        <v>608</v>
      </c>
      <c r="H1106" t="s">
        <v>13</v>
      </c>
      <c r="I1106" t="b">
        <v>0</v>
      </c>
      <c r="J1106">
        <f t="shared" si="34"/>
        <v>0</v>
      </c>
      <c r="K1106" t="str">
        <f t="shared" si="35"/>
        <v>Neutral</v>
      </c>
    </row>
    <row r="1107" spans="1:11" x14ac:dyDescent="0.2">
      <c r="A1107" t="s">
        <v>5851</v>
      </c>
      <c r="B1107" t="s">
        <v>5852</v>
      </c>
      <c r="C1107" t="s">
        <v>1812</v>
      </c>
      <c r="D1107" t="s">
        <v>3</v>
      </c>
      <c r="E1107" t="s">
        <v>4</v>
      </c>
      <c r="F1107">
        <v>5</v>
      </c>
      <c r="G1107">
        <v>56</v>
      </c>
      <c r="H1107" t="s">
        <v>13</v>
      </c>
      <c r="I1107" t="b">
        <v>0</v>
      </c>
      <c r="J1107">
        <f t="shared" si="34"/>
        <v>0</v>
      </c>
      <c r="K1107" t="str">
        <f t="shared" si="35"/>
        <v>Neutral</v>
      </c>
    </row>
    <row r="1108" spans="1:11" x14ac:dyDescent="0.2">
      <c r="A1108" t="s">
        <v>1403</v>
      </c>
      <c r="B1108" t="s">
        <v>1404</v>
      </c>
      <c r="C1108" t="s">
        <v>1405</v>
      </c>
      <c r="D1108" t="s">
        <v>1406</v>
      </c>
      <c r="E1108" t="s">
        <v>4</v>
      </c>
      <c r="F1108">
        <v>243</v>
      </c>
      <c r="G1108">
        <v>307</v>
      </c>
      <c r="H1108" t="s">
        <v>13</v>
      </c>
      <c r="I1108" t="b">
        <v>0</v>
      </c>
      <c r="J1108">
        <f t="shared" si="34"/>
        <v>0</v>
      </c>
      <c r="K1108" t="str">
        <f t="shared" si="35"/>
        <v>Neutral</v>
      </c>
    </row>
    <row r="1109" spans="1:11" x14ac:dyDescent="0.2">
      <c r="A1109" t="s">
        <v>7166</v>
      </c>
      <c r="B1109" t="s">
        <v>7167</v>
      </c>
      <c r="C1109" t="s">
        <v>5300</v>
      </c>
      <c r="D1109" t="s">
        <v>5301</v>
      </c>
      <c r="E1109" t="s">
        <v>4</v>
      </c>
      <c r="F1109">
        <v>41</v>
      </c>
      <c r="G1109">
        <v>178</v>
      </c>
      <c r="H1109" t="s">
        <v>13</v>
      </c>
      <c r="I1109" t="b">
        <v>0</v>
      </c>
      <c r="J1109">
        <f t="shared" si="34"/>
        <v>0</v>
      </c>
      <c r="K1109" t="str">
        <f t="shared" si="35"/>
        <v>Neutral</v>
      </c>
    </row>
    <row r="1110" spans="1:11" x14ac:dyDescent="0.2">
      <c r="A1110" t="s">
        <v>798</v>
      </c>
      <c r="B1110" t="s">
        <v>799</v>
      </c>
      <c r="C1110" t="s">
        <v>800</v>
      </c>
      <c r="D1110" t="s">
        <v>801</v>
      </c>
      <c r="E1110" t="s">
        <v>4</v>
      </c>
      <c r="F1110">
        <v>147</v>
      </c>
      <c r="G1110">
        <v>946</v>
      </c>
      <c r="H1110" t="s">
        <v>13</v>
      </c>
      <c r="I1110" t="b">
        <v>0</v>
      </c>
      <c r="J1110">
        <f t="shared" si="34"/>
        <v>10</v>
      </c>
      <c r="K1110" t="str">
        <f t="shared" si="35"/>
        <v>Positive</v>
      </c>
    </row>
    <row r="1111" spans="1:11" x14ac:dyDescent="0.2">
      <c r="A1111" t="s">
        <v>2041</v>
      </c>
      <c r="B1111" t="s">
        <v>2042</v>
      </c>
      <c r="C1111" t="s">
        <v>2043</v>
      </c>
      <c r="D1111" t="s">
        <v>101</v>
      </c>
      <c r="E1111" t="s">
        <v>4</v>
      </c>
      <c r="F1111">
        <v>4164</v>
      </c>
      <c r="G1111">
        <v>1594</v>
      </c>
      <c r="H1111" t="s">
        <v>13</v>
      </c>
      <c r="I1111" t="b">
        <v>0</v>
      </c>
      <c r="J1111">
        <f t="shared" si="34"/>
        <v>0</v>
      </c>
      <c r="K1111" t="str">
        <f t="shared" si="35"/>
        <v>Neutral</v>
      </c>
    </row>
    <row r="1112" spans="1:11" x14ac:dyDescent="0.2">
      <c r="A1112" t="s">
        <v>3950</v>
      </c>
      <c r="B1112" t="s">
        <v>3951</v>
      </c>
      <c r="C1112" t="s">
        <v>385</v>
      </c>
      <c r="D1112" t="s">
        <v>3</v>
      </c>
      <c r="E1112" t="s">
        <v>4</v>
      </c>
      <c r="F1112">
        <v>17</v>
      </c>
      <c r="G1112">
        <v>27</v>
      </c>
      <c r="H1112" t="s">
        <v>2184</v>
      </c>
      <c r="I1112" t="b">
        <v>0</v>
      </c>
      <c r="J1112">
        <f t="shared" si="34"/>
        <v>-10</v>
      </c>
      <c r="K1112" t="str">
        <f t="shared" si="35"/>
        <v>Negative</v>
      </c>
    </row>
    <row r="1113" spans="1:11" x14ac:dyDescent="0.2">
      <c r="A1113" t="s">
        <v>6028</v>
      </c>
      <c r="B1113" t="s">
        <v>6029</v>
      </c>
      <c r="C1113" t="s">
        <v>3085</v>
      </c>
      <c r="D1113" t="s">
        <v>71</v>
      </c>
      <c r="E1113" t="s">
        <v>4</v>
      </c>
      <c r="F1113">
        <v>212</v>
      </c>
      <c r="G1113">
        <v>87</v>
      </c>
      <c r="H1113" t="s">
        <v>13</v>
      </c>
      <c r="I1113" t="b">
        <v>0</v>
      </c>
      <c r="J1113">
        <f t="shared" si="34"/>
        <v>0</v>
      </c>
      <c r="K1113" t="str">
        <f t="shared" si="35"/>
        <v>Neutral</v>
      </c>
    </row>
    <row r="1114" spans="1:11" x14ac:dyDescent="0.2">
      <c r="A1114" t="s">
        <v>6556</v>
      </c>
      <c r="B1114" t="s">
        <v>6558</v>
      </c>
      <c r="C1114" t="s">
        <v>832</v>
      </c>
      <c r="D1114" t="s">
        <v>3</v>
      </c>
      <c r="E1114" t="s">
        <v>4</v>
      </c>
      <c r="F1114">
        <v>435</v>
      </c>
      <c r="G1114">
        <v>497</v>
      </c>
      <c r="H1114" t="s">
        <v>13</v>
      </c>
      <c r="I1114" t="b">
        <v>0</v>
      </c>
      <c r="J1114">
        <f t="shared" si="34"/>
        <v>0</v>
      </c>
      <c r="K1114" t="str">
        <f t="shared" si="35"/>
        <v>Neutral</v>
      </c>
    </row>
    <row r="1115" spans="1:11" x14ac:dyDescent="0.2">
      <c r="A1115" t="s">
        <v>3108</v>
      </c>
      <c r="B1115" t="s">
        <v>3110</v>
      </c>
      <c r="C1115" t="s">
        <v>579</v>
      </c>
      <c r="D1115" t="s">
        <v>3111</v>
      </c>
      <c r="E1115" t="s">
        <v>4</v>
      </c>
      <c r="F1115">
        <v>956</v>
      </c>
      <c r="G1115">
        <v>35</v>
      </c>
      <c r="H1115" t="s">
        <v>13</v>
      </c>
      <c r="I1115" t="b">
        <v>0</v>
      </c>
      <c r="J1115">
        <f t="shared" si="34"/>
        <v>0</v>
      </c>
      <c r="K1115" t="str">
        <f t="shared" si="35"/>
        <v>Neutral</v>
      </c>
    </row>
    <row r="1116" spans="1:11" x14ac:dyDescent="0.2">
      <c r="A1116" t="s">
        <v>3865</v>
      </c>
      <c r="B1116" t="s">
        <v>3866</v>
      </c>
      <c r="C1116" t="s">
        <v>3867</v>
      </c>
      <c r="D1116" t="s">
        <v>1083</v>
      </c>
      <c r="E1116" t="s">
        <v>4</v>
      </c>
      <c r="F1116">
        <v>1194</v>
      </c>
      <c r="G1116">
        <v>610</v>
      </c>
      <c r="H1116" t="s">
        <v>13</v>
      </c>
      <c r="I1116" t="b">
        <v>0</v>
      </c>
      <c r="J1116">
        <f t="shared" si="34"/>
        <v>10</v>
      </c>
      <c r="K1116" t="str">
        <f t="shared" si="35"/>
        <v>Positive</v>
      </c>
    </row>
    <row r="1117" spans="1:11" x14ac:dyDescent="0.2">
      <c r="A1117" t="s">
        <v>6976</v>
      </c>
      <c r="B1117" t="s">
        <v>6977</v>
      </c>
      <c r="C1117" t="s">
        <v>3085</v>
      </c>
      <c r="D1117" t="s">
        <v>1439</v>
      </c>
      <c r="E1117" t="s">
        <v>4</v>
      </c>
      <c r="F1117">
        <v>123</v>
      </c>
      <c r="G1117">
        <v>426</v>
      </c>
      <c r="H1117" t="s">
        <v>13</v>
      </c>
      <c r="I1117" t="b">
        <v>0</v>
      </c>
      <c r="J1117">
        <f t="shared" si="34"/>
        <v>10</v>
      </c>
      <c r="K1117" t="str">
        <f t="shared" si="35"/>
        <v>Positive</v>
      </c>
    </row>
    <row r="1118" spans="1:11" x14ac:dyDescent="0.2">
      <c r="A1118" t="s">
        <v>4871</v>
      </c>
      <c r="B1118" t="s">
        <v>4872</v>
      </c>
      <c r="C1118" t="s">
        <v>4873</v>
      </c>
      <c r="D1118" t="s">
        <v>2501</v>
      </c>
      <c r="E1118" t="s">
        <v>4</v>
      </c>
      <c r="F1118">
        <v>26</v>
      </c>
      <c r="G1118">
        <v>116</v>
      </c>
      <c r="H1118" t="s">
        <v>13</v>
      </c>
      <c r="I1118" t="b">
        <v>0</v>
      </c>
      <c r="J1118">
        <f t="shared" si="34"/>
        <v>0</v>
      </c>
      <c r="K1118" t="str">
        <f t="shared" si="35"/>
        <v>Neutral</v>
      </c>
    </row>
    <row r="1119" spans="1:11" x14ac:dyDescent="0.2">
      <c r="A1119" t="s">
        <v>6831</v>
      </c>
      <c r="B1119" t="s">
        <v>6832</v>
      </c>
      <c r="C1119" t="s">
        <v>4902</v>
      </c>
      <c r="D1119" t="s">
        <v>1242</v>
      </c>
      <c r="E1119" t="s">
        <v>4</v>
      </c>
      <c r="F1119">
        <v>240</v>
      </c>
      <c r="G1119">
        <v>171</v>
      </c>
      <c r="H1119" t="s">
        <v>13</v>
      </c>
      <c r="I1119" t="b">
        <v>0</v>
      </c>
      <c r="J1119">
        <f t="shared" si="34"/>
        <v>10</v>
      </c>
      <c r="K1119" t="str">
        <f t="shared" si="35"/>
        <v>Positive</v>
      </c>
    </row>
    <row r="1120" spans="1:11" x14ac:dyDescent="0.2">
      <c r="A1120" t="s">
        <v>6872</v>
      </c>
      <c r="B1120" t="s">
        <v>6873</v>
      </c>
      <c r="C1120" t="s">
        <v>5881</v>
      </c>
      <c r="D1120" t="s">
        <v>6874</v>
      </c>
      <c r="E1120" t="s">
        <v>4</v>
      </c>
      <c r="F1120">
        <v>41</v>
      </c>
      <c r="G1120">
        <v>58</v>
      </c>
      <c r="H1120" t="s">
        <v>13</v>
      </c>
      <c r="I1120" t="b">
        <v>0</v>
      </c>
      <c r="J1120">
        <f t="shared" si="34"/>
        <v>0</v>
      </c>
      <c r="K1120" t="str">
        <f t="shared" si="35"/>
        <v>Neutral</v>
      </c>
    </row>
    <row r="1121" spans="1:11" x14ac:dyDescent="0.2">
      <c r="A1121" t="s">
        <v>6146</v>
      </c>
      <c r="B1121" t="s">
        <v>6147</v>
      </c>
      <c r="C1121" t="s">
        <v>549</v>
      </c>
      <c r="D1121" t="s">
        <v>3</v>
      </c>
      <c r="E1121" t="s">
        <v>4</v>
      </c>
      <c r="F1121">
        <v>52</v>
      </c>
      <c r="G1121">
        <v>74</v>
      </c>
      <c r="H1121" t="s">
        <v>13</v>
      </c>
      <c r="I1121" t="b">
        <v>0</v>
      </c>
      <c r="J1121">
        <f t="shared" si="34"/>
        <v>0</v>
      </c>
      <c r="K1121" t="str">
        <f t="shared" si="35"/>
        <v>Neutral</v>
      </c>
    </row>
    <row r="1122" spans="1:11" x14ac:dyDescent="0.2">
      <c r="A1122" t="s">
        <v>3577</v>
      </c>
      <c r="B1122" t="s">
        <v>3578</v>
      </c>
      <c r="C1122" t="s">
        <v>959</v>
      </c>
      <c r="D1122" t="s">
        <v>3</v>
      </c>
      <c r="E1122" t="s">
        <v>4</v>
      </c>
      <c r="F1122">
        <v>2191</v>
      </c>
      <c r="G1122">
        <v>151</v>
      </c>
      <c r="H1122" t="s">
        <v>13</v>
      </c>
      <c r="I1122" t="b">
        <v>0</v>
      </c>
      <c r="J1122">
        <f t="shared" si="34"/>
        <v>0</v>
      </c>
      <c r="K1122" t="str">
        <f t="shared" si="35"/>
        <v>Neutral</v>
      </c>
    </row>
    <row r="1123" spans="1:11" x14ac:dyDescent="0.2">
      <c r="A1123" t="s">
        <v>1310</v>
      </c>
      <c r="B1123" t="s">
        <v>1311</v>
      </c>
      <c r="C1123" t="s">
        <v>275</v>
      </c>
      <c r="D1123" t="s">
        <v>3</v>
      </c>
      <c r="E1123" t="s">
        <v>4</v>
      </c>
      <c r="F1123">
        <v>39</v>
      </c>
      <c r="G1123">
        <v>67</v>
      </c>
      <c r="H1123" t="s">
        <v>13</v>
      </c>
      <c r="I1123" t="b">
        <v>0</v>
      </c>
      <c r="J1123">
        <f t="shared" si="34"/>
        <v>0</v>
      </c>
      <c r="K1123" t="str">
        <f t="shared" si="35"/>
        <v>Neutral</v>
      </c>
    </row>
    <row r="1124" spans="1:11" x14ac:dyDescent="0.2">
      <c r="A1124" t="s">
        <v>1894</v>
      </c>
      <c r="B1124" t="s">
        <v>1895</v>
      </c>
      <c r="C1124" t="s">
        <v>1896</v>
      </c>
      <c r="D1124" t="s">
        <v>1817</v>
      </c>
      <c r="E1124" t="s">
        <v>4</v>
      </c>
      <c r="F1124">
        <v>6391</v>
      </c>
      <c r="G1124">
        <v>1185</v>
      </c>
      <c r="H1124" t="s">
        <v>13</v>
      </c>
      <c r="I1124" t="b">
        <v>0</v>
      </c>
      <c r="J1124">
        <f t="shared" si="34"/>
        <v>0</v>
      </c>
      <c r="K1124" t="str">
        <f t="shared" si="35"/>
        <v>Neutral</v>
      </c>
    </row>
    <row r="1125" spans="1:11" x14ac:dyDescent="0.2">
      <c r="A1125" t="s">
        <v>2330</v>
      </c>
      <c r="B1125" t="s">
        <v>2331</v>
      </c>
      <c r="C1125" t="s">
        <v>395</v>
      </c>
      <c r="D1125" t="s">
        <v>396</v>
      </c>
      <c r="E1125" t="s">
        <v>4</v>
      </c>
      <c r="F1125">
        <v>53</v>
      </c>
      <c r="G1125">
        <v>242</v>
      </c>
      <c r="H1125" t="s">
        <v>13</v>
      </c>
      <c r="I1125" t="b">
        <v>0</v>
      </c>
      <c r="J1125">
        <f t="shared" si="34"/>
        <v>0</v>
      </c>
      <c r="K1125" t="str">
        <f t="shared" si="35"/>
        <v>Neutral</v>
      </c>
    </row>
    <row r="1126" spans="1:11" x14ac:dyDescent="0.2">
      <c r="A1126" t="s">
        <v>2285</v>
      </c>
      <c r="B1126" t="s">
        <v>2286</v>
      </c>
      <c r="C1126" t="s">
        <v>2287</v>
      </c>
      <c r="D1126" t="s">
        <v>2288</v>
      </c>
      <c r="E1126" t="s">
        <v>4</v>
      </c>
      <c r="F1126">
        <v>8</v>
      </c>
      <c r="G1126">
        <v>20</v>
      </c>
      <c r="H1126" t="s">
        <v>342</v>
      </c>
      <c r="I1126" t="b">
        <v>0</v>
      </c>
      <c r="J1126">
        <f t="shared" si="34"/>
        <v>0</v>
      </c>
      <c r="K1126" t="str">
        <f t="shared" si="35"/>
        <v>Neutral</v>
      </c>
    </row>
    <row r="1127" spans="1:11" x14ac:dyDescent="0.2">
      <c r="A1127" t="s">
        <v>5562</v>
      </c>
      <c r="B1127" t="s">
        <v>5563</v>
      </c>
      <c r="C1127" t="s">
        <v>2065</v>
      </c>
      <c r="D1127" t="s">
        <v>2066</v>
      </c>
      <c r="E1127" t="s">
        <v>4</v>
      </c>
      <c r="F1127">
        <v>9756</v>
      </c>
      <c r="G1127">
        <v>399</v>
      </c>
      <c r="H1127" t="s">
        <v>13</v>
      </c>
      <c r="I1127" t="b">
        <v>0</v>
      </c>
      <c r="J1127">
        <f t="shared" si="34"/>
        <v>0</v>
      </c>
      <c r="K1127" t="str">
        <f t="shared" si="35"/>
        <v>Neutral</v>
      </c>
    </row>
    <row r="1128" spans="1:11" x14ac:dyDescent="0.2">
      <c r="A1128" t="s">
        <v>51</v>
      </c>
      <c r="B1128" t="s">
        <v>52</v>
      </c>
      <c r="C1128" t="s">
        <v>53</v>
      </c>
      <c r="D1128" t="s">
        <v>54</v>
      </c>
      <c r="E1128" t="s">
        <v>4</v>
      </c>
      <c r="F1128">
        <v>629</v>
      </c>
      <c r="G1128">
        <v>139</v>
      </c>
      <c r="H1128" t="s">
        <v>13</v>
      </c>
      <c r="I1128" t="b">
        <v>0</v>
      </c>
      <c r="J1128">
        <f t="shared" si="34"/>
        <v>-10</v>
      </c>
      <c r="K1128" t="str">
        <f t="shared" si="35"/>
        <v>Negative</v>
      </c>
    </row>
    <row r="1129" spans="1:11" x14ac:dyDescent="0.2">
      <c r="A1129" t="s">
        <v>1591</v>
      </c>
      <c r="B1129" t="s">
        <v>1592</v>
      </c>
      <c r="C1129" t="s">
        <v>758</v>
      </c>
      <c r="D1129" t="s">
        <v>1593</v>
      </c>
      <c r="E1129" t="s">
        <v>4</v>
      </c>
      <c r="F1129">
        <v>950</v>
      </c>
      <c r="G1129">
        <v>264</v>
      </c>
      <c r="H1129" t="s">
        <v>13</v>
      </c>
      <c r="I1129" t="b">
        <v>0</v>
      </c>
      <c r="J1129">
        <f t="shared" si="34"/>
        <v>10</v>
      </c>
      <c r="K1129" t="str">
        <f t="shared" si="35"/>
        <v>Positive</v>
      </c>
    </row>
    <row r="1130" spans="1:11" x14ac:dyDescent="0.2">
      <c r="A1130" t="s">
        <v>1793</v>
      </c>
      <c r="B1130" t="s">
        <v>1794</v>
      </c>
      <c r="C1130" t="s">
        <v>1795</v>
      </c>
      <c r="D1130" t="s">
        <v>3</v>
      </c>
      <c r="E1130" t="s">
        <v>4</v>
      </c>
      <c r="F1130">
        <v>285</v>
      </c>
      <c r="G1130">
        <v>545</v>
      </c>
      <c r="H1130" t="s">
        <v>13</v>
      </c>
      <c r="I1130" t="b">
        <v>0</v>
      </c>
      <c r="J1130">
        <f t="shared" si="34"/>
        <v>-10</v>
      </c>
      <c r="K1130" t="str">
        <f t="shared" si="35"/>
        <v>Negative</v>
      </c>
    </row>
    <row r="1131" spans="1:11" x14ac:dyDescent="0.2">
      <c r="A1131" t="s">
        <v>6669</v>
      </c>
      <c r="B1131" t="s">
        <v>6670</v>
      </c>
      <c r="C1131" t="s">
        <v>2761</v>
      </c>
      <c r="D1131" t="s">
        <v>6671</v>
      </c>
      <c r="E1131" t="s">
        <v>4</v>
      </c>
      <c r="F1131">
        <v>1880</v>
      </c>
      <c r="G1131">
        <v>562</v>
      </c>
      <c r="H1131" t="s">
        <v>13</v>
      </c>
      <c r="I1131" t="b">
        <v>0</v>
      </c>
      <c r="J1131">
        <f t="shared" si="34"/>
        <v>0</v>
      </c>
      <c r="K1131" t="str">
        <f t="shared" si="35"/>
        <v>Neutral</v>
      </c>
    </row>
    <row r="1132" spans="1:11" x14ac:dyDescent="0.2">
      <c r="A1132" t="s">
        <v>3533</v>
      </c>
      <c r="B1132" t="s">
        <v>3534</v>
      </c>
      <c r="C1132" t="s">
        <v>2106</v>
      </c>
      <c r="D1132" t="s">
        <v>3535</v>
      </c>
      <c r="E1132" t="s">
        <v>4</v>
      </c>
      <c r="F1132">
        <v>33</v>
      </c>
      <c r="G1132">
        <v>293</v>
      </c>
      <c r="H1132" t="s">
        <v>13</v>
      </c>
      <c r="I1132" t="b">
        <v>0</v>
      </c>
      <c r="J1132">
        <f t="shared" si="34"/>
        <v>-10</v>
      </c>
      <c r="K1132" t="str">
        <f t="shared" si="35"/>
        <v>Negative</v>
      </c>
    </row>
    <row r="1133" spans="1:11" x14ac:dyDescent="0.2">
      <c r="A1133" t="s">
        <v>970</v>
      </c>
      <c r="B1133" t="s">
        <v>971</v>
      </c>
      <c r="C1133" t="s">
        <v>568</v>
      </c>
      <c r="D1133" t="s">
        <v>3</v>
      </c>
      <c r="E1133" t="s">
        <v>4</v>
      </c>
      <c r="F1133">
        <v>7</v>
      </c>
      <c r="G1133">
        <v>77</v>
      </c>
      <c r="H1133" t="s">
        <v>13</v>
      </c>
      <c r="I1133" t="b">
        <v>0</v>
      </c>
      <c r="J1133">
        <f t="shared" si="34"/>
        <v>-10</v>
      </c>
      <c r="K1133" t="str">
        <f t="shared" si="35"/>
        <v>Negative</v>
      </c>
    </row>
    <row r="1134" spans="1:11" x14ac:dyDescent="0.2">
      <c r="A1134" t="s">
        <v>7073</v>
      </c>
      <c r="B1134" t="s">
        <v>7074</v>
      </c>
      <c r="C1134" t="s">
        <v>7047</v>
      </c>
      <c r="D1134" t="s">
        <v>3</v>
      </c>
      <c r="E1134" t="s">
        <v>4</v>
      </c>
      <c r="F1134">
        <v>683</v>
      </c>
      <c r="G1134">
        <v>230</v>
      </c>
      <c r="H1134" t="s">
        <v>13</v>
      </c>
      <c r="I1134" t="b">
        <v>0</v>
      </c>
      <c r="J1134">
        <f t="shared" si="34"/>
        <v>10</v>
      </c>
      <c r="K1134" t="str">
        <f t="shared" si="35"/>
        <v>Positive</v>
      </c>
    </row>
    <row r="1135" spans="1:11" x14ac:dyDescent="0.2">
      <c r="A1135" t="s">
        <v>7228</v>
      </c>
      <c r="B1135" t="s">
        <v>7229</v>
      </c>
      <c r="C1135" t="s">
        <v>2054</v>
      </c>
      <c r="D1135" t="s">
        <v>7230</v>
      </c>
      <c r="E1135" t="s">
        <v>4</v>
      </c>
      <c r="F1135">
        <v>175</v>
      </c>
      <c r="G1135">
        <v>261</v>
      </c>
      <c r="H1135" t="s">
        <v>13</v>
      </c>
      <c r="I1135" t="b">
        <v>0</v>
      </c>
      <c r="J1135">
        <f t="shared" si="34"/>
        <v>0</v>
      </c>
      <c r="K1135" t="str">
        <f t="shared" si="35"/>
        <v>Neutral</v>
      </c>
    </row>
    <row r="1136" spans="1:11" x14ac:dyDescent="0.2">
      <c r="A1136" t="s">
        <v>854</v>
      </c>
      <c r="B1136" t="s">
        <v>855</v>
      </c>
      <c r="C1136" t="s">
        <v>856</v>
      </c>
      <c r="D1136" t="s">
        <v>3</v>
      </c>
      <c r="E1136" t="s">
        <v>4</v>
      </c>
      <c r="F1136">
        <v>2902</v>
      </c>
      <c r="G1136">
        <v>434</v>
      </c>
      <c r="H1136" t="s">
        <v>13</v>
      </c>
      <c r="I1136" t="b">
        <v>0</v>
      </c>
      <c r="J1136">
        <f t="shared" si="34"/>
        <v>0</v>
      </c>
      <c r="K1136" t="str">
        <f t="shared" si="35"/>
        <v>Neutral</v>
      </c>
    </row>
    <row r="1137" spans="1:11" x14ac:dyDescent="0.2">
      <c r="A1137" t="s">
        <v>3751</v>
      </c>
      <c r="B1137" t="s">
        <v>3752</v>
      </c>
      <c r="C1137" t="s">
        <v>810</v>
      </c>
      <c r="D1137" t="s">
        <v>3753</v>
      </c>
      <c r="E1137" t="s">
        <v>4</v>
      </c>
      <c r="F1137">
        <v>37</v>
      </c>
      <c r="G1137">
        <v>92</v>
      </c>
      <c r="H1137" t="s">
        <v>13</v>
      </c>
      <c r="I1137" t="b">
        <v>0</v>
      </c>
      <c r="J1137">
        <f t="shared" si="34"/>
        <v>0</v>
      </c>
      <c r="K1137" t="str">
        <f t="shared" si="35"/>
        <v>Neutral</v>
      </c>
    </row>
    <row r="1138" spans="1:11" x14ac:dyDescent="0.2">
      <c r="A1138" t="s">
        <v>1501</v>
      </c>
      <c r="B1138" t="s">
        <v>1502</v>
      </c>
      <c r="C1138" t="s">
        <v>1503</v>
      </c>
      <c r="D1138" t="s">
        <v>1504</v>
      </c>
      <c r="E1138" t="s">
        <v>4</v>
      </c>
      <c r="F1138">
        <v>69</v>
      </c>
      <c r="G1138">
        <v>87</v>
      </c>
      <c r="H1138" t="s">
        <v>13</v>
      </c>
      <c r="I1138" t="b">
        <v>0</v>
      </c>
      <c r="J1138">
        <f t="shared" si="34"/>
        <v>0</v>
      </c>
      <c r="K1138" t="str">
        <f t="shared" si="35"/>
        <v>Neutral</v>
      </c>
    </row>
    <row r="1139" spans="1:11" x14ac:dyDescent="0.2">
      <c r="A1139" t="s">
        <v>1707</v>
      </c>
      <c r="B1139" t="s">
        <v>1708</v>
      </c>
      <c r="C1139" t="s">
        <v>1709</v>
      </c>
      <c r="D1139" t="s">
        <v>1710</v>
      </c>
      <c r="E1139" t="s">
        <v>4</v>
      </c>
      <c r="F1139">
        <v>1879</v>
      </c>
      <c r="G1139">
        <v>1636</v>
      </c>
      <c r="H1139" t="s">
        <v>13</v>
      </c>
      <c r="I1139" t="b">
        <v>0</v>
      </c>
      <c r="J1139">
        <f t="shared" si="34"/>
        <v>0</v>
      </c>
      <c r="K1139" t="str">
        <f t="shared" si="35"/>
        <v>Neutral</v>
      </c>
    </row>
    <row r="1140" spans="1:11" x14ac:dyDescent="0.2">
      <c r="A1140" t="s">
        <v>6923</v>
      </c>
      <c r="B1140" t="s">
        <v>6924</v>
      </c>
      <c r="C1140" t="s">
        <v>6925</v>
      </c>
      <c r="D1140" t="s">
        <v>64</v>
      </c>
      <c r="E1140" t="s">
        <v>4</v>
      </c>
      <c r="F1140">
        <v>64</v>
      </c>
      <c r="G1140">
        <v>223</v>
      </c>
      <c r="H1140" t="s">
        <v>13</v>
      </c>
      <c r="I1140" t="b">
        <v>0</v>
      </c>
      <c r="J1140">
        <f t="shared" si="34"/>
        <v>0</v>
      </c>
      <c r="K1140" t="str">
        <f t="shared" si="35"/>
        <v>Neutral</v>
      </c>
    </row>
    <row r="1141" spans="1:11" x14ac:dyDescent="0.2">
      <c r="A1141" t="s">
        <v>2499</v>
      </c>
      <c r="B1141" t="s">
        <v>2500</v>
      </c>
      <c r="C1141" t="s">
        <v>108</v>
      </c>
      <c r="D1141" t="s">
        <v>2501</v>
      </c>
      <c r="E1141" t="s">
        <v>4</v>
      </c>
      <c r="F1141">
        <v>25</v>
      </c>
      <c r="G1141">
        <v>73</v>
      </c>
      <c r="H1141" t="s">
        <v>13</v>
      </c>
      <c r="I1141" t="b">
        <v>0</v>
      </c>
      <c r="J1141">
        <f t="shared" si="34"/>
        <v>0</v>
      </c>
      <c r="K1141" t="str">
        <f t="shared" si="35"/>
        <v>Neutral</v>
      </c>
    </row>
    <row r="1142" spans="1:11" x14ac:dyDescent="0.2">
      <c r="A1142" t="s">
        <v>531</v>
      </c>
      <c r="B1142" t="s">
        <v>532</v>
      </c>
      <c r="C1142" t="s">
        <v>533</v>
      </c>
      <c r="D1142" t="s">
        <v>534</v>
      </c>
      <c r="E1142" t="s">
        <v>4</v>
      </c>
      <c r="F1142">
        <v>27</v>
      </c>
      <c r="G1142">
        <v>477</v>
      </c>
      <c r="H1142" t="s">
        <v>13</v>
      </c>
      <c r="I1142" t="b">
        <v>0</v>
      </c>
      <c r="J1142">
        <f t="shared" si="34"/>
        <v>0</v>
      </c>
      <c r="K1142" t="str">
        <f t="shared" si="35"/>
        <v>Neutral</v>
      </c>
    </row>
    <row r="1143" spans="1:11" x14ac:dyDescent="0.2">
      <c r="A1143" t="s">
        <v>6115</v>
      </c>
      <c r="B1143" t="s">
        <v>6116</v>
      </c>
      <c r="C1143" t="s">
        <v>5503</v>
      </c>
      <c r="D1143" t="s">
        <v>6117</v>
      </c>
      <c r="E1143" t="s">
        <v>4</v>
      </c>
      <c r="F1143">
        <v>1032</v>
      </c>
      <c r="G1143">
        <v>1810</v>
      </c>
      <c r="H1143" t="s">
        <v>13</v>
      </c>
      <c r="I1143" t="b">
        <v>0</v>
      </c>
      <c r="J1143">
        <f t="shared" si="34"/>
        <v>0</v>
      </c>
      <c r="K1143" t="str">
        <f t="shared" si="35"/>
        <v>Neutral</v>
      </c>
    </row>
    <row r="1144" spans="1:11" x14ac:dyDescent="0.2">
      <c r="A1144" t="s">
        <v>2559</v>
      </c>
      <c r="B1144" t="s">
        <v>2560</v>
      </c>
      <c r="C1144" t="s">
        <v>1514</v>
      </c>
      <c r="D1144" t="s">
        <v>3</v>
      </c>
      <c r="E1144" t="s">
        <v>4</v>
      </c>
      <c r="F1144">
        <v>1</v>
      </c>
      <c r="G1144">
        <v>24</v>
      </c>
      <c r="H1144" t="s">
        <v>13</v>
      </c>
      <c r="I1144" t="b">
        <v>0</v>
      </c>
      <c r="J1144">
        <f t="shared" si="34"/>
        <v>0</v>
      </c>
      <c r="K1144" t="str">
        <f t="shared" si="35"/>
        <v>Neutral</v>
      </c>
    </row>
    <row r="1145" spans="1:11" x14ac:dyDescent="0.2">
      <c r="A1145" t="s">
        <v>2092</v>
      </c>
      <c r="B1145" t="s">
        <v>2093</v>
      </c>
      <c r="C1145" t="s">
        <v>2094</v>
      </c>
      <c r="D1145" t="s">
        <v>3</v>
      </c>
      <c r="E1145" t="s">
        <v>4</v>
      </c>
      <c r="F1145">
        <v>3049</v>
      </c>
      <c r="G1145">
        <v>266</v>
      </c>
      <c r="H1145" t="s">
        <v>13</v>
      </c>
      <c r="I1145" t="b">
        <v>0</v>
      </c>
      <c r="J1145">
        <f t="shared" si="34"/>
        <v>0</v>
      </c>
      <c r="K1145" t="str">
        <f t="shared" si="35"/>
        <v>Neutral</v>
      </c>
    </row>
    <row r="1146" spans="1:11" x14ac:dyDescent="0.2">
      <c r="A1146" t="s">
        <v>6391</v>
      </c>
      <c r="B1146" t="s">
        <v>6392</v>
      </c>
      <c r="C1146" t="s">
        <v>6393</v>
      </c>
      <c r="D1146" t="s">
        <v>6394</v>
      </c>
      <c r="E1146" t="s">
        <v>4</v>
      </c>
      <c r="F1146">
        <v>78</v>
      </c>
      <c r="G1146">
        <v>396</v>
      </c>
      <c r="H1146" t="s">
        <v>13</v>
      </c>
      <c r="I1146" t="b">
        <v>0</v>
      </c>
      <c r="J1146">
        <f t="shared" si="34"/>
        <v>0</v>
      </c>
      <c r="K1146" t="str">
        <f t="shared" si="35"/>
        <v>Neutral</v>
      </c>
    </row>
    <row r="1147" spans="1:11" x14ac:dyDescent="0.2">
      <c r="A1147" t="s">
        <v>6767</v>
      </c>
      <c r="B1147" t="s">
        <v>6768</v>
      </c>
      <c r="C1147" t="s">
        <v>6769</v>
      </c>
      <c r="D1147" t="s">
        <v>6770</v>
      </c>
      <c r="E1147" t="s">
        <v>4</v>
      </c>
      <c r="F1147">
        <v>613</v>
      </c>
      <c r="G1147">
        <v>220</v>
      </c>
      <c r="H1147" t="s">
        <v>13</v>
      </c>
      <c r="I1147" t="b">
        <v>0</v>
      </c>
      <c r="J1147">
        <f t="shared" si="34"/>
        <v>0</v>
      </c>
      <c r="K1147" t="str">
        <f t="shared" si="35"/>
        <v>Neutral</v>
      </c>
    </row>
    <row r="1148" spans="1:11" x14ac:dyDescent="0.2">
      <c r="A1148" t="s">
        <v>4755</v>
      </c>
      <c r="B1148" t="s">
        <v>4756</v>
      </c>
      <c r="C1148" t="s">
        <v>3725</v>
      </c>
      <c r="D1148" t="s">
        <v>833</v>
      </c>
      <c r="E1148" t="s">
        <v>4</v>
      </c>
      <c r="F1148">
        <v>39</v>
      </c>
      <c r="G1148">
        <v>52</v>
      </c>
      <c r="H1148" t="s">
        <v>13</v>
      </c>
      <c r="I1148" t="b">
        <v>0</v>
      </c>
      <c r="J1148">
        <f t="shared" si="34"/>
        <v>0</v>
      </c>
      <c r="K1148" t="str">
        <f t="shared" si="35"/>
        <v>Neutral</v>
      </c>
    </row>
    <row r="1149" spans="1:11" x14ac:dyDescent="0.2">
      <c r="A1149" t="s">
        <v>408</v>
      </c>
      <c r="B1149" t="s">
        <v>409</v>
      </c>
      <c r="C1149" t="s">
        <v>410</v>
      </c>
      <c r="D1149" t="s">
        <v>411</v>
      </c>
      <c r="E1149" t="s">
        <v>4</v>
      </c>
      <c r="F1149">
        <v>281</v>
      </c>
      <c r="G1149">
        <v>267</v>
      </c>
      <c r="H1149" t="s">
        <v>13</v>
      </c>
      <c r="I1149" t="b">
        <v>0</v>
      </c>
      <c r="J1149">
        <f t="shared" si="34"/>
        <v>0</v>
      </c>
      <c r="K1149" t="str">
        <f t="shared" si="35"/>
        <v>Neutral</v>
      </c>
    </row>
    <row r="1150" spans="1:11" x14ac:dyDescent="0.2">
      <c r="A1150" t="s">
        <v>6642</v>
      </c>
      <c r="B1150" t="s">
        <v>6643</v>
      </c>
      <c r="C1150" t="s">
        <v>1069</v>
      </c>
      <c r="D1150" t="s">
        <v>1666</v>
      </c>
      <c r="E1150" t="s">
        <v>4</v>
      </c>
      <c r="F1150">
        <v>1227</v>
      </c>
      <c r="G1150">
        <v>99</v>
      </c>
      <c r="H1150" t="s">
        <v>13</v>
      </c>
      <c r="I1150" t="b">
        <v>0</v>
      </c>
      <c r="J1150">
        <f t="shared" si="34"/>
        <v>0</v>
      </c>
      <c r="K1150" t="str">
        <f t="shared" si="35"/>
        <v>Neutral</v>
      </c>
    </row>
    <row r="1151" spans="1:11" x14ac:dyDescent="0.2">
      <c r="A1151" t="s">
        <v>5084</v>
      </c>
      <c r="B1151" t="s">
        <v>5085</v>
      </c>
      <c r="C1151" t="s">
        <v>2623</v>
      </c>
      <c r="D1151" t="s">
        <v>3</v>
      </c>
      <c r="E1151" t="s">
        <v>4</v>
      </c>
      <c r="F1151">
        <v>954</v>
      </c>
      <c r="G1151">
        <v>475</v>
      </c>
      <c r="H1151" t="s">
        <v>13</v>
      </c>
      <c r="I1151" t="b">
        <v>0</v>
      </c>
      <c r="J1151">
        <f t="shared" si="34"/>
        <v>0</v>
      </c>
      <c r="K1151" t="str">
        <f t="shared" si="35"/>
        <v>Neutral</v>
      </c>
    </row>
    <row r="1152" spans="1:11" x14ac:dyDescent="0.2">
      <c r="A1152" t="s">
        <v>497</v>
      </c>
      <c r="B1152" t="s">
        <v>498</v>
      </c>
      <c r="C1152" t="s">
        <v>499</v>
      </c>
      <c r="D1152" t="s">
        <v>500</v>
      </c>
      <c r="E1152" t="s">
        <v>4</v>
      </c>
      <c r="F1152">
        <v>216</v>
      </c>
      <c r="G1152">
        <v>219</v>
      </c>
      <c r="H1152" t="s">
        <v>13</v>
      </c>
      <c r="I1152" t="b">
        <v>0</v>
      </c>
      <c r="J1152">
        <f t="shared" si="34"/>
        <v>0</v>
      </c>
      <c r="K1152" t="str">
        <f t="shared" si="35"/>
        <v>Neutral</v>
      </c>
    </row>
    <row r="1153" spans="1:11" x14ac:dyDescent="0.2">
      <c r="A1153" t="s">
        <v>5957</v>
      </c>
      <c r="B1153" t="s">
        <v>5958</v>
      </c>
      <c r="C1153" t="s">
        <v>1438</v>
      </c>
      <c r="D1153" t="s">
        <v>3</v>
      </c>
      <c r="E1153" t="s">
        <v>4</v>
      </c>
      <c r="F1153">
        <v>1645</v>
      </c>
      <c r="G1153">
        <v>1190</v>
      </c>
      <c r="H1153" t="s">
        <v>13</v>
      </c>
      <c r="I1153" t="b">
        <v>0</v>
      </c>
      <c r="J1153">
        <f t="shared" si="34"/>
        <v>10</v>
      </c>
      <c r="K1153" t="str">
        <f t="shared" si="35"/>
        <v>Positive</v>
      </c>
    </row>
    <row r="1154" spans="1:11" x14ac:dyDescent="0.2">
      <c r="A1154" t="s">
        <v>6650</v>
      </c>
      <c r="B1154" t="s">
        <v>6651</v>
      </c>
      <c r="C1154" t="s">
        <v>1048</v>
      </c>
      <c r="D1154" t="s">
        <v>1027</v>
      </c>
      <c r="E1154" t="s">
        <v>4</v>
      </c>
      <c r="F1154">
        <v>393</v>
      </c>
      <c r="G1154">
        <v>781</v>
      </c>
      <c r="H1154" t="s">
        <v>13</v>
      </c>
      <c r="I1154" t="b">
        <v>0</v>
      </c>
      <c r="J1154">
        <f t="shared" si="34"/>
        <v>-10</v>
      </c>
      <c r="K1154" t="str">
        <f t="shared" si="35"/>
        <v>Negative</v>
      </c>
    </row>
    <row r="1155" spans="1:11" x14ac:dyDescent="0.2">
      <c r="A1155" t="s">
        <v>5682</v>
      </c>
      <c r="B1155" t="s">
        <v>5683</v>
      </c>
      <c r="C1155" t="s">
        <v>5684</v>
      </c>
      <c r="D1155" t="s">
        <v>734</v>
      </c>
      <c r="E1155" t="s">
        <v>4</v>
      </c>
      <c r="F1155">
        <v>492</v>
      </c>
      <c r="G1155">
        <v>576</v>
      </c>
      <c r="H1155" t="s">
        <v>13</v>
      </c>
      <c r="I1155" t="b">
        <v>0</v>
      </c>
      <c r="J1155">
        <f t="shared" ref="J1155:J1218" si="36">sentimentCalc(B1155)</f>
        <v>0</v>
      </c>
      <c r="K1155" t="str">
        <f t="shared" ref="K1155:K1218" si="37">sentimentCategory(J1155)</f>
        <v>Neutral</v>
      </c>
    </row>
    <row r="1156" spans="1:11" x14ac:dyDescent="0.2">
      <c r="A1156" t="s">
        <v>5098</v>
      </c>
      <c r="B1156" t="s">
        <v>5099</v>
      </c>
      <c r="C1156" t="s">
        <v>1069</v>
      </c>
      <c r="D1156" t="s">
        <v>3</v>
      </c>
      <c r="E1156" t="s">
        <v>4</v>
      </c>
      <c r="F1156">
        <v>946</v>
      </c>
      <c r="G1156">
        <v>459</v>
      </c>
      <c r="H1156" t="s">
        <v>13</v>
      </c>
      <c r="I1156" t="b">
        <v>0</v>
      </c>
      <c r="J1156">
        <f t="shared" si="36"/>
        <v>10</v>
      </c>
      <c r="K1156" t="str">
        <f t="shared" si="37"/>
        <v>Positive</v>
      </c>
    </row>
    <row r="1157" spans="1:11" x14ac:dyDescent="0.2">
      <c r="A1157" t="s">
        <v>5564</v>
      </c>
      <c r="B1157" t="s">
        <v>5565</v>
      </c>
      <c r="C1157" t="s">
        <v>5566</v>
      </c>
      <c r="D1157" t="s">
        <v>3</v>
      </c>
      <c r="E1157" t="s">
        <v>4</v>
      </c>
      <c r="F1157">
        <v>339</v>
      </c>
      <c r="G1157">
        <v>324</v>
      </c>
      <c r="H1157" t="s">
        <v>13</v>
      </c>
      <c r="I1157" t="b">
        <v>0</v>
      </c>
      <c r="J1157">
        <f t="shared" si="36"/>
        <v>0</v>
      </c>
      <c r="K1157" t="str">
        <f t="shared" si="37"/>
        <v>Neutral</v>
      </c>
    </row>
    <row r="1158" spans="1:11" x14ac:dyDescent="0.2">
      <c r="A1158" t="s">
        <v>5741</v>
      </c>
      <c r="B1158" t="s">
        <v>5742</v>
      </c>
      <c r="C1158" t="s">
        <v>3612</v>
      </c>
      <c r="D1158" t="s">
        <v>984</v>
      </c>
      <c r="E1158" t="s">
        <v>4</v>
      </c>
      <c r="F1158">
        <v>572</v>
      </c>
      <c r="G1158">
        <v>961</v>
      </c>
      <c r="H1158" t="s">
        <v>13</v>
      </c>
      <c r="I1158" t="b">
        <v>0</v>
      </c>
      <c r="J1158">
        <f t="shared" si="36"/>
        <v>10</v>
      </c>
      <c r="K1158" t="str">
        <f t="shared" si="37"/>
        <v>Positive</v>
      </c>
    </row>
    <row r="1159" spans="1:11" x14ac:dyDescent="0.2">
      <c r="A1159" t="s">
        <v>3083</v>
      </c>
      <c r="B1159" t="s">
        <v>3084</v>
      </c>
      <c r="C1159" t="s">
        <v>3085</v>
      </c>
      <c r="D1159" t="s">
        <v>3</v>
      </c>
      <c r="E1159" t="s">
        <v>4</v>
      </c>
      <c r="F1159">
        <v>1</v>
      </c>
      <c r="G1159">
        <v>45</v>
      </c>
      <c r="H1159" t="s">
        <v>13</v>
      </c>
      <c r="I1159" t="b">
        <v>0</v>
      </c>
      <c r="J1159">
        <f t="shared" si="36"/>
        <v>0</v>
      </c>
      <c r="K1159" t="str">
        <f t="shared" si="37"/>
        <v>Neutral</v>
      </c>
    </row>
    <row r="1160" spans="1:11" x14ac:dyDescent="0.2">
      <c r="A1160" t="s">
        <v>5398</v>
      </c>
      <c r="B1160" t="s">
        <v>5399</v>
      </c>
      <c r="C1160" t="s">
        <v>730</v>
      </c>
      <c r="D1160" t="s">
        <v>3</v>
      </c>
      <c r="E1160" t="s">
        <v>4</v>
      </c>
      <c r="F1160">
        <v>49</v>
      </c>
      <c r="G1160">
        <v>146</v>
      </c>
      <c r="H1160" t="s">
        <v>13</v>
      </c>
      <c r="I1160" t="b">
        <v>0</v>
      </c>
      <c r="J1160">
        <f t="shared" si="36"/>
        <v>10</v>
      </c>
      <c r="K1160" t="str">
        <f t="shared" si="37"/>
        <v>Positive</v>
      </c>
    </row>
    <row r="1161" spans="1:11" x14ac:dyDescent="0.2">
      <c r="A1161" t="s">
        <v>2619</v>
      </c>
      <c r="B1161" t="s">
        <v>2620</v>
      </c>
      <c r="C1161" t="s">
        <v>104</v>
      </c>
      <c r="D1161" t="s">
        <v>3</v>
      </c>
      <c r="E1161" t="s">
        <v>4</v>
      </c>
      <c r="F1161">
        <v>0</v>
      </c>
      <c r="G1161">
        <v>0</v>
      </c>
      <c r="H1161" t="s">
        <v>363</v>
      </c>
      <c r="I1161" t="b">
        <v>0</v>
      </c>
      <c r="J1161">
        <f t="shared" si="36"/>
        <v>0</v>
      </c>
      <c r="K1161" t="str">
        <f t="shared" si="37"/>
        <v>Neutral</v>
      </c>
    </row>
    <row r="1162" spans="1:11" x14ac:dyDescent="0.2">
      <c r="A1162" t="s">
        <v>3130</v>
      </c>
      <c r="B1162" t="s">
        <v>3131</v>
      </c>
      <c r="C1162" t="s">
        <v>1346</v>
      </c>
      <c r="D1162" t="s">
        <v>1736</v>
      </c>
      <c r="E1162" t="s">
        <v>4</v>
      </c>
      <c r="F1162">
        <v>101</v>
      </c>
      <c r="G1162">
        <v>44</v>
      </c>
      <c r="H1162" t="s">
        <v>13</v>
      </c>
      <c r="I1162" t="b">
        <v>0</v>
      </c>
      <c r="J1162">
        <f t="shared" si="36"/>
        <v>0</v>
      </c>
      <c r="K1162" t="str">
        <f t="shared" si="37"/>
        <v>Neutral</v>
      </c>
    </row>
    <row r="1163" spans="1:11" x14ac:dyDescent="0.2">
      <c r="A1163" t="s">
        <v>3615</v>
      </c>
      <c r="B1163" t="s">
        <v>3616</v>
      </c>
      <c r="C1163" t="s">
        <v>3617</v>
      </c>
      <c r="D1163" t="s">
        <v>3618</v>
      </c>
      <c r="E1163" t="s">
        <v>4</v>
      </c>
      <c r="F1163">
        <v>595</v>
      </c>
      <c r="G1163">
        <v>531</v>
      </c>
      <c r="H1163" t="s">
        <v>13</v>
      </c>
      <c r="I1163" t="b">
        <v>0</v>
      </c>
      <c r="J1163">
        <f t="shared" si="36"/>
        <v>0</v>
      </c>
      <c r="K1163" t="str">
        <f t="shared" si="37"/>
        <v>Neutral</v>
      </c>
    </row>
    <row r="1164" spans="1:11" x14ac:dyDescent="0.2">
      <c r="A1164" t="s">
        <v>3673</v>
      </c>
      <c r="B1164" t="s">
        <v>3674</v>
      </c>
      <c r="C1164" t="s">
        <v>3675</v>
      </c>
      <c r="D1164" t="s">
        <v>422</v>
      </c>
      <c r="E1164" t="s">
        <v>4</v>
      </c>
      <c r="F1164">
        <v>100</v>
      </c>
      <c r="G1164">
        <v>258</v>
      </c>
      <c r="H1164" t="s">
        <v>13</v>
      </c>
      <c r="I1164" t="b">
        <v>0</v>
      </c>
      <c r="J1164">
        <f t="shared" si="36"/>
        <v>-10</v>
      </c>
      <c r="K1164" t="str">
        <f t="shared" si="37"/>
        <v>Negative</v>
      </c>
    </row>
    <row r="1165" spans="1:11" x14ac:dyDescent="0.2">
      <c r="A1165" t="s">
        <v>7090</v>
      </c>
      <c r="B1165" t="s">
        <v>7091</v>
      </c>
      <c r="C1165" t="s">
        <v>999</v>
      </c>
      <c r="D1165" t="s">
        <v>3</v>
      </c>
      <c r="E1165" t="s">
        <v>4</v>
      </c>
      <c r="F1165">
        <v>599</v>
      </c>
      <c r="G1165">
        <v>297</v>
      </c>
      <c r="H1165" t="s">
        <v>13</v>
      </c>
      <c r="I1165" t="b">
        <v>0</v>
      </c>
      <c r="J1165">
        <f t="shared" si="36"/>
        <v>0</v>
      </c>
      <c r="K1165" t="str">
        <f t="shared" si="37"/>
        <v>Neutral</v>
      </c>
    </row>
    <row r="1166" spans="1:11" x14ac:dyDescent="0.2">
      <c r="A1166" t="s">
        <v>1315</v>
      </c>
      <c r="B1166" t="s">
        <v>1316</v>
      </c>
      <c r="C1166" t="s">
        <v>1317</v>
      </c>
      <c r="D1166" t="s">
        <v>1318</v>
      </c>
      <c r="E1166" t="s">
        <v>4</v>
      </c>
      <c r="F1166">
        <v>833</v>
      </c>
      <c r="G1166">
        <v>495</v>
      </c>
      <c r="H1166" t="s">
        <v>13</v>
      </c>
      <c r="I1166" t="b">
        <v>0</v>
      </c>
      <c r="J1166">
        <f t="shared" si="36"/>
        <v>0</v>
      </c>
      <c r="K1166" t="str">
        <f t="shared" si="37"/>
        <v>Neutral</v>
      </c>
    </row>
    <row r="1167" spans="1:11" x14ac:dyDescent="0.2">
      <c r="A1167" t="s">
        <v>1907</v>
      </c>
      <c r="B1167" t="s">
        <v>1908</v>
      </c>
      <c r="C1167" t="s">
        <v>377</v>
      </c>
      <c r="D1167" t="s">
        <v>3</v>
      </c>
      <c r="E1167" t="s">
        <v>4</v>
      </c>
      <c r="F1167">
        <v>862</v>
      </c>
      <c r="G1167">
        <v>596</v>
      </c>
      <c r="H1167" t="s">
        <v>13</v>
      </c>
      <c r="I1167" t="b">
        <v>0</v>
      </c>
      <c r="J1167">
        <f t="shared" si="36"/>
        <v>10</v>
      </c>
      <c r="K1167" t="str">
        <f t="shared" si="37"/>
        <v>Positive</v>
      </c>
    </row>
    <row r="1168" spans="1:11" x14ac:dyDescent="0.2">
      <c r="A1168" t="s">
        <v>3059</v>
      </c>
      <c r="B1168" t="s">
        <v>3060</v>
      </c>
      <c r="C1168" t="s">
        <v>902</v>
      </c>
      <c r="D1168" t="s">
        <v>3</v>
      </c>
      <c r="E1168" t="s">
        <v>4</v>
      </c>
      <c r="F1168">
        <v>200</v>
      </c>
      <c r="G1168">
        <v>150</v>
      </c>
      <c r="H1168" t="s">
        <v>13</v>
      </c>
      <c r="I1168" t="b">
        <v>0</v>
      </c>
      <c r="J1168">
        <f t="shared" si="36"/>
        <v>0</v>
      </c>
      <c r="K1168" t="str">
        <f t="shared" si="37"/>
        <v>Neutral</v>
      </c>
    </row>
    <row r="1169" spans="1:11" x14ac:dyDescent="0.2">
      <c r="A1169" t="s">
        <v>3463</v>
      </c>
      <c r="B1169" t="s">
        <v>3464</v>
      </c>
      <c r="C1169" t="s">
        <v>3465</v>
      </c>
      <c r="D1169" t="s">
        <v>3466</v>
      </c>
      <c r="E1169" t="s">
        <v>4</v>
      </c>
      <c r="F1169">
        <v>157</v>
      </c>
      <c r="G1169">
        <v>234</v>
      </c>
      <c r="H1169" t="s">
        <v>13</v>
      </c>
      <c r="I1169" t="b">
        <v>0</v>
      </c>
      <c r="J1169">
        <f t="shared" si="36"/>
        <v>0</v>
      </c>
      <c r="K1169" t="str">
        <f t="shared" si="37"/>
        <v>Neutral</v>
      </c>
    </row>
    <row r="1170" spans="1:11" x14ac:dyDescent="0.2">
      <c r="A1170" t="s">
        <v>3680</v>
      </c>
      <c r="B1170" t="s">
        <v>3681</v>
      </c>
      <c r="C1170" t="s">
        <v>3682</v>
      </c>
      <c r="D1170" t="s">
        <v>3683</v>
      </c>
      <c r="E1170" t="s">
        <v>4</v>
      </c>
      <c r="F1170">
        <v>2771</v>
      </c>
      <c r="G1170">
        <v>457</v>
      </c>
      <c r="H1170" t="s">
        <v>13</v>
      </c>
      <c r="I1170" t="b">
        <v>0</v>
      </c>
      <c r="J1170">
        <f t="shared" si="36"/>
        <v>0</v>
      </c>
      <c r="K1170" t="str">
        <f t="shared" si="37"/>
        <v>Neutral</v>
      </c>
    </row>
    <row r="1171" spans="1:11" x14ac:dyDescent="0.2">
      <c r="A1171" t="s">
        <v>2400</v>
      </c>
      <c r="B1171" t="s">
        <v>2401</v>
      </c>
      <c r="C1171" t="s">
        <v>2402</v>
      </c>
      <c r="D1171" t="s">
        <v>2403</v>
      </c>
      <c r="E1171" t="s">
        <v>4</v>
      </c>
      <c r="F1171">
        <v>66</v>
      </c>
      <c r="G1171">
        <v>92</v>
      </c>
      <c r="H1171" t="s">
        <v>13</v>
      </c>
      <c r="I1171" t="b">
        <v>0</v>
      </c>
      <c r="J1171">
        <f t="shared" si="36"/>
        <v>0</v>
      </c>
      <c r="K1171" t="str">
        <f t="shared" si="37"/>
        <v>Neutral</v>
      </c>
    </row>
    <row r="1172" spans="1:11" x14ac:dyDescent="0.2">
      <c r="A1172" t="s">
        <v>3536</v>
      </c>
      <c r="B1172" t="s">
        <v>3538</v>
      </c>
      <c r="C1172" t="s">
        <v>414</v>
      </c>
      <c r="D1172" t="s">
        <v>3458</v>
      </c>
      <c r="E1172" t="s">
        <v>4</v>
      </c>
      <c r="F1172">
        <v>813</v>
      </c>
      <c r="G1172">
        <v>789</v>
      </c>
      <c r="H1172" t="s">
        <v>13</v>
      </c>
      <c r="I1172" t="b">
        <v>0</v>
      </c>
      <c r="J1172">
        <f t="shared" si="36"/>
        <v>0</v>
      </c>
      <c r="K1172" t="str">
        <f t="shared" si="37"/>
        <v>Neutral</v>
      </c>
    </row>
    <row r="1173" spans="1:11" x14ac:dyDescent="0.2">
      <c r="A1173" t="s">
        <v>3594</v>
      </c>
      <c r="B1173" t="s">
        <v>3595</v>
      </c>
      <c r="C1173" t="s">
        <v>3596</v>
      </c>
      <c r="D1173" t="s">
        <v>3</v>
      </c>
      <c r="E1173" t="s">
        <v>4</v>
      </c>
      <c r="F1173">
        <v>365</v>
      </c>
      <c r="G1173">
        <v>454</v>
      </c>
      <c r="H1173" t="s">
        <v>13</v>
      </c>
      <c r="I1173" t="b">
        <v>0</v>
      </c>
      <c r="J1173">
        <f t="shared" si="36"/>
        <v>10</v>
      </c>
      <c r="K1173" t="str">
        <f t="shared" si="37"/>
        <v>Positive</v>
      </c>
    </row>
    <row r="1174" spans="1:11" x14ac:dyDescent="0.2">
      <c r="A1174" t="s">
        <v>4789</v>
      </c>
      <c r="B1174" t="s">
        <v>4790</v>
      </c>
      <c r="C1174" t="s">
        <v>730</v>
      </c>
      <c r="D1174" t="s">
        <v>4791</v>
      </c>
      <c r="E1174" t="s">
        <v>4</v>
      </c>
      <c r="F1174">
        <v>613</v>
      </c>
      <c r="G1174">
        <v>255</v>
      </c>
      <c r="H1174" t="s">
        <v>13</v>
      </c>
      <c r="I1174" t="b">
        <v>0</v>
      </c>
      <c r="J1174">
        <f t="shared" si="36"/>
        <v>0</v>
      </c>
      <c r="K1174" t="str">
        <f t="shared" si="37"/>
        <v>Neutral</v>
      </c>
    </row>
    <row r="1175" spans="1:11" x14ac:dyDescent="0.2">
      <c r="A1175" t="s">
        <v>5699</v>
      </c>
      <c r="B1175" t="s">
        <v>5700</v>
      </c>
      <c r="C1175" t="s">
        <v>1346</v>
      </c>
      <c r="D1175" t="s">
        <v>3</v>
      </c>
      <c r="E1175" t="s">
        <v>4</v>
      </c>
      <c r="F1175">
        <v>298</v>
      </c>
      <c r="G1175">
        <v>311</v>
      </c>
      <c r="H1175" t="s">
        <v>13</v>
      </c>
      <c r="I1175" t="b">
        <v>0</v>
      </c>
      <c r="J1175">
        <f t="shared" si="36"/>
        <v>-10</v>
      </c>
      <c r="K1175" t="str">
        <f t="shared" si="37"/>
        <v>Negative</v>
      </c>
    </row>
    <row r="1176" spans="1:11" x14ac:dyDescent="0.2">
      <c r="A1176" t="s">
        <v>4904</v>
      </c>
      <c r="B1176" t="s">
        <v>4905</v>
      </c>
      <c r="C1176" t="s">
        <v>4906</v>
      </c>
      <c r="D1176" t="s">
        <v>4907</v>
      </c>
      <c r="E1176" t="s">
        <v>4</v>
      </c>
      <c r="F1176">
        <v>316</v>
      </c>
      <c r="G1176">
        <v>428</v>
      </c>
      <c r="H1176" t="s">
        <v>13</v>
      </c>
      <c r="I1176" t="b">
        <v>0</v>
      </c>
      <c r="J1176">
        <f t="shared" si="36"/>
        <v>20</v>
      </c>
      <c r="K1176" t="str">
        <f t="shared" si="37"/>
        <v>Positive</v>
      </c>
    </row>
    <row r="1177" spans="1:11" x14ac:dyDescent="0.2">
      <c r="A1177" t="s">
        <v>4868</v>
      </c>
      <c r="B1177" t="s">
        <v>4869</v>
      </c>
      <c r="C1177" t="s">
        <v>4870</v>
      </c>
      <c r="D1177" t="s">
        <v>3</v>
      </c>
      <c r="E1177" t="s">
        <v>4</v>
      </c>
      <c r="F1177">
        <v>49</v>
      </c>
      <c r="G1177">
        <v>109</v>
      </c>
      <c r="H1177" t="s">
        <v>13</v>
      </c>
      <c r="I1177" t="b">
        <v>0</v>
      </c>
      <c r="J1177">
        <f t="shared" si="36"/>
        <v>0</v>
      </c>
      <c r="K1177" t="str">
        <f t="shared" si="37"/>
        <v>Neutral</v>
      </c>
    </row>
    <row r="1178" spans="1:11" x14ac:dyDescent="0.2">
      <c r="A1178" t="s">
        <v>6064</v>
      </c>
      <c r="B1178" t="s">
        <v>6065</v>
      </c>
      <c r="C1178" t="s">
        <v>6066</v>
      </c>
      <c r="D1178" t="s">
        <v>3</v>
      </c>
      <c r="E1178" t="s">
        <v>4</v>
      </c>
      <c r="F1178">
        <v>137</v>
      </c>
      <c r="G1178">
        <v>154</v>
      </c>
      <c r="H1178" t="s">
        <v>13</v>
      </c>
      <c r="I1178" t="b">
        <v>0</v>
      </c>
      <c r="J1178">
        <f t="shared" si="36"/>
        <v>0</v>
      </c>
      <c r="K1178" t="str">
        <f t="shared" si="37"/>
        <v>Neutral</v>
      </c>
    </row>
    <row r="1179" spans="1:11" x14ac:dyDescent="0.2">
      <c r="A1179" t="s">
        <v>4150</v>
      </c>
      <c r="B1179" t="s">
        <v>4151</v>
      </c>
      <c r="C1179" t="s">
        <v>999</v>
      </c>
      <c r="D1179" t="s">
        <v>3</v>
      </c>
      <c r="E1179" t="s">
        <v>4</v>
      </c>
      <c r="F1179">
        <v>20</v>
      </c>
      <c r="G1179">
        <v>145</v>
      </c>
      <c r="H1179" t="s">
        <v>5</v>
      </c>
      <c r="I1179" t="b">
        <v>0</v>
      </c>
      <c r="J1179">
        <f t="shared" si="36"/>
        <v>-10</v>
      </c>
      <c r="K1179" t="str">
        <f t="shared" si="37"/>
        <v>Negative</v>
      </c>
    </row>
    <row r="1180" spans="1:11" x14ac:dyDescent="0.2">
      <c r="A1180" t="s">
        <v>2988</v>
      </c>
      <c r="B1180" t="s">
        <v>2989</v>
      </c>
      <c r="C1180" t="s">
        <v>421</v>
      </c>
      <c r="D1180" t="s">
        <v>2990</v>
      </c>
      <c r="E1180" t="s">
        <v>4</v>
      </c>
      <c r="F1180">
        <v>2297</v>
      </c>
      <c r="G1180">
        <v>1522</v>
      </c>
      <c r="H1180" t="s">
        <v>13</v>
      </c>
      <c r="I1180" t="b">
        <v>0</v>
      </c>
      <c r="J1180">
        <f t="shared" si="36"/>
        <v>0</v>
      </c>
      <c r="K1180" t="str">
        <f t="shared" si="37"/>
        <v>Neutral</v>
      </c>
    </row>
    <row r="1181" spans="1:11" x14ac:dyDescent="0.2">
      <c r="A1181" t="s">
        <v>4159</v>
      </c>
      <c r="B1181" t="s">
        <v>4160</v>
      </c>
      <c r="C1181" t="s">
        <v>3797</v>
      </c>
      <c r="D1181" t="s">
        <v>3</v>
      </c>
      <c r="E1181" t="s">
        <v>4</v>
      </c>
      <c r="F1181">
        <v>5</v>
      </c>
      <c r="G1181">
        <v>55</v>
      </c>
      <c r="H1181" t="s">
        <v>374</v>
      </c>
      <c r="I1181" t="b">
        <v>0</v>
      </c>
      <c r="J1181">
        <f t="shared" si="36"/>
        <v>0</v>
      </c>
      <c r="K1181" t="str">
        <f t="shared" si="37"/>
        <v>Neutral</v>
      </c>
    </row>
    <row r="1182" spans="1:11" x14ac:dyDescent="0.2">
      <c r="A1182" t="s">
        <v>3589</v>
      </c>
      <c r="B1182" t="s">
        <v>3590</v>
      </c>
      <c r="C1182" t="s">
        <v>1009</v>
      </c>
      <c r="D1182" t="s">
        <v>3</v>
      </c>
      <c r="E1182" t="s">
        <v>4</v>
      </c>
      <c r="F1182">
        <v>594</v>
      </c>
      <c r="G1182">
        <v>236</v>
      </c>
      <c r="H1182" t="s">
        <v>13</v>
      </c>
      <c r="I1182" t="b">
        <v>0</v>
      </c>
      <c r="J1182">
        <f t="shared" si="36"/>
        <v>0</v>
      </c>
      <c r="K1182" t="str">
        <f t="shared" si="37"/>
        <v>Neutral</v>
      </c>
    </row>
    <row r="1183" spans="1:11" x14ac:dyDescent="0.2">
      <c r="A1183" t="s">
        <v>6608</v>
      </c>
      <c r="B1183" t="s">
        <v>6609</v>
      </c>
      <c r="C1183" t="s">
        <v>5916</v>
      </c>
      <c r="D1183" t="s">
        <v>6610</v>
      </c>
      <c r="E1183" t="s">
        <v>4</v>
      </c>
      <c r="F1183">
        <v>742</v>
      </c>
      <c r="G1183">
        <v>940</v>
      </c>
      <c r="H1183" t="s">
        <v>13</v>
      </c>
      <c r="I1183" t="b">
        <v>0</v>
      </c>
      <c r="J1183">
        <f t="shared" si="36"/>
        <v>0</v>
      </c>
      <c r="K1183" t="str">
        <f t="shared" si="37"/>
        <v>Neutral</v>
      </c>
    </row>
    <row r="1184" spans="1:11" x14ac:dyDescent="0.2">
      <c r="A1184" t="s">
        <v>6909</v>
      </c>
      <c r="B1184" t="s">
        <v>6910</v>
      </c>
      <c r="C1184" t="s">
        <v>6911</v>
      </c>
      <c r="D1184" t="s">
        <v>6912</v>
      </c>
      <c r="E1184" t="s">
        <v>4</v>
      </c>
      <c r="F1184">
        <v>32</v>
      </c>
      <c r="G1184">
        <v>91</v>
      </c>
      <c r="H1184" t="s">
        <v>13</v>
      </c>
      <c r="I1184" t="b">
        <v>0</v>
      </c>
      <c r="J1184">
        <f t="shared" si="36"/>
        <v>0</v>
      </c>
      <c r="K1184" t="str">
        <f t="shared" si="37"/>
        <v>Neutral</v>
      </c>
    </row>
    <row r="1185" spans="1:11" x14ac:dyDescent="0.2">
      <c r="A1185" t="s">
        <v>7189</v>
      </c>
      <c r="B1185" t="s">
        <v>7190</v>
      </c>
      <c r="C1185" t="s">
        <v>7191</v>
      </c>
      <c r="D1185" t="s">
        <v>3</v>
      </c>
      <c r="E1185" t="s">
        <v>4</v>
      </c>
      <c r="F1185">
        <v>1960</v>
      </c>
      <c r="G1185">
        <v>233</v>
      </c>
      <c r="H1185" t="s">
        <v>13</v>
      </c>
      <c r="I1185" t="b">
        <v>0</v>
      </c>
      <c r="J1185">
        <f t="shared" si="36"/>
        <v>0</v>
      </c>
      <c r="K1185" t="str">
        <f t="shared" si="37"/>
        <v>Neutral</v>
      </c>
    </row>
    <row r="1186" spans="1:11" x14ac:dyDescent="0.2">
      <c r="A1186" t="s">
        <v>7179</v>
      </c>
      <c r="B1186" t="s">
        <v>7180</v>
      </c>
      <c r="C1186" t="s">
        <v>611</v>
      </c>
      <c r="D1186" t="s">
        <v>7181</v>
      </c>
      <c r="E1186" t="s">
        <v>4</v>
      </c>
      <c r="F1186">
        <v>112</v>
      </c>
      <c r="G1186">
        <v>379</v>
      </c>
      <c r="H1186" t="s">
        <v>13</v>
      </c>
      <c r="I1186" t="b">
        <v>0</v>
      </c>
      <c r="J1186">
        <f t="shared" si="36"/>
        <v>0</v>
      </c>
      <c r="K1186" t="str">
        <f t="shared" si="37"/>
        <v>Neutral</v>
      </c>
    </row>
    <row r="1187" spans="1:11" x14ac:dyDescent="0.2">
      <c r="A1187" t="s">
        <v>1228</v>
      </c>
      <c r="B1187" t="s">
        <v>1229</v>
      </c>
      <c r="C1187" t="s">
        <v>1230</v>
      </c>
      <c r="D1187" t="s">
        <v>1231</v>
      </c>
      <c r="E1187" t="s">
        <v>4</v>
      </c>
      <c r="F1187">
        <v>425</v>
      </c>
      <c r="G1187">
        <v>768</v>
      </c>
      <c r="H1187" t="s">
        <v>13</v>
      </c>
      <c r="I1187" t="b">
        <v>0</v>
      </c>
      <c r="J1187">
        <f t="shared" si="36"/>
        <v>0</v>
      </c>
      <c r="K1187" t="str">
        <f t="shared" si="37"/>
        <v>Neutral</v>
      </c>
    </row>
    <row r="1188" spans="1:11" x14ac:dyDescent="0.2">
      <c r="A1188" t="s">
        <v>5928</v>
      </c>
      <c r="B1188" t="s">
        <v>5929</v>
      </c>
      <c r="C1188" t="s">
        <v>5930</v>
      </c>
      <c r="D1188" t="s">
        <v>5931</v>
      </c>
      <c r="E1188" t="s">
        <v>4</v>
      </c>
      <c r="F1188">
        <v>122</v>
      </c>
      <c r="G1188">
        <v>82</v>
      </c>
      <c r="H1188" t="s">
        <v>13</v>
      </c>
      <c r="I1188" t="b">
        <v>0</v>
      </c>
      <c r="J1188">
        <f t="shared" si="36"/>
        <v>0</v>
      </c>
      <c r="K1188" t="str">
        <f t="shared" si="37"/>
        <v>Neutral</v>
      </c>
    </row>
    <row r="1189" spans="1:11" x14ac:dyDescent="0.2">
      <c r="A1189" t="s">
        <v>5528</v>
      </c>
      <c r="B1189" t="s">
        <v>5530</v>
      </c>
      <c r="C1189" t="s">
        <v>3448</v>
      </c>
      <c r="D1189" t="s">
        <v>3</v>
      </c>
      <c r="E1189" t="s">
        <v>4</v>
      </c>
      <c r="F1189">
        <v>409</v>
      </c>
      <c r="G1189">
        <v>131</v>
      </c>
      <c r="H1189" t="s">
        <v>13</v>
      </c>
      <c r="I1189" t="b">
        <v>0</v>
      </c>
      <c r="J1189">
        <f t="shared" si="36"/>
        <v>0</v>
      </c>
      <c r="K1189" t="str">
        <f t="shared" si="37"/>
        <v>Neutral</v>
      </c>
    </row>
    <row r="1190" spans="1:11" x14ac:dyDescent="0.2">
      <c r="A1190" t="s">
        <v>6467</v>
      </c>
      <c r="B1190" t="s">
        <v>6468</v>
      </c>
      <c r="C1190" t="s">
        <v>704</v>
      </c>
      <c r="D1190" t="s">
        <v>3</v>
      </c>
      <c r="E1190" t="s">
        <v>4</v>
      </c>
      <c r="F1190">
        <v>13402</v>
      </c>
      <c r="G1190">
        <v>4249</v>
      </c>
      <c r="H1190" t="s">
        <v>13</v>
      </c>
      <c r="I1190" t="b">
        <v>0</v>
      </c>
      <c r="J1190">
        <f t="shared" si="36"/>
        <v>0</v>
      </c>
      <c r="K1190" t="str">
        <f t="shared" si="37"/>
        <v>Neutral</v>
      </c>
    </row>
    <row r="1191" spans="1:11" x14ac:dyDescent="0.2">
      <c r="A1191" t="s">
        <v>6325</v>
      </c>
      <c r="B1191" t="s">
        <v>6326</v>
      </c>
      <c r="C1191" t="s">
        <v>476</v>
      </c>
      <c r="D1191" t="s">
        <v>6327</v>
      </c>
      <c r="E1191" t="s">
        <v>4</v>
      </c>
      <c r="F1191">
        <v>10</v>
      </c>
      <c r="G1191">
        <v>29</v>
      </c>
      <c r="H1191" t="s">
        <v>13</v>
      </c>
      <c r="I1191" t="b">
        <v>0</v>
      </c>
      <c r="J1191">
        <f t="shared" si="36"/>
        <v>20</v>
      </c>
      <c r="K1191" t="str">
        <f t="shared" si="37"/>
        <v>Positive</v>
      </c>
    </row>
    <row r="1192" spans="1:11" x14ac:dyDescent="0.2">
      <c r="A1192" t="s">
        <v>7144</v>
      </c>
      <c r="B1192" t="s">
        <v>7145</v>
      </c>
      <c r="C1192" t="s">
        <v>60</v>
      </c>
      <c r="D1192" t="s">
        <v>3</v>
      </c>
      <c r="E1192" t="s">
        <v>4</v>
      </c>
      <c r="F1192">
        <v>76</v>
      </c>
      <c r="G1192">
        <v>115</v>
      </c>
      <c r="H1192" t="s">
        <v>13</v>
      </c>
      <c r="I1192" t="b">
        <v>0</v>
      </c>
      <c r="J1192">
        <f t="shared" si="36"/>
        <v>-40</v>
      </c>
      <c r="K1192" t="str">
        <f t="shared" si="37"/>
        <v>Negative</v>
      </c>
    </row>
    <row r="1193" spans="1:11" x14ac:dyDescent="0.2">
      <c r="A1193" t="s">
        <v>5023</v>
      </c>
      <c r="B1193" t="s">
        <v>5024</v>
      </c>
      <c r="C1193" t="s">
        <v>4559</v>
      </c>
      <c r="D1193" t="s">
        <v>4560</v>
      </c>
      <c r="E1193" t="s">
        <v>4</v>
      </c>
      <c r="F1193">
        <v>2059</v>
      </c>
      <c r="G1193">
        <v>503</v>
      </c>
      <c r="H1193" t="s">
        <v>13</v>
      </c>
      <c r="I1193" t="b">
        <v>0</v>
      </c>
      <c r="J1193">
        <f t="shared" si="36"/>
        <v>10</v>
      </c>
      <c r="K1193" t="str">
        <f t="shared" si="37"/>
        <v>Positive</v>
      </c>
    </row>
    <row r="1194" spans="1:11" x14ac:dyDescent="0.2">
      <c r="A1194" t="s">
        <v>1114</v>
      </c>
      <c r="B1194" t="s">
        <v>1115</v>
      </c>
      <c r="C1194" t="s">
        <v>1116</v>
      </c>
      <c r="D1194" t="s">
        <v>1117</v>
      </c>
      <c r="E1194" t="s">
        <v>4</v>
      </c>
      <c r="F1194">
        <v>3494</v>
      </c>
      <c r="G1194">
        <v>1203</v>
      </c>
      <c r="H1194" t="s">
        <v>13</v>
      </c>
      <c r="I1194" t="b">
        <v>0</v>
      </c>
      <c r="J1194">
        <f t="shared" si="36"/>
        <v>-10</v>
      </c>
      <c r="K1194" t="str">
        <f t="shared" si="37"/>
        <v>Negative</v>
      </c>
    </row>
    <row r="1195" spans="1:11" x14ac:dyDescent="0.2">
      <c r="A1195" t="s">
        <v>3819</v>
      </c>
      <c r="B1195" t="s">
        <v>3820</v>
      </c>
      <c r="C1195" t="s">
        <v>3821</v>
      </c>
      <c r="D1195" t="s">
        <v>1352</v>
      </c>
      <c r="E1195" t="s">
        <v>4</v>
      </c>
      <c r="F1195">
        <v>6648</v>
      </c>
      <c r="G1195">
        <v>7273</v>
      </c>
      <c r="H1195" t="s">
        <v>5</v>
      </c>
      <c r="I1195" t="b">
        <v>0</v>
      </c>
      <c r="J1195">
        <f t="shared" si="36"/>
        <v>0</v>
      </c>
      <c r="K1195" t="str">
        <f t="shared" si="37"/>
        <v>Neutral</v>
      </c>
    </row>
    <row r="1196" spans="1:11" x14ac:dyDescent="0.2">
      <c r="A1196" t="s">
        <v>2582</v>
      </c>
      <c r="B1196" t="s">
        <v>2583</v>
      </c>
      <c r="C1196" t="s">
        <v>939</v>
      </c>
      <c r="D1196" t="s">
        <v>2584</v>
      </c>
      <c r="E1196" t="s">
        <v>4</v>
      </c>
      <c r="F1196">
        <v>336</v>
      </c>
      <c r="G1196">
        <v>413</v>
      </c>
      <c r="H1196" t="s">
        <v>13</v>
      </c>
      <c r="I1196" t="b">
        <v>0</v>
      </c>
      <c r="J1196">
        <f t="shared" si="36"/>
        <v>0</v>
      </c>
      <c r="K1196" t="str">
        <f t="shared" si="37"/>
        <v>Neutral</v>
      </c>
    </row>
    <row r="1197" spans="1:11" x14ac:dyDescent="0.2">
      <c r="A1197" t="s">
        <v>6051</v>
      </c>
      <c r="B1197" t="s">
        <v>6052</v>
      </c>
      <c r="C1197" t="s">
        <v>3448</v>
      </c>
      <c r="D1197" t="s">
        <v>3</v>
      </c>
      <c r="E1197" t="s">
        <v>4</v>
      </c>
      <c r="F1197">
        <v>135</v>
      </c>
      <c r="G1197">
        <v>205</v>
      </c>
      <c r="H1197" t="s">
        <v>50</v>
      </c>
      <c r="I1197" t="b">
        <v>0</v>
      </c>
      <c r="J1197">
        <f t="shared" si="36"/>
        <v>0</v>
      </c>
      <c r="K1197" t="str">
        <f t="shared" si="37"/>
        <v>Neutral</v>
      </c>
    </row>
    <row r="1198" spans="1:11" x14ac:dyDescent="0.2">
      <c r="A1198" t="s">
        <v>5129</v>
      </c>
      <c r="B1198" t="s">
        <v>5130</v>
      </c>
      <c r="C1198" t="s">
        <v>740</v>
      </c>
      <c r="D1198" t="s">
        <v>3</v>
      </c>
      <c r="E1198" t="s">
        <v>4</v>
      </c>
      <c r="F1198">
        <v>17346</v>
      </c>
      <c r="G1198">
        <v>12512</v>
      </c>
      <c r="H1198" t="s">
        <v>13</v>
      </c>
      <c r="I1198" t="b">
        <v>0</v>
      </c>
      <c r="J1198">
        <f t="shared" si="36"/>
        <v>10</v>
      </c>
      <c r="K1198" t="str">
        <f t="shared" si="37"/>
        <v>Positive</v>
      </c>
    </row>
    <row r="1199" spans="1:11" x14ac:dyDescent="0.2">
      <c r="A1199" t="s">
        <v>6947</v>
      </c>
      <c r="B1199" t="s">
        <v>6948</v>
      </c>
      <c r="C1199" t="s">
        <v>414</v>
      </c>
      <c r="D1199" t="s">
        <v>6949</v>
      </c>
      <c r="E1199" t="s">
        <v>4</v>
      </c>
      <c r="F1199">
        <v>190</v>
      </c>
      <c r="G1199">
        <v>209</v>
      </c>
      <c r="H1199" t="s">
        <v>13</v>
      </c>
      <c r="I1199" t="b">
        <v>0</v>
      </c>
      <c r="J1199">
        <f t="shared" si="36"/>
        <v>0</v>
      </c>
      <c r="K1199" t="str">
        <f t="shared" si="37"/>
        <v>Neutral</v>
      </c>
    </row>
    <row r="1200" spans="1:11" x14ac:dyDescent="0.2">
      <c r="A1200" t="s">
        <v>3985</v>
      </c>
      <c r="B1200" t="s">
        <v>3986</v>
      </c>
      <c r="C1200" t="s">
        <v>730</v>
      </c>
      <c r="D1200" t="s">
        <v>3</v>
      </c>
      <c r="E1200" t="s">
        <v>4</v>
      </c>
      <c r="F1200">
        <v>2030</v>
      </c>
      <c r="G1200">
        <v>3010</v>
      </c>
      <c r="H1200" t="s">
        <v>13</v>
      </c>
      <c r="I1200" t="b">
        <v>0</v>
      </c>
      <c r="J1200">
        <f t="shared" si="36"/>
        <v>0</v>
      </c>
      <c r="K1200" t="str">
        <f t="shared" si="37"/>
        <v>Neutral</v>
      </c>
    </row>
    <row r="1201" spans="1:11" x14ac:dyDescent="0.2">
      <c r="A1201" t="s">
        <v>4588</v>
      </c>
      <c r="B1201" t="s">
        <v>4589</v>
      </c>
      <c r="C1201" t="s">
        <v>3253</v>
      </c>
      <c r="D1201" t="s">
        <v>4590</v>
      </c>
      <c r="E1201" t="s">
        <v>4</v>
      </c>
      <c r="F1201">
        <v>18</v>
      </c>
      <c r="G1201">
        <v>350</v>
      </c>
      <c r="H1201" t="s">
        <v>13</v>
      </c>
      <c r="I1201" t="b">
        <v>0</v>
      </c>
      <c r="J1201">
        <f t="shared" si="36"/>
        <v>0</v>
      </c>
      <c r="K1201" t="str">
        <f t="shared" si="37"/>
        <v>Neutral</v>
      </c>
    </row>
    <row r="1202" spans="1:11" x14ac:dyDescent="0.2">
      <c r="A1202" t="s">
        <v>2496</v>
      </c>
      <c r="B1202" t="s">
        <v>2497</v>
      </c>
      <c r="C1202" t="s">
        <v>494</v>
      </c>
      <c r="D1202" t="s">
        <v>2498</v>
      </c>
      <c r="E1202" t="s">
        <v>4</v>
      </c>
      <c r="F1202">
        <v>1258</v>
      </c>
      <c r="G1202">
        <v>401</v>
      </c>
      <c r="H1202" t="s">
        <v>13</v>
      </c>
      <c r="I1202" t="b">
        <v>0</v>
      </c>
      <c r="J1202">
        <f t="shared" si="36"/>
        <v>-10</v>
      </c>
      <c r="K1202" t="str">
        <f t="shared" si="37"/>
        <v>Negative</v>
      </c>
    </row>
    <row r="1203" spans="1:11" x14ac:dyDescent="0.2">
      <c r="A1203" t="s">
        <v>6929</v>
      </c>
      <c r="B1203" t="s">
        <v>6930</v>
      </c>
      <c r="C1203" t="s">
        <v>6066</v>
      </c>
      <c r="D1203" t="s">
        <v>64</v>
      </c>
      <c r="E1203" t="s">
        <v>4</v>
      </c>
      <c r="F1203">
        <v>356</v>
      </c>
      <c r="G1203">
        <v>335</v>
      </c>
      <c r="H1203" t="s">
        <v>13</v>
      </c>
      <c r="I1203" t="b">
        <v>0</v>
      </c>
      <c r="J1203">
        <f t="shared" si="36"/>
        <v>0</v>
      </c>
      <c r="K1203" t="str">
        <f t="shared" si="37"/>
        <v>Neutral</v>
      </c>
    </row>
    <row r="1204" spans="1:11" x14ac:dyDescent="0.2">
      <c r="A1204" t="s">
        <v>6315</v>
      </c>
      <c r="B1204" t="s">
        <v>6316</v>
      </c>
      <c r="C1204" t="s">
        <v>6317</v>
      </c>
      <c r="D1204" t="s">
        <v>1292</v>
      </c>
      <c r="E1204" t="s">
        <v>4</v>
      </c>
      <c r="F1204">
        <v>726</v>
      </c>
      <c r="G1204">
        <v>1258</v>
      </c>
      <c r="H1204" t="s">
        <v>13</v>
      </c>
      <c r="I1204" t="b">
        <v>0</v>
      </c>
      <c r="J1204">
        <f t="shared" si="36"/>
        <v>-10</v>
      </c>
      <c r="K1204" t="str">
        <f t="shared" si="37"/>
        <v>Negative</v>
      </c>
    </row>
    <row r="1205" spans="1:11" x14ac:dyDescent="0.2">
      <c r="A1205" t="s">
        <v>6210</v>
      </c>
      <c r="B1205" t="s">
        <v>6211</v>
      </c>
      <c r="C1205" t="s">
        <v>588</v>
      </c>
      <c r="D1205" t="s">
        <v>422</v>
      </c>
      <c r="E1205" t="s">
        <v>4</v>
      </c>
      <c r="F1205">
        <v>341</v>
      </c>
      <c r="G1205">
        <v>360</v>
      </c>
      <c r="H1205" t="s">
        <v>13</v>
      </c>
      <c r="I1205" t="b">
        <v>0</v>
      </c>
      <c r="J1205">
        <f t="shared" si="36"/>
        <v>0</v>
      </c>
      <c r="K1205" t="str">
        <f t="shared" si="37"/>
        <v>Neutral</v>
      </c>
    </row>
    <row r="1206" spans="1:11" x14ac:dyDescent="0.2">
      <c r="A1206" t="s">
        <v>4826</v>
      </c>
      <c r="B1206" t="s">
        <v>4827</v>
      </c>
      <c r="C1206" t="s">
        <v>902</v>
      </c>
      <c r="D1206" t="s">
        <v>3</v>
      </c>
      <c r="E1206" t="s">
        <v>4</v>
      </c>
      <c r="F1206">
        <v>19</v>
      </c>
      <c r="G1206">
        <v>181</v>
      </c>
      <c r="H1206" t="s">
        <v>13</v>
      </c>
      <c r="I1206" t="b">
        <v>0</v>
      </c>
      <c r="J1206">
        <f t="shared" si="36"/>
        <v>0</v>
      </c>
      <c r="K1206" t="str">
        <f t="shared" si="37"/>
        <v>Neutral</v>
      </c>
    </row>
    <row r="1207" spans="1:11" x14ac:dyDescent="0.2">
      <c r="A1207" t="s">
        <v>5858</v>
      </c>
      <c r="B1207" t="s">
        <v>5859</v>
      </c>
      <c r="C1207" t="s">
        <v>5860</v>
      </c>
      <c r="D1207" t="s">
        <v>5861</v>
      </c>
      <c r="E1207" t="s">
        <v>4</v>
      </c>
      <c r="F1207">
        <v>47</v>
      </c>
      <c r="G1207">
        <v>85</v>
      </c>
      <c r="H1207" t="s">
        <v>13</v>
      </c>
      <c r="I1207" t="b">
        <v>0</v>
      </c>
      <c r="J1207">
        <f t="shared" si="36"/>
        <v>0</v>
      </c>
      <c r="K1207" t="str">
        <f t="shared" si="37"/>
        <v>Neutral</v>
      </c>
    </row>
    <row r="1208" spans="1:11" x14ac:dyDescent="0.2">
      <c r="A1208" t="s">
        <v>3436</v>
      </c>
      <c r="B1208" t="s">
        <v>3437</v>
      </c>
      <c r="C1208" t="s">
        <v>2490</v>
      </c>
      <c r="D1208" t="s">
        <v>3438</v>
      </c>
      <c r="E1208" t="s">
        <v>4</v>
      </c>
      <c r="F1208">
        <v>188</v>
      </c>
      <c r="G1208">
        <v>109</v>
      </c>
      <c r="H1208" t="s">
        <v>13</v>
      </c>
      <c r="I1208" t="b">
        <v>0</v>
      </c>
      <c r="J1208">
        <f t="shared" si="36"/>
        <v>10</v>
      </c>
      <c r="K1208" t="str">
        <f t="shared" si="37"/>
        <v>Positive</v>
      </c>
    </row>
    <row r="1209" spans="1:11" x14ac:dyDescent="0.2">
      <c r="A1209" t="s">
        <v>3947</v>
      </c>
      <c r="B1209" t="s">
        <v>3948</v>
      </c>
      <c r="C1209" t="s">
        <v>230</v>
      </c>
      <c r="D1209" t="s">
        <v>3949</v>
      </c>
      <c r="E1209" t="s">
        <v>38</v>
      </c>
      <c r="F1209">
        <v>99379</v>
      </c>
      <c r="G1209">
        <v>4518</v>
      </c>
      <c r="H1209" t="s">
        <v>13</v>
      </c>
      <c r="I1209" t="b">
        <v>0</v>
      </c>
      <c r="J1209">
        <f t="shared" si="36"/>
        <v>0</v>
      </c>
      <c r="K1209" t="str">
        <f t="shared" si="37"/>
        <v>Neutral</v>
      </c>
    </row>
    <row r="1210" spans="1:11" x14ac:dyDescent="0.2">
      <c r="A1210" t="s">
        <v>1804</v>
      </c>
      <c r="B1210" t="s">
        <v>1805</v>
      </c>
      <c r="C1210" t="s">
        <v>1652</v>
      </c>
      <c r="D1210" t="s">
        <v>1806</v>
      </c>
      <c r="E1210" t="s">
        <v>4</v>
      </c>
      <c r="F1210">
        <v>1688</v>
      </c>
      <c r="G1210">
        <v>2246</v>
      </c>
      <c r="H1210" t="s">
        <v>13</v>
      </c>
      <c r="I1210" t="b">
        <v>0</v>
      </c>
      <c r="J1210">
        <f t="shared" si="36"/>
        <v>0</v>
      </c>
      <c r="K1210" t="str">
        <f t="shared" si="37"/>
        <v>Neutral</v>
      </c>
    </row>
    <row r="1211" spans="1:11" x14ac:dyDescent="0.2">
      <c r="A1211" t="s">
        <v>5917</v>
      </c>
      <c r="B1211" t="s">
        <v>5918</v>
      </c>
      <c r="C1211" t="s">
        <v>568</v>
      </c>
      <c r="D1211" t="s">
        <v>5919</v>
      </c>
      <c r="E1211" t="s">
        <v>4</v>
      </c>
      <c r="F1211">
        <v>13</v>
      </c>
      <c r="G1211">
        <v>53</v>
      </c>
      <c r="H1211" t="s">
        <v>13</v>
      </c>
      <c r="I1211" t="b">
        <v>0</v>
      </c>
      <c r="J1211">
        <f t="shared" si="36"/>
        <v>0</v>
      </c>
      <c r="K1211" t="str">
        <f t="shared" si="37"/>
        <v>Neutral</v>
      </c>
    </row>
    <row r="1212" spans="1:11" x14ac:dyDescent="0.2">
      <c r="A1212" t="s">
        <v>1986</v>
      </c>
      <c r="B1212" t="s">
        <v>1987</v>
      </c>
      <c r="C1212" t="s">
        <v>197</v>
      </c>
      <c r="D1212" t="s">
        <v>1988</v>
      </c>
      <c r="E1212" t="s">
        <v>4</v>
      </c>
      <c r="F1212">
        <v>70</v>
      </c>
      <c r="G1212">
        <v>249</v>
      </c>
      <c r="H1212" t="s">
        <v>13</v>
      </c>
      <c r="I1212" t="b">
        <v>0</v>
      </c>
      <c r="J1212">
        <f t="shared" si="36"/>
        <v>0</v>
      </c>
      <c r="K1212" t="str">
        <f t="shared" si="37"/>
        <v>Neutral</v>
      </c>
    </row>
    <row r="1213" spans="1:11" x14ac:dyDescent="0.2">
      <c r="A1213" t="s">
        <v>2463</v>
      </c>
      <c r="B1213" t="s">
        <v>2464</v>
      </c>
      <c r="C1213" t="s">
        <v>558</v>
      </c>
      <c r="D1213" t="s">
        <v>2465</v>
      </c>
      <c r="E1213" t="s">
        <v>4</v>
      </c>
      <c r="F1213">
        <v>15</v>
      </c>
      <c r="G1213">
        <v>55</v>
      </c>
      <c r="H1213" t="s">
        <v>13</v>
      </c>
      <c r="I1213" t="b">
        <v>0</v>
      </c>
      <c r="J1213">
        <f t="shared" si="36"/>
        <v>10</v>
      </c>
      <c r="K1213" t="str">
        <f t="shared" si="37"/>
        <v>Positive</v>
      </c>
    </row>
    <row r="1214" spans="1:11" x14ac:dyDescent="0.2">
      <c r="A1214" t="s">
        <v>2659</v>
      </c>
      <c r="B1214" t="s">
        <v>2660</v>
      </c>
      <c r="C1214" t="s">
        <v>2661</v>
      </c>
      <c r="D1214" t="s">
        <v>2662</v>
      </c>
      <c r="E1214" t="s">
        <v>4</v>
      </c>
      <c r="F1214">
        <v>2076</v>
      </c>
      <c r="G1214">
        <v>300</v>
      </c>
      <c r="H1214" t="s">
        <v>13</v>
      </c>
      <c r="I1214" t="b">
        <v>0</v>
      </c>
      <c r="J1214">
        <f t="shared" si="36"/>
        <v>0</v>
      </c>
      <c r="K1214" t="str">
        <f t="shared" si="37"/>
        <v>Neutral</v>
      </c>
    </row>
    <row r="1215" spans="1:11" x14ac:dyDescent="0.2">
      <c r="A1215" t="s">
        <v>3288</v>
      </c>
      <c r="B1215" t="s">
        <v>3289</v>
      </c>
      <c r="C1215" t="s">
        <v>962</v>
      </c>
      <c r="D1215" t="s">
        <v>3</v>
      </c>
      <c r="E1215" t="s">
        <v>4</v>
      </c>
      <c r="F1215">
        <v>280</v>
      </c>
      <c r="G1215">
        <v>685</v>
      </c>
      <c r="H1215" t="s">
        <v>13</v>
      </c>
      <c r="I1215" t="b">
        <v>0</v>
      </c>
      <c r="J1215">
        <f t="shared" si="36"/>
        <v>0</v>
      </c>
      <c r="K1215" t="str">
        <f t="shared" si="37"/>
        <v>Neutral</v>
      </c>
    </row>
    <row r="1216" spans="1:11" x14ac:dyDescent="0.2">
      <c r="A1216" t="s">
        <v>3007</v>
      </c>
      <c r="B1216" t="s">
        <v>3008</v>
      </c>
      <c r="C1216" t="s">
        <v>2646</v>
      </c>
      <c r="D1216" t="s">
        <v>2260</v>
      </c>
      <c r="E1216" t="s">
        <v>4</v>
      </c>
      <c r="F1216">
        <v>107</v>
      </c>
      <c r="G1216">
        <v>67</v>
      </c>
      <c r="H1216" t="s">
        <v>13</v>
      </c>
      <c r="I1216" t="b">
        <v>0</v>
      </c>
      <c r="J1216">
        <f t="shared" si="36"/>
        <v>0</v>
      </c>
      <c r="K1216" t="str">
        <f t="shared" si="37"/>
        <v>Neutral</v>
      </c>
    </row>
    <row r="1217" spans="1:11" x14ac:dyDescent="0.2">
      <c r="A1217" t="s">
        <v>2382</v>
      </c>
      <c r="B1217" t="s">
        <v>2383</v>
      </c>
      <c r="C1217" t="s">
        <v>487</v>
      </c>
      <c r="D1217" t="s">
        <v>3</v>
      </c>
      <c r="E1217" t="s">
        <v>4</v>
      </c>
      <c r="F1217">
        <v>13924</v>
      </c>
      <c r="G1217">
        <v>598</v>
      </c>
      <c r="H1217" t="s">
        <v>13</v>
      </c>
      <c r="I1217" t="b">
        <v>0</v>
      </c>
      <c r="J1217">
        <f t="shared" si="36"/>
        <v>0</v>
      </c>
      <c r="K1217" t="str">
        <f t="shared" si="37"/>
        <v>Neutral</v>
      </c>
    </row>
    <row r="1218" spans="1:11" x14ac:dyDescent="0.2">
      <c r="A1218" t="s">
        <v>5557</v>
      </c>
      <c r="B1218" t="s">
        <v>5558</v>
      </c>
      <c r="C1218" t="s">
        <v>443</v>
      </c>
      <c r="D1218" t="s">
        <v>3</v>
      </c>
      <c r="E1218" t="s">
        <v>4</v>
      </c>
      <c r="F1218">
        <v>155</v>
      </c>
      <c r="G1218">
        <v>570</v>
      </c>
      <c r="H1218" t="s">
        <v>13</v>
      </c>
      <c r="I1218" t="b">
        <v>0</v>
      </c>
      <c r="J1218">
        <f t="shared" si="36"/>
        <v>0</v>
      </c>
      <c r="K1218" t="str">
        <f t="shared" si="37"/>
        <v>Neutral</v>
      </c>
    </row>
    <row r="1219" spans="1:11" x14ac:dyDescent="0.2">
      <c r="A1219" t="s">
        <v>6444</v>
      </c>
      <c r="B1219" t="s">
        <v>6445</v>
      </c>
      <c r="C1219" t="s">
        <v>1375</v>
      </c>
      <c r="D1219" t="s">
        <v>6446</v>
      </c>
      <c r="E1219" t="s">
        <v>4</v>
      </c>
      <c r="F1219">
        <v>422</v>
      </c>
      <c r="G1219">
        <v>399</v>
      </c>
      <c r="H1219" t="s">
        <v>13</v>
      </c>
      <c r="I1219" t="b">
        <v>0</v>
      </c>
      <c r="J1219">
        <f t="shared" ref="J1219:J1282" si="38">sentimentCalc(B1219)</f>
        <v>0</v>
      </c>
      <c r="K1219" t="str">
        <f t="shared" ref="K1219:K1282" si="39">sentimentCategory(J1219)</f>
        <v>Neutral</v>
      </c>
    </row>
    <row r="1220" spans="1:11" x14ac:dyDescent="0.2">
      <c r="A1220" t="s">
        <v>1010</v>
      </c>
      <c r="B1220" t="s">
        <v>1011</v>
      </c>
      <c r="C1220" t="s">
        <v>1012</v>
      </c>
      <c r="D1220" t="s">
        <v>1013</v>
      </c>
      <c r="E1220" t="s">
        <v>4</v>
      </c>
      <c r="F1220">
        <v>109</v>
      </c>
      <c r="G1220">
        <v>382</v>
      </c>
      <c r="H1220" t="s">
        <v>13</v>
      </c>
      <c r="I1220" t="b">
        <v>0</v>
      </c>
      <c r="J1220">
        <f t="shared" si="38"/>
        <v>0</v>
      </c>
      <c r="K1220" t="str">
        <f t="shared" si="39"/>
        <v>Neutral</v>
      </c>
    </row>
    <row r="1221" spans="1:11" x14ac:dyDescent="0.2">
      <c r="A1221" t="s">
        <v>2067</v>
      </c>
      <c r="B1221" t="s">
        <v>2068</v>
      </c>
      <c r="C1221" t="s">
        <v>740</v>
      </c>
      <c r="D1221" t="s">
        <v>3</v>
      </c>
      <c r="E1221" t="s">
        <v>4</v>
      </c>
      <c r="F1221">
        <v>17347</v>
      </c>
      <c r="G1221">
        <v>12513</v>
      </c>
      <c r="H1221" t="s">
        <v>13</v>
      </c>
      <c r="I1221" t="b">
        <v>0</v>
      </c>
      <c r="J1221">
        <f t="shared" si="38"/>
        <v>0</v>
      </c>
      <c r="K1221" t="str">
        <f t="shared" si="39"/>
        <v>Neutral</v>
      </c>
    </row>
    <row r="1222" spans="1:11" x14ac:dyDescent="0.2">
      <c r="A1222" t="s">
        <v>2437</v>
      </c>
      <c r="B1222" t="s">
        <v>2438</v>
      </c>
      <c r="C1222" t="s">
        <v>323</v>
      </c>
      <c r="D1222" t="s">
        <v>2439</v>
      </c>
      <c r="E1222" t="s">
        <v>4</v>
      </c>
      <c r="F1222">
        <v>753</v>
      </c>
      <c r="G1222">
        <v>98</v>
      </c>
      <c r="H1222" t="s">
        <v>645</v>
      </c>
      <c r="I1222" t="b">
        <v>0</v>
      </c>
      <c r="J1222">
        <f t="shared" si="38"/>
        <v>10</v>
      </c>
      <c r="K1222" t="str">
        <f t="shared" si="39"/>
        <v>Positive</v>
      </c>
    </row>
    <row r="1223" spans="1:11" x14ac:dyDescent="0.2">
      <c r="A1223" t="s">
        <v>6291</v>
      </c>
      <c r="B1223" t="s">
        <v>6292</v>
      </c>
      <c r="C1223" t="s">
        <v>948</v>
      </c>
      <c r="D1223" t="s">
        <v>3</v>
      </c>
      <c r="E1223" t="s">
        <v>4</v>
      </c>
      <c r="F1223">
        <v>147</v>
      </c>
      <c r="G1223">
        <v>142</v>
      </c>
      <c r="H1223" t="s">
        <v>50</v>
      </c>
      <c r="I1223" t="b">
        <v>0</v>
      </c>
      <c r="J1223">
        <f t="shared" si="38"/>
        <v>0</v>
      </c>
      <c r="K1223" t="str">
        <f t="shared" si="39"/>
        <v>Neutral</v>
      </c>
    </row>
    <row r="1224" spans="1:11" x14ac:dyDescent="0.2">
      <c r="A1224" t="s">
        <v>5277</v>
      </c>
      <c r="B1224" t="s">
        <v>5278</v>
      </c>
      <c r="C1224" t="s">
        <v>993</v>
      </c>
      <c r="D1224" t="s">
        <v>3</v>
      </c>
      <c r="E1224" t="s">
        <v>4</v>
      </c>
      <c r="F1224">
        <v>110</v>
      </c>
      <c r="G1224">
        <v>45</v>
      </c>
      <c r="H1224" t="s">
        <v>13</v>
      </c>
      <c r="I1224" t="b">
        <v>0</v>
      </c>
      <c r="J1224">
        <f t="shared" si="38"/>
        <v>0</v>
      </c>
      <c r="K1224" t="str">
        <f t="shared" si="39"/>
        <v>Neutral</v>
      </c>
    </row>
    <row r="1225" spans="1:11" x14ac:dyDescent="0.2">
      <c r="A1225" t="s">
        <v>6635</v>
      </c>
      <c r="B1225" t="s">
        <v>6636</v>
      </c>
      <c r="C1225" t="s">
        <v>6637</v>
      </c>
      <c r="D1225" t="s">
        <v>3</v>
      </c>
      <c r="E1225" t="s">
        <v>4</v>
      </c>
      <c r="F1225">
        <v>357</v>
      </c>
      <c r="G1225">
        <v>559</v>
      </c>
      <c r="H1225" t="s">
        <v>13</v>
      </c>
      <c r="I1225" t="b">
        <v>0</v>
      </c>
      <c r="J1225">
        <f t="shared" si="38"/>
        <v>0</v>
      </c>
      <c r="K1225" t="str">
        <f t="shared" si="39"/>
        <v>Neutral</v>
      </c>
    </row>
    <row r="1226" spans="1:11" x14ac:dyDescent="0.2">
      <c r="A1226" t="s">
        <v>6616</v>
      </c>
      <c r="B1226" t="s">
        <v>6617</v>
      </c>
      <c r="C1226" t="s">
        <v>631</v>
      </c>
      <c r="D1226" t="s">
        <v>6618</v>
      </c>
      <c r="E1226" t="s">
        <v>4</v>
      </c>
      <c r="F1226">
        <v>812</v>
      </c>
      <c r="G1226">
        <v>325</v>
      </c>
      <c r="H1226" t="s">
        <v>13</v>
      </c>
      <c r="I1226" t="b">
        <v>0</v>
      </c>
      <c r="J1226">
        <f t="shared" si="38"/>
        <v>0</v>
      </c>
      <c r="K1226" t="str">
        <f t="shared" si="39"/>
        <v>Neutral</v>
      </c>
    </row>
    <row r="1227" spans="1:11" x14ac:dyDescent="0.2">
      <c r="A1227" t="s">
        <v>3486</v>
      </c>
      <c r="B1227" t="s">
        <v>3487</v>
      </c>
      <c r="C1227" t="s">
        <v>3488</v>
      </c>
      <c r="D1227" t="s">
        <v>3489</v>
      </c>
      <c r="E1227" t="s">
        <v>4</v>
      </c>
      <c r="F1227">
        <v>934</v>
      </c>
      <c r="G1227">
        <v>776</v>
      </c>
      <c r="H1227" t="s">
        <v>13</v>
      </c>
      <c r="I1227" t="b">
        <v>0</v>
      </c>
      <c r="J1227">
        <f t="shared" si="38"/>
        <v>0</v>
      </c>
      <c r="K1227" t="str">
        <f t="shared" si="39"/>
        <v>Neutral</v>
      </c>
    </row>
    <row r="1228" spans="1:11" x14ac:dyDescent="0.2">
      <c r="A1228" t="s">
        <v>5371</v>
      </c>
      <c r="B1228" t="s">
        <v>5372</v>
      </c>
      <c r="C1228" t="s">
        <v>5373</v>
      </c>
      <c r="D1228" t="s">
        <v>3</v>
      </c>
      <c r="E1228" t="s">
        <v>4</v>
      </c>
      <c r="F1228">
        <v>3691</v>
      </c>
      <c r="G1228">
        <v>600</v>
      </c>
      <c r="H1228" t="s">
        <v>5</v>
      </c>
      <c r="I1228" t="b">
        <v>0</v>
      </c>
      <c r="J1228">
        <f t="shared" si="38"/>
        <v>0</v>
      </c>
      <c r="K1228" t="str">
        <f t="shared" si="39"/>
        <v>Neutral</v>
      </c>
    </row>
    <row r="1229" spans="1:11" x14ac:dyDescent="0.2">
      <c r="A1229" t="s">
        <v>3810</v>
      </c>
      <c r="B1229" t="s">
        <v>3811</v>
      </c>
      <c r="C1229" t="s">
        <v>3642</v>
      </c>
      <c r="D1229" t="s">
        <v>2335</v>
      </c>
      <c r="E1229" t="s">
        <v>4</v>
      </c>
      <c r="F1229">
        <v>798</v>
      </c>
      <c r="G1229">
        <v>1616</v>
      </c>
      <c r="H1229" t="s">
        <v>13</v>
      </c>
      <c r="I1229" t="b">
        <v>0</v>
      </c>
      <c r="J1229">
        <f t="shared" si="38"/>
        <v>0</v>
      </c>
      <c r="K1229" t="str">
        <f t="shared" si="39"/>
        <v>Neutral</v>
      </c>
    </row>
    <row r="1230" spans="1:11" x14ac:dyDescent="0.2">
      <c r="A1230" t="s">
        <v>1122</v>
      </c>
      <c r="B1230" t="s">
        <v>1123</v>
      </c>
      <c r="C1230" t="s">
        <v>1124</v>
      </c>
      <c r="D1230" t="s">
        <v>1125</v>
      </c>
      <c r="E1230" t="s">
        <v>4</v>
      </c>
      <c r="F1230">
        <v>1064</v>
      </c>
      <c r="G1230">
        <v>444</v>
      </c>
      <c r="H1230" t="s">
        <v>13</v>
      </c>
      <c r="I1230" t="b">
        <v>0</v>
      </c>
      <c r="J1230">
        <f t="shared" si="38"/>
        <v>0</v>
      </c>
      <c r="K1230" t="str">
        <f t="shared" si="39"/>
        <v>Neutral</v>
      </c>
    </row>
    <row r="1231" spans="1:11" x14ac:dyDescent="0.2">
      <c r="A1231" t="s">
        <v>7202</v>
      </c>
      <c r="B1231" t="s">
        <v>7203</v>
      </c>
      <c r="C1231" t="s">
        <v>740</v>
      </c>
      <c r="D1231" t="s">
        <v>3</v>
      </c>
      <c r="E1231" t="s">
        <v>4</v>
      </c>
      <c r="F1231">
        <v>17347</v>
      </c>
      <c r="G1231">
        <v>12516</v>
      </c>
      <c r="H1231" t="s">
        <v>13</v>
      </c>
      <c r="I1231" t="b">
        <v>0</v>
      </c>
      <c r="J1231">
        <f t="shared" si="38"/>
        <v>10</v>
      </c>
      <c r="K1231" t="str">
        <f t="shared" si="39"/>
        <v>Positive</v>
      </c>
    </row>
    <row r="1232" spans="1:11" x14ac:dyDescent="0.2">
      <c r="A1232" t="s">
        <v>7065</v>
      </c>
      <c r="B1232" t="s">
        <v>7066</v>
      </c>
      <c r="C1232" t="s">
        <v>7067</v>
      </c>
      <c r="D1232" t="s">
        <v>7068</v>
      </c>
      <c r="E1232" t="s">
        <v>4</v>
      </c>
      <c r="F1232">
        <v>19</v>
      </c>
      <c r="G1232">
        <v>66</v>
      </c>
      <c r="H1232" t="s">
        <v>13</v>
      </c>
      <c r="I1232" t="b">
        <v>0</v>
      </c>
      <c r="J1232">
        <f t="shared" si="38"/>
        <v>0</v>
      </c>
      <c r="K1232" t="str">
        <f t="shared" si="39"/>
        <v>Neutral</v>
      </c>
    </row>
    <row r="1233" spans="1:11" x14ac:dyDescent="0.2">
      <c r="A1233" t="s">
        <v>6226</v>
      </c>
      <c r="B1233" t="s">
        <v>6227</v>
      </c>
      <c r="C1233" t="s">
        <v>2995</v>
      </c>
      <c r="D1233" t="s">
        <v>6228</v>
      </c>
      <c r="E1233" t="s">
        <v>4</v>
      </c>
      <c r="F1233">
        <v>49</v>
      </c>
      <c r="G1233">
        <v>472</v>
      </c>
      <c r="H1233" t="s">
        <v>13</v>
      </c>
      <c r="I1233" t="b">
        <v>0</v>
      </c>
      <c r="J1233">
        <f t="shared" si="38"/>
        <v>0</v>
      </c>
      <c r="K1233" t="str">
        <f t="shared" si="39"/>
        <v>Neutral</v>
      </c>
    </row>
    <row r="1234" spans="1:11" x14ac:dyDescent="0.2">
      <c r="A1234" t="s">
        <v>3727</v>
      </c>
      <c r="B1234" t="s">
        <v>3728</v>
      </c>
      <c r="C1234" t="s">
        <v>3729</v>
      </c>
      <c r="D1234" t="s">
        <v>3730</v>
      </c>
      <c r="E1234" t="s">
        <v>4</v>
      </c>
      <c r="F1234">
        <v>126820</v>
      </c>
      <c r="G1234">
        <v>638</v>
      </c>
      <c r="H1234" t="s">
        <v>13</v>
      </c>
      <c r="I1234" t="b">
        <v>0</v>
      </c>
      <c r="J1234">
        <f t="shared" si="38"/>
        <v>20</v>
      </c>
      <c r="K1234" t="str">
        <f t="shared" si="39"/>
        <v>Positive</v>
      </c>
    </row>
    <row r="1235" spans="1:11" x14ac:dyDescent="0.2">
      <c r="A1235" t="s">
        <v>6346</v>
      </c>
      <c r="B1235" t="s">
        <v>6347</v>
      </c>
      <c r="C1235" t="s">
        <v>730</v>
      </c>
      <c r="D1235" t="s">
        <v>1457</v>
      </c>
      <c r="E1235" t="s">
        <v>4</v>
      </c>
      <c r="F1235">
        <v>48</v>
      </c>
      <c r="G1235">
        <v>62</v>
      </c>
      <c r="H1235" t="s">
        <v>13</v>
      </c>
      <c r="I1235" t="b">
        <v>0</v>
      </c>
      <c r="J1235">
        <f t="shared" si="38"/>
        <v>0</v>
      </c>
      <c r="K1235" t="str">
        <f t="shared" si="39"/>
        <v>Neutral</v>
      </c>
    </row>
    <row r="1236" spans="1:11" x14ac:dyDescent="0.2">
      <c r="A1236" t="s">
        <v>3531</v>
      </c>
      <c r="B1236" t="s">
        <v>3532</v>
      </c>
      <c r="C1236" t="s">
        <v>410</v>
      </c>
      <c r="D1236" t="s">
        <v>3</v>
      </c>
      <c r="E1236" t="s">
        <v>4</v>
      </c>
      <c r="F1236">
        <v>246</v>
      </c>
      <c r="G1236">
        <v>71</v>
      </c>
      <c r="H1236" t="s">
        <v>13</v>
      </c>
      <c r="I1236" t="b">
        <v>0</v>
      </c>
      <c r="J1236">
        <f t="shared" si="38"/>
        <v>-10</v>
      </c>
      <c r="K1236" t="str">
        <f t="shared" si="39"/>
        <v>Negative</v>
      </c>
    </row>
    <row r="1237" spans="1:11" x14ac:dyDescent="0.2">
      <c r="A1237" t="s">
        <v>5824</v>
      </c>
      <c r="B1237" t="s">
        <v>5825</v>
      </c>
      <c r="C1237" t="s">
        <v>611</v>
      </c>
      <c r="D1237" t="s">
        <v>2990</v>
      </c>
      <c r="E1237" t="s">
        <v>4</v>
      </c>
      <c r="F1237">
        <v>138</v>
      </c>
      <c r="G1237">
        <v>148</v>
      </c>
      <c r="H1237" t="s">
        <v>13</v>
      </c>
      <c r="I1237" t="b">
        <v>0</v>
      </c>
      <c r="J1237">
        <f t="shared" si="38"/>
        <v>0</v>
      </c>
      <c r="K1237" t="str">
        <f t="shared" si="39"/>
        <v>Neutral</v>
      </c>
    </row>
    <row r="1238" spans="1:11" x14ac:dyDescent="0.2">
      <c r="A1238" t="s">
        <v>5298</v>
      </c>
      <c r="B1238" t="s">
        <v>5299</v>
      </c>
      <c r="C1238" t="s">
        <v>5300</v>
      </c>
      <c r="D1238" t="s">
        <v>5301</v>
      </c>
      <c r="E1238" t="s">
        <v>4</v>
      </c>
      <c r="F1238">
        <v>42</v>
      </c>
      <c r="G1238">
        <v>176</v>
      </c>
      <c r="H1238" t="s">
        <v>13</v>
      </c>
      <c r="I1238" t="b">
        <v>0</v>
      </c>
      <c r="J1238">
        <f t="shared" si="38"/>
        <v>0</v>
      </c>
      <c r="K1238" t="str">
        <f t="shared" si="39"/>
        <v>Neutral</v>
      </c>
    </row>
    <row r="1239" spans="1:11" x14ac:dyDescent="0.2">
      <c r="A1239" t="s">
        <v>5751</v>
      </c>
      <c r="B1239" t="s">
        <v>5752</v>
      </c>
      <c r="C1239" t="s">
        <v>5753</v>
      </c>
      <c r="D1239" t="s">
        <v>3</v>
      </c>
      <c r="E1239" t="s">
        <v>4</v>
      </c>
      <c r="F1239">
        <v>12</v>
      </c>
      <c r="G1239">
        <v>34</v>
      </c>
      <c r="H1239" t="s">
        <v>13</v>
      </c>
      <c r="I1239" t="b">
        <v>0</v>
      </c>
      <c r="J1239">
        <f t="shared" si="38"/>
        <v>0</v>
      </c>
      <c r="K1239" t="str">
        <f t="shared" si="39"/>
        <v>Neutral</v>
      </c>
    </row>
    <row r="1240" spans="1:11" x14ac:dyDescent="0.2">
      <c r="A1240" t="s">
        <v>3553</v>
      </c>
      <c r="B1240" t="s">
        <v>3554</v>
      </c>
      <c r="C1240" t="s">
        <v>2425</v>
      </c>
      <c r="D1240" t="s">
        <v>3</v>
      </c>
      <c r="E1240" t="s">
        <v>4</v>
      </c>
      <c r="F1240">
        <v>82</v>
      </c>
      <c r="G1240">
        <v>91</v>
      </c>
      <c r="H1240" t="s">
        <v>13</v>
      </c>
      <c r="I1240" t="b">
        <v>0</v>
      </c>
      <c r="J1240">
        <f t="shared" si="38"/>
        <v>0</v>
      </c>
      <c r="K1240" t="str">
        <f t="shared" si="39"/>
        <v>Neutral</v>
      </c>
    </row>
    <row r="1241" spans="1:11" x14ac:dyDescent="0.2">
      <c r="A1241" t="s">
        <v>5322</v>
      </c>
      <c r="B1241" t="s">
        <v>5323</v>
      </c>
      <c r="C1241" t="s">
        <v>165</v>
      </c>
      <c r="D1241" t="s">
        <v>5324</v>
      </c>
      <c r="E1241" t="s">
        <v>4</v>
      </c>
      <c r="F1241">
        <v>1443</v>
      </c>
      <c r="G1241">
        <v>1514</v>
      </c>
      <c r="H1241" t="s">
        <v>13</v>
      </c>
      <c r="I1241" t="b">
        <v>0</v>
      </c>
      <c r="J1241">
        <f t="shared" si="38"/>
        <v>0</v>
      </c>
      <c r="K1241" t="str">
        <f t="shared" si="39"/>
        <v>Neutral</v>
      </c>
    </row>
    <row r="1242" spans="1:11" x14ac:dyDescent="0.2">
      <c r="A1242" t="s">
        <v>3353</v>
      </c>
      <c r="B1242" t="s">
        <v>3354</v>
      </c>
      <c r="C1242" t="s">
        <v>82</v>
      </c>
      <c r="D1242" t="s">
        <v>3355</v>
      </c>
      <c r="E1242" t="s">
        <v>4</v>
      </c>
      <c r="F1242">
        <v>598</v>
      </c>
      <c r="G1242">
        <v>2901</v>
      </c>
      <c r="H1242" t="s">
        <v>13</v>
      </c>
      <c r="I1242" t="b">
        <v>0</v>
      </c>
      <c r="J1242">
        <f t="shared" si="38"/>
        <v>0</v>
      </c>
      <c r="K1242" t="str">
        <f t="shared" si="39"/>
        <v>Neutral</v>
      </c>
    </row>
    <row r="1243" spans="1:11" x14ac:dyDescent="0.2">
      <c r="A1243" t="s">
        <v>5274</v>
      </c>
      <c r="B1243" t="s">
        <v>5275</v>
      </c>
      <c r="C1243" t="s">
        <v>5276</v>
      </c>
      <c r="D1243" t="s">
        <v>64</v>
      </c>
      <c r="E1243" t="s">
        <v>4</v>
      </c>
      <c r="F1243">
        <v>785</v>
      </c>
      <c r="G1243">
        <v>934</v>
      </c>
      <c r="H1243" t="s">
        <v>13</v>
      </c>
      <c r="I1243" t="b">
        <v>0</v>
      </c>
      <c r="J1243">
        <f t="shared" si="38"/>
        <v>0</v>
      </c>
      <c r="K1243" t="str">
        <f t="shared" si="39"/>
        <v>Neutral</v>
      </c>
    </row>
    <row r="1244" spans="1:11" x14ac:dyDescent="0.2">
      <c r="A1244" t="s">
        <v>1871</v>
      </c>
      <c r="B1244" t="s">
        <v>1872</v>
      </c>
      <c r="C1244" t="s">
        <v>1873</v>
      </c>
      <c r="D1244" t="s">
        <v>1874</v>
      </c>
      <c r="E1244" t="s">
        <v>4</v>
      </c>
      <c r="F1244">
        <v>382</v>
      </c>
      <c r="G1244">
        <v>1026</v>
      </c>
      <c r="H1244" t="s">
        <v>50</v>
      </c>
      <c r="I1244" t="b">
        <v>0</v>
      </c>
      <c r="J1244">
        <f t="shared" si="38"/>
        <v>0</v>
      </c>
      <c r="K1244" t="str">
        <f t="shared" si="39"/>
        <v>Neutral</v>
      </c>
    </row>
    <row r="1245" spans="1:11" x14ac:dyDescent="0.2">
      <c r="A1245" t="s">
        <v>880</v>
      </c>
      <c r="B1245" t="s">
        <v>881</v>
      </c>
      <c r="C1245" t="s">
        <v>786</v>
      </c>
      <c r="D1245" t="s">
        <v>3</v>
      </c>
      <c r="E1245" t="s">
        <v>4</v>
      </c>
      <c r="F1245">
        <v>14920</v>
      </c>
      <c r="G1245">
        <v>8377</v>
      </c>
      <c r="H1245" t="s">
        <v>13</v>
      </c>
      <c r="I1245" t="b">
        <v>0</v>
      </c>
      <c r="J1245">
        <f t="shared" si="38"/>
        <v>0</v>
      </c>
      <c r="K1245" t="str">
        <f t="shared" si="39"/>
        <v>Neutral</v>
      </c>
    </row>
    <row r="1246" spans="1:11" x14ac:dyDescent="0.2">
      <c r="A1246" t="s">
        <v>2450</v>
      </c>
      <c r="B1246" t="s">
        <v>2451</v>
      </c>
      <c r="C1246" t="s">
        <v>1095</v>
      </c>
      <c r="D1246" t="s">
        <v>932</v>
      </c>
      <c r="E1246" t="s">
        <v>4</v>
      </c>
      <c r="F1246">
        <v>26</v>
      </c>
      <c r="G1246">
        <v>162</v>
      </c>
      <c r="H1246" t="s">
        <v>50</v>
      </c>
      <c r="I1246" t="b">
        <v>0</v>
      </c>
      <c r="J1246">
        <f t="shared" si="38"/>
        <v>0</v>
      </c>
      <c r="K1246" t="str">
        <f t="shared" si="39"/>
        <v>Neutral</v>
      </c>
    </row>
    <row r="1247" spans="1:11" x14ac:dyDescent="0.2">
      <c r="A1247" t="s">
        <v>6005</v>
      </c>
      <c r="B1247" t="s">
        <v>6006</v>
      </c>
      <c r="C1247" t="s">
        <v>5979</v>
      </c>
      <c r="D1247" t="s">
        <v>5980</v>
      </c>
      <c r="E1247" t="s">
        <v>4</v>
      </c>
      <c r="F1247">
        <v>490</v>
      </c>
      <c r="G1247">
        <v>649</v>
      </c>
      <c r="H1247" t="s">
        <v>374</v>
      </c>
      <c r="I1247" t="b">
        <v>0</v>
      </c>
      <c r="J1247">
        <f t="shared" si="38"/>
        <v>0</v>
      </c>
      <c r="K1247" t="str">
        <f t="shared" si="39"/>
        <v>Neutral</v>
      </c>
    </row>
    <row r="1248" spans="1:11" x14ac:dyDescent="0.2">
      <c r="A1248" t="s">
        <v>3145</v>
      </c>
      <c r="B1248" t="s">
        <v>3146</v>
      </c>
      <c r="C1248" t="s">
        <v>104</v>
      </c>
      <c r="D1248" t="s">
        <v>3</v>
      </c>
      <c r="E1248" t="s">
        <v>4</v>
      </c>
      <c r="F1248">
        <v>3</v>
      </c>
      <c r="G1248">
        <v>0</v>
      </c>
      <c r="H1248" t="s">
        <v>363</v>
      </c>
      <c r="I1248" t="b">
        <v>0</v>
      </c>
      <c r="J1248">
        <f t="shared" si="38"/>
        <v>10</v>
      </c>
      <c r="K1248" t="str">
        <f t="shared" si="39"/>
        <v>Positive</v>
      </c>
    </row>
    <row r="1249" spans="1:11" x14ac:dyDescent="0.2">
      <c r="A1249" t="s">
        <v>6567</v>
      </c>
      <c r="B1249" t="s">
        <v>6568</v>
      </c>
      <c r="C1249" t="s">
        <v>2230</v>
      </c>
      <c r="D1249" t="s">
        <v>1211</v>
      </c>
      <c r="E1249" t="s">
        <v>4</v>
      </c>
      <c r="F1249">
        <v>1419</v>
      </c>
      <c r="G1249">
        <v>373</v>
      </c>
      <c r="H1249" t="s">
        <v>13</v>
      </c>
      <c r="I1249" t="b">
        <v>0</v>
      </c>
      <c r="J1249">
        <f t="shared" si="38"/>
        <v>0</v>
      </c>
      <c r="K1249" t="str">
        <f t="shared" si="39"/>
        <v>Neutral</v>
      </c>
    </row>
    <row r="1250" spans="1:11" x14ac:dyDescent="0.2">
      <c r="A1250" t="s">
        <v>3521</v>
      </c>
      <c r="B1250" t="s">
        <v>3522</v>
      </c>
      <c r="C1250" t="s">
        <v>443</v>
      </c>
      <c r="D1250" t="s">
        <v>965</v>
      </c>
      <c r="E1250" t="s">
        <v>4</v>
      </c>
      <c r="F1250">
        <v>563</v>
      </c>
      <c r="G1250">
        <v>486</v>
      </c>
      <c r="H1250" t="s">
        <v>13</v>
      </c>
      <c r="I1250" t="b">
        <v>0</v>
      </c>
      <c r="J1250">
        <f t="shared" si="38"/>
        <v>0</v>
      </c>
      <c r="K1250" t="str">
        <f t="shared" si="39"/>
        <v>Neutral</v>
      </c>
    </row>
    <row r="1251" spans="1:11" x14ac:dyDescent="0.2">
      <c r="A1251" t="s">
        <v>2302</v>
      </c>
      <c r="B1251" t="s">
        <v>2303</v>
      </c>
      <c r="C1251" t="s">
        <v>2304</v>
      </c>
      <c r="D1251" t="s">
        <v>2305</v>
      </c>
      <c r="E1251" t="s">
        <v>4</v>
      </c>
      <c r="F1251">
        <v>253</v>
      </c>
      <c r="G1251">
        <v>542</v>
      </c>
      <c r="H1251" t="s">
        <v>13</v>
      </c>
      <c r="I1251" t="b">
        <v>0</v>
      </c>
      <c r="J1251">
        <f t="shared" si="38"/>
        <v>0</v>
      </c>
      <c r="K1251" t="str">
        <f t="shared" si="39"/>
        <v>Neutral</v>
      </c>
    </row>
    <row r="1252" spans="1:11" x14ac:dyDescent="0.2">
      <c r="A1252" t="s">
        <v>1574</v>
      </c>
      <c r="B1252" t="s">
        <v>1575</v>
      </c>
      <c r="C1252" t="s">
        <v>1576</v>
      </c>
      <c r="D1252" t="s">
        <v>1577</v>
      </c>
      <c r="E1252" t="s">
        <v>4</v>
      </c>
      <c r="F1252">
        <v>3197</v>
      </c>
      <c r="G1252">
        <v>3321</v>
      </c>
      <c r="H1252" t="s">
        <v>13</v>
      </c>
      <c r="I1252" t="b">
        <v>0</v>
      </c>
      <c r="J1252">
        <f t="shared" si="38"/>
        <v>0</v>
      </c>
      <c r="K1252" t="str">
        <f t="shared" si="39"/>
        <v>Neutral</v>
      </c>
    </row>
    <row r="1253" spans="1:11" x14ac:dyDescent="0.2">
      <c r="A1253" t="s">
        <v>4233</v>
      </c>
      <c r="B1253" t="s">
        <v>4234</v>
      </c>
      <c r="C1253" t="s">
        <v>4235</v>
      </c>
      <c r="D1253" t="s">
        <v>1066</v>
      </c>
      <c r="E1253" t="s">
        <v>4</v>
      </c>
      <c r="F1253">
        <v>118</v>
      </c>
      <c r="G1253">
        <v>199</v>
      </c>
      <c r="H1253" t="s">
        <v>13</v>
      </c>
      <c r="I1253" t="b">
        <v>0</v>
      </c>
      <c r="J1253">
        <f t="shared" si="38"/>
        <v>10</v>
      </c>
      <c r="K1253" t="str">
        <f t="shared" si="39"/>
        <v>Positive</v>
      </c>
    </row>
    <row r="1254" spans="1:11" x14ac:dyDescent="0.2">
      <c r="A1254" t="s">
        <v>1205</v>
      </c>
      <c r="B1254" t="s">
        <v>1206</v>
      </c>
      <c r="C1254" t="s">
        <v>480</v>
      </c>
      <c r="D1254" t="s">
        <v>1207</v>
      </c>
      <c r="E1254" t="s">
        <v>4</v>
      </c>
      <c r="F1254">
        <v>298</v>
      </c>
      <c r="G1254">
        <v>604</v>
      </c>
      <c r="H1254" t="s">
        <v>13</v>
      </c>
      <c r="I1254" t="b">
        <v>0</v>
      </c>
      <c r="J1254">
        <f t="shared" si="38"/>
        <v>0</v>
      </c>
      <c r="K1254" t="str">
        <f t="shared" si="39"/>
        <v>Neutral</v>
      </c>
    </row>
    <row r="1255" spans="1:11" x14ac:dyDescent="0.2">
      <c r="A1255" t="s">
        <v>5489</v>
      </c>
      <c r="B1255" t="s">
        <v>5490</v>
      </c>
      <c r="C1255" t="s">
        <v>104</v>
      </c>
      <c r="D1255" t="s">
        <v>3</v>
      </c>
      <c r="E1255" t="s">
        <v>4</v>
      </c>
      <c r="F1255">
        <v>7</v>
      </c>
      <c r="G1255">
        <v>7</v>
      </c>
      <c r="H1255" t="s">
        <v>363</v>
      </c>
      <c r="I1255" t="b">
        <v>0</v>
      </c>
      <c r="J1255">
        <f t="shared" si="38"/>
        <v>0</v>
      </c>
      <c r="K1255" t="str">
        <f t="shared" si="39"/>
        <v>Neutral</v>
      </c>
    </row>
    <row r="1256" spans="1:11" x14ac:dyDescent="0.2">
      <c r="A1256" t="s">
        <v>4652</v>
      </c>
      <c r="B1256" t="s">
        <v>4653</v>
      </c>
      <c r="C1256" t="s">
        <v>4654</v>
      </c>
      <c r="D1256" t="s">
        <v>3</v>
      </c>
      <c r="E1256" t="s">
        <v>4</v>
      </c>
      <c r="F1256">
        <v>81</v>
      </c>
      <c r="G1256">
        <v>62</v>
      </c>
      <c r="H1256" t="s">
        <v>13</v>
      </c>
      <c r="I1256" t="b">
        <v>0</v>
      </c>
      <c r="J1256">
        <f t="shared" si="38"/>
        <v>0</v>
      </c>
      <c r="K1256" t="str">
        <f t="shared" si="39"/>
        <v>Neutral</v>
      </c>
    </row>
    <row r="1257" spans="1:11" x14ac:dyDescent="0.2">
      <c r="A1257" t="s">
        <v>5524</v>
      </c>
      <c r="B1257" t="s">
        <v>5525</v>
      </c>
      <c r="C1257" t="s">
        <v>1838</v>
      </c>
      <c r="D1257" t="s">
        <v>3</v>
      </c>
      <c r="E1257" t="s">
        <v>4</v>
      </c>
      <c r="F1257">
        <v>7322</v>
      </c>
      <c r="G1257">
        <v>497</v>
      </c>
      <c r="H1257" t="s">
        <v>13</v>
      </c>
      <c r="I1257" t="b">
        <v>0</v>
      </c>
      <c r="J1257">
        <f t="shared" si="38"/>
        <v>0</v>
      </c>
      <c r="K1257" t="str">
        <f t="shared" si="39"/>
        <v>Neutral</v>
      </c>
    </row>
    <row r="1258" spans="1:11" x14ac:dyDescent="0.2">
      <c r="A1258" t="s">
        <v>1118</v>
      </c>
      <c r="B1258" t="s">
        <v>1119</v>
      </c>
      <c r="C1258" t="s">
        <v>171</v>
      </c>
      <c r="D1258" t="s">
        <v>3</v>
      </c>
      <c r="E1258" t="s">
        <v>4</v>
      </c>
      <c r="F1258">
        <v>20</v>
      </c>
      <c r="G1258">
        <v>47</v>
      </c>
      <c r="H1258" t="s">
        <v>13</v>
      </c>
      <c r="I1258" t="b">
        <v>0</v>
      </c>
      <c r="J1258">
        <f t="shared" si="38"/>
        <v>0</v>
      </c>
      <c r="K1258" t="str">
        <f t="shared" si="39"/>
        <v>Neutral</v>
      </c>
    </row>
    <row r="1259" spans="1:11" x14ac:dyDescent="0.2">
      <c r="A1259" t="s">
        <v>4254</v>
      </c>
      <c r="B1259" t="s">
        <v>4256</v>
      </c>
      <c r="C1259" t="s">
        <v>1423</v>
      </c>
      <c r="D1259" t="s">
        <v>4257</v>
      </c>
      <c r="E1259" t="s">
        <v>4</v>
      </c>
      <c r="F1259">
        <v>384</v>
      </c>
      <c r="G1259">
        <v>7</v>
      </c>
      <c r="H1259" t="s">
        <v>13</v>
      </c>
      <c r="I1259" t="b">
        <v>0</v>
      </c>
      <c r="J1259">
        <f t="shared" si="38"/>
        <v>0</v>
      </c>
      <c r="K1259" t="str">
        <f t="shared" si="39"/>
        <v>Neutral</v>
      </c>
    </row>
    <row r="1260" spans="1:11" x14ac:dyDescent="0.2">
      <c r="A1260" t="s">
        <v>1633</v>
      </c>
      <c r="B1260" t="s">
        <v>1634</v>
      </c>
      <c r="C1260" t="s">
        <v>1635</v>
      </c>
      <c r="D1260" t="s">
        <v>1636</v>
      </c>
      <c r="E1260" t="s">
        <v>4</v>
      </c>
      <c r="F1260">
        <v>177</v>
      </c>
      <c r="G1260">
        <v>174</v>
      </c>
      <c r="H1260" t="s">
        <v>13</v>
      </c>
      <c r="I1260" t="b">
        <v>0</v>
      </c>
      <c r="J1260">
        <f t="shared" si="38"/>
        <v>0</v>
      </c>
      <c r="K1260" t="str">
        <f t="shared" si="39"/>
        <v>Neutral</v>
      </c>
    </row>
    <row r="1261" spans="1:11" x14ac:dyDescent="0.2">
      <c r="A1261" t="s">
        <v>2891</v>
      </c>
      <c r="B1261" t="s">
        <v>2892</v>
      </c>
      <c r="C1261" t="s">
        <v>2893</v>
      </c>
      <c r="D1261" t="s">
        <v>2894</v>
      </c>
      <c r="E1261" t="s">
        <v>4</v>
      </c>
      <c r="F1261">
        <v>164</v>
      </c>
      <c r="G1261">
        <v>201</v>
      </c>
      <c r="H1261" t="s">
        <v>13</v>
      </c>
      <c r="I1261" t="b">
        <v>0</v>
      </c>
      <c r="J1261">
        <f t="shared" si="38"/>
        <v>0</v>
      </c>
      <c r="K1261" t="str">
        <f t="shared" si="39"/>
        <v>Neutral</v>
      </c>
    </row>
    <row r="1262" spans="1:11" x14ac:dyDescent="0.2">
      <c r="A1262" t="s">
        <v>7155</v>
      </c>
      <c r="B1262" t="s">
        <v>7156</v>
      </c>
      <c r="C1262" t="s">
        <v>948</v>
      </c>
      <c r="D1262" t="s">
        <v>6604</v>
      </c>
      <c r="E1262" t="s">
        <v>4</v>
      </c>
      <c r="F1262">
        <v>777</v>
      </c>
      <c r="G1262">
        <v>616</v>
      </c>
      <c r="H1262" t="s">
        <v>13</v>
      </c>
      <c r="I1262" t="b">
        <v>0</v>
      </c>
      <c r="J1262">
        <f t="shared" si="38"/>
        <v>0</v>
      </c>
      <c r="K1262" t="str">
        <f t="shared" si="39"/>
        <v>Neutral</v>
      </c>
    </row>
    <row r="1263" spans="1:11" x14ac:dyDescent="0.2">
      <c r="A1263" t="s">
        <v>635</v>
      </c>
      <c r="B1263" t="s">
        <v>636</v>
      </c>
      <c r="C1263" t="s">
        <v>212</v>
      </c>
      <c r="D1263" t="s">
        <v>637</v>
      </c>
      <c r="E1263" t="s">
        <v>4</v>
      </c>
      <c r="F1263">
        <v>213</v>
      </c>
      <c r="G1263">
        <v>98</v>
      </c>
      <c r="H1263" t="s">
        <v>13</v>
      </c>
      <c r="I1263" t="b">
        <v>0</v>
      </c>
      <c r="J1263">
        <f t="shared" si="38"/>
        <v>0</v>
      </c>
      <c r="K1263" t="str">
        <f t="shared" si="39"/>
        <v>Neutral</v>
      </c>
    </row>
    <row r="1264" spans="1:11" x14ac:dyDescent="0.2">
      <c r="A1264" t="s">
        <v>3845</v>
      </c>
      <c r="B1264" t="s">
        <v>3846</v>
      </c>
      <c r="C1264" t="s">
        <v>190</v>
      </c>
      <c r="D1264" t="s">
        <v>3847</v>
      </c>
      <c r="E1264" t="s">
        <v>4</v>
      </c>
      <c r="F1264">
        <v>6</v>
      </c>
      <c r="G1264">
        <v>29</v>
      </c>
      <c r="H1264" t="s">
        <v>13</v>
      </c>
      <c r="I1264" t="b">
        <v>0</v>
      </c>
      <c r="J1264">
        <f t="shared" si="38"/>
        <v>10</v>
      </c>
      <c r="K1264" t="str">
        <f t="shared" si="39"/>
        <v>Positive</v>
      </c>
    </row>
    <row r="1265" spans="1:11" x14ac:dyDescent="0.2">
      <c r="A1265" t="s">
        <v>6353</v>
      </c>
      <c r="B1265" t="s">
        <v>6354</v>
      </c>
      <c r="C1265" t="s">
        <v>6355</v>
      </c>
      <c r="D1265" t="s">
        <v>1352</v>
      </c>
      <c r="E1265" t="s">
        <v>4</v>
      </c>
      <c r="F1265">
        <v>24</v>
      </c>
      <c r="G1265">
        <v>45</v>
      </c>
      <c r="H1265" t="s">
        <v>13</v>
      </c>
      <c r="I1265" t="b">
        <v>0</v>
      </c>
      <c r="J1265">
        <f t="shared" si="38"/>
        <v>0</v>
      </c>
      <c r="K1265" t="str">
        <f t="shared" si="39"/>
        <v>Neutral</v>
      </c>
    </row>
    <row r="1266" spans="1:11" x14ac:dyDescent="0.2">
      <c r="A1266" t="s">
        <v>5452</v>
      </c>
      <c r="B1266" t="s">
        <v>5453</v>
      </c>
      <c r="C1266" t="s">
        <v>2368</v>
      </c>
      <c r="D1266" t="s">
        <v>984</v>
      </c>
      <c r="E1266" t="s">
        <v>4</v>
      </c>
      <c r="F1266">
        <v>940</v>
      </c>
      <c r="G1266">
        <v>718</v>
      </c>
      <c r="H1266" t="s">
        <v>13</v>
      </c>
      <c r="I1266" t="b">
        <v>0</v>
      </c>
      <c r="J1266">
        <f t="shared" si="38"/>
        <v>0</v>
      </c>
      <c r="K1266" t="str">
        <f t="shared" si="39"/>
        <v>Neutral</v>
      </c>
    </row>
    <row r="1267" spans="1:11" x14ac:dyDescent="0.2">
      <c r="A1267" t="s">
        <v>4800</v>
      </c>
      <c r="B1267" t="s">
        <v>4801</v>
      </c>
      <c r="C1267" t="s">
        <v>2537</v>
      </c>
      <c r="D1267" t="s">
        <v>4802</v>
      </c>
      <c r="E1267" t="s">
        <v>4</v>
      </c>
      <c r="F1267">
        <v>3</v>
      </c>
      <c r="G1267">
        <v>5</v>
      </c>
      <c r="H1267" t="s">
        <v>13</v>
      </c>
      <c r="I1267" t="b">
        <v>0</v>
      </c>
      <c r="J1267">
        <f t="shared" si="38"/>
        <v>0</v>
      </c>
      <c r="K1267" t="str">
        <f t="shared" si="39"/>
        <v>Neutral</v>
      </c>
    </row>
    <row r="1268" spans="1:11" x14ac:dyDescent="0.2">
      <c r="A1268" t="s">
        <v>2863</v>
      </c>
      <c r="B1268" t="s">
        <v>2864</v>
      </c>
      <c r="C1268" t="s">
        <v>2865</v>
      </c>
      <c r="D1268" t="s">
        <v>3</v>
      </c>
      <c r="E1268" t="s">
        <v>4</v>
      </c>
      <c r="F1268">
        <v>10</v>
      </c>
      <c r="G1268">
        <v>111</v>
      </c>
      <c r="H1268" t="s">
        <v>114</v>
      </c>
      <c r="I1268" t="b">
        <v>0</v>
      </c>
      <c r="J1268">
        <f t="shared" si="38"/>
        <v>10</v>
      </c>
      <c r="K1268" t="str">
        <f t="shared" si="39"/>
        <v>Positive</v>
      </c>
    </row>
    <row r="1269" spans="1:11" x14ac:dyDescent="0.2">
      <c r="A1269" t="s">
        <v>2178</v>
      </c>
      <c r="B1269" t="s">
        <v>2179</v>
      </c>
      <c r="C1269" t="s">
        <v>1572</v>
      </c>
      <c r="D1269" t="s">
        <v>113</v>
      </c>
      <c r="E1269" t="s">
        <v>4</v>
      </c>
      <c r="F1269">
        <v>232</v>
      </c>
      <c r="G1269">
        <v>842</v>
      </c>
      <c r="H1269" t="s">
        <v>13</v>
      </c>
      <c r="I1269" t="b">
        <v>0</v>
      </c>
      <c r="J1269">
        <f t="shared" si="38"/>
        <v>20</v>
      </c>
      <c r="K1269" t="str">
        <f t="shared" si="39"/>
        <v>Positive</v>
      </c>
    </row>
    <row r="1270" spans="1:11" x14ac:dyDescent="0.2">
      <c r="A1270" t="s">
        <v>3764</v>
      </c>
      <c r="B1270" t="s">
        <v>3765</v>
      </c>
      <c r="C1270" t="s">
        <v>3369</v>
      </c>
      <c r="D1270" t="s">
        <v>3766</v>
      </c>
      <c r="E1270" t="s">
        <v>4</v>
      </c>
      <c r="F1270">
        <v>178</v>
      </c>
      <c r="G1270">
        <v>399</v>
      </c>
      <c r="H1270" t="s">
        <v>13</v>
      </c>
      <c r="I1270" t="b">
        <v>0</v>
      </c>
      <c r="J1270">
        <f t="shared" si="38"/>
        <v>10</v>
      </c>
      <c r="K1270" t="str">
        <f t="shared" si="39"/>
        <v>Positive</v>
      </c>
    </row>
    <row r="1271" spans="1:11" x14ac:dyDescent="0.2">
      <c r="A1271" t="s">
        <v>1629</v>
      </c>
      <c r="B1271" t="s">
        <v>1630</v>
      </c>
      <c r="C1271" t="s">
        <v>1625</v>
      </c>
      <c r="D1271" t="s">
        <v>1626</v>
      </c>
      <c r="E1271" t="s">
        <v>4</v>
      </c>
      <c r="F1271">
        <v>255</v>
      </c>
      <c r="G1271">
        <v>777</v>
      </c>
      <c r="H1271" t="s">
        <v>13</v>
      </c>
      <c r="I1271" t="b">
        <v>0</v>
      </c>
      <c r="J1271">
        <f t="shared" si="38"/>
        <v>10</v>
      </c>
      <c r="K1271" t="str">
        <f t="shared" si="39"/>
        <v>Positive</v>
      </c>
    </row>
    <row r="1272" spans="1:11" x14ac:dyDescent="0.2">
      <c r="A1272" t="s">
        <v>3661</v>
      </c>
      <c r="B1272" t="s">
        <v>3662</v>
      </c>
      <c r="C1272" t="s">
        <v>3663</v>
      </c>
      <c r="D1272" t="s">
        <v>3</v>
      </c>
      <c r="E1272" t="s">
        <v>4</v>
      </c>
      <c r="F1272">
        <v>652</v>
      </c>
      <c r="G1272">
        <v>270</v>
      </c>
      <c r="H1272" t="s">
        <v>13</v>
      </c>
      <c r="I1272" t="b">
        <v>0</v>
      </c>
      <c r="J1272">
        <f t="shared" si="38"/>
        <v>0</v>
      </c>
      <c r="K1272" t="str">
        <f t="shared" si="39"/>
        <v>Neutral</v>
      </c>
    </row>
    <row r="1273" spans="1:11" x14ac:dyDescent="0.2">
      <c r="A1273" t="s">
        <v>4733</v>
      </c>
      <c r="B1273" t="s">
        <v>4734</v>
      </c>
      <c r="C1273" t="s">
        <v>4735</v>
      </c>
      <c r="D1273" t="s">
        <v>4736</v>
      </c>
      <c r="E1273" t="s">
        <v>4</v>
      </c>
      <c r="F1273">
        <v>94</v>
      </c>
      <c r="G1273">
        <v>160</v>
      </c>
      <c r="H1273" t="s">
        <v>50</v>
      </c>
      <c r="I1273" t="b">
        <v>0</v>
      </c>
      <c r="J1273">
        <f t="shared" si="38"/>
        <v>0</v>
      </c>
      <c r="K1273" t="str">
        <f t="shared" si="39"/>
        <v>Neutral</v>
      </c>
    </row>
    <row r="1274" spans="1:11" x14ac:dyDescent="0.2">
      <c r="A1274" t="s">
        <v>3214</v>
      </c>
      <c r="B1274" t="s">
        <v>3215</v>
      </c>
      <c r="C1274" t="s">
        <v>3216</v>
      </c>
      <c r="D1274" t="s">
        <v>3217</v>
      </c>
      <c r="E1274" t="s">
        <v>4</v>
      </c>
      <c r="F1274">
        <v>12144</v>
      </c>
      <c r="G1274">
        <v>375</v>
      </c>
      <c r="H1274" t="s">
        <v>13</v>
      </c>
      <c r="I1274" t="b">
        <v>0</v>
      </c>
      <c r="J1274">
        <f t="shared" si="38"/>
        <v>0</v>
      </c>
      <c r="K1274" t="str">
        <f t="shared" si="39"/>
        <v>Neutral</v>
      </c>
    </row>
    <row r="1275" spans="1:11" x14ac:dyDescent="0.2">
      <c r="A1275" t="s">
        <v>482</v>
      </c>
      <c r="B1275" t="s">
        <v>483</v>
      </c>
      <c r="C1275" t="s">
        <v>484</v>
      </c>
      <c r="D1275" t="s">
        <v>64</v>
      </c>
      <c r="E1275" t="s">
        <v>4</v>
      </c>
      <c r="F1275">
        <v>79</v>
      </c>
      <c r="G1275">
        <v>607</v>
      </c>
      <c r="H1275" t="s">
        <v>13</v>
      </c>
      <c r="I1275" t="b">
        <v>0</v>
      </c>
      <c r="J1275">
        <f t="shared" si="38"/>
        <v>0</v>
      </c>
      <c r="K1275" t="str">
        <f t="shared" si="39"/>
        <v>Neutral</v>
      </c>
    </row>
    <row r="1276" spans="1:11" x14ac:dyDescent="0.2">
      <c r="A1276" t="s">
        <v>5054</v>
      </c>
      <c r="B1276" t="s">
        <v>5055</v>
      </c>
      <c r="C1276" t="s">
        <v>5056</v>
      </c>
      <c r="D1276" t="s">
        <v>5057</v>
      </c>
      <c r="E1276" t="s">
        <v>4</v>
      </c>
      <c r="F1276">
        <v>122</v>
      </c>
      <c r="G1276">
        <v>569</v>
      </c>
      <c r="H1276" t="s">
        <v>13</v>
      </c>
      <c r="I1276" t="b">
        <v>0</v>
      </c>
      <c r="J1276">
        <f t="shared" si="38"/>
        <v>0</v>
      </c>
      <c r="K1276" t="str">
        <f t="shared" si="39"/>
        <v>Neutral</v>
      </c>
    </row>
    <row r="1277" spans="1:11" x14ac:dyDescent="0.2">
      <c r="A1277" t="s">
        <v>5504</v>
      </c>
      <c r="B1277" t="s">
        <v>5505</v>
      </c>
      <c r="C1277" t="s">
        <v>283</v>
      </c>
      <c r="D1277" t="s">
        <v>5506</v>
      </c>
      <c r="E1277" t="s">
        <v>4</v>
      </c>
      <c r="F1277">
        <v>257</v>
      </c>
      <c r="G1277">
        <v>396</v>
      </c>
      <c r="H1277" t="s">
        <v>13</v>
      </c>
      <c r="I1277" t="b">
        <v>0</v>
      </c>
      <c r="J1277">
        <f t="shared" si="38"/>
        <v>0</v>
      </c>
      <c r="K1277" t="str">
        <f t="shared" si="39"/>
        <v>Neutral</v>
      </c>
    </row>
    <row r="1278" spans="1:11" x14ac:dyDescent="0.2">
      <c r="A1278" t="s">
        <v>789</v>
      </c>
      <c r="B1278" t="s">
        <v>790</v>
      </c>
      <c r="C1278" t="s">
        <v>791</v>
      </c>
      <c r="D1278" t="s">
        <v>98</v>
      </c>
      <c r="E1278" t="s">
        <v>4</v>
      </c>
      <c r="F1278">
        <v>288</v>
      </c>
      <c r="G1278">
        <v>880</v>
      </c>
      <c r="H1278" t="s">
        <v>13</v>
      </c>
      <c r="I1278" t="b">
        <v>0</v>
      </c>
      <c r="J1278">
        <f t="shared" si="38"/>
        <v>0</v>
      </c>
      <c r="K1278" t="str">
        <f t="shared" si="39"/>
        <v>Neutral</v>
      </c>
    </row>
    <row r="1279" spans="1:11" x14ac:dyDescent="0.2">
      <c r="A1279" t="s">
        <v>6014</v>
      </c>
      <c r="B1279" t="s">
        <v>6016</v>
      </c>
      <c r="C1279" t="s">
        <v>3076</v>
      </c>
      <c r="D1279" t="s">
        <v>510</v>
      </c>
      <c r="E1279" t="s">
        <v>4</v>
      </c>
      <c r="F1279">
        <v>8</v>
      </c>
      <c r="G1279">
        <v>36</v>
      </c>
      <c r="H1279" t="s">
        <v>13</v>
      </c>
      <c r="I1279" t="b">
        <v>0</v>
      </c>
      <c r="J1279">
        <f t="shared" si="38"/>
        <v>0</v>
      </c>
      <c r="K1279" t="str">
        <f t="shared" si="39"/>
        <v>Neutral</v>
      </c>
    </row>
    <row r="1280" spans="1:11" x14ac:dyDescent="0.2">
      <c r="A1280" t="s">
        <v>6901</v>
      </c>
      <c r="B1280" t="s">
        <v>6902</v>
      </c>
      <c r="C1280" t="s">
        <v>568</v>
      </c>
      <c r="D1280" t="s">
        <v>6903</v>
      </c>
      <c r="E1280" t="s">
        <v>4</v>
      </c>
      <c r="F1280">
        <v>489</v>
      </c>
      <c r="G1280">
        <v>1080</v>
      </c>
      <c r="H1280" t="s">
        <v>13</v>
      </c>
      <c r="I1280" t="b">
        <v>0</v>
      </c>
      <c r="J1280">
        <f t="shared" si="38"/>
        <v>0</v>
      </c>
      <c r="K1280" t="str">
        <f t="shared" si="39"/>
        <v>Neutral</v>
      </c>
    </row>
    <row r="1281" spans="1:11" x14ac:dyDescent="0.2">
      <c r="A1281" t="s">
        <v>503</v>
      </c>
      <c r="B1281" t="s">
        <v>504</v>
      </c>
      <c r="C1281" t="s">
        <v>505</v>
      </c>
      <c r="D1281" t="s">
        <v>506</v>
      </c>
      <c r="E1281" t="s">
        <v>4</v>
      </c>
      <c r="F1281">
        <v>325</v>
      </c>
      <c r="G1281">
        <v>1007</v>
      </c>
      <c r="H1281" t="s">
        <v>13</v>
      </c>
      <c r="I1281" t="b">
        <v>0</v>
      </c>
      <c r="J1281">
        <f t="shared" si="38"/>
        <v>0</v>
      </c>
      <c r="K1281" t="str">
        <f t="shared" si="39"/>
        <v>Neutral</v>
      </c>
    </row>
    <row r="1282" spans="1:11" x14ac:dyDescent="0.2">
      <c r="A1282" t="s">
        <v>5793</v>
      </c>
      <c r="B1282" t="s">
        <v>5794</v>
      </c>
      <c r="C1282" t="s">
        <v>1035</v>
      </c>
      <c r="D1282" t="s">
        <v>5795</v>
      </c>
      <c r="E1282" t="s">
        <v>4</v>
      </c>
      <c r="F1282">
        <v>2814</v>
      </c>
      <c r="G1282">
        <v>442</v>
      </c>
      <c r="H1282" t="s">
        <v>13</v>
      </c>
      <c r="I1282" t="b">
        <v>0</v>
      </c>
      <c r="J1282">
        <f t="shared" si="38"/>
        <v>0</v>
      </c>
      <c r="K1282" t="str">
        <f t="shared" si="39"/>
        <v>Neutral</v>
      </c>
    </row>
    <row r="1283" spans="1:11" x14ac:dyDescent="0.2">
      <c r="A1283" t="s">
        <v>6784</v>
      </c>
      <c r="B1283" t="s">
        <v>6785</v>
      </c>
      <c r="C1283" t="s">
        <v>6786</v>
      </c>
      <c r="D1283" t="s">
        <v>6787</v>
      </c>
      <c r="E1283" t="s">
        <v>4</v>
      </c>
      <c r="F1283">
        <v>88165</v>
      </c>
      <c r="G1283">
        <v>85370</v>
      </c>
      <c r="H1283" t="s">
        <v>13</v>
      </c>
      <c r="I1283" t="b">
        <v>0</v>
      </c>
      <c r="J1283">
        <f t="shared" ref="J1283:J1346" si="40">sentimentCalc(B1283)</f>
        <v>0</v>
      </c>
      <c r="K1283" t="str">
        <f t="shared" ref="K1283:K1346" si="41">sentimentCategory(J1283)</f>
        <v>Neutral</v>
      </c>
    </row>
    <row r="1284" spans="1:11" x14ac:dyDescent="0.2">
      <c r="A1284" t="s">
        <v>1361</v>
      </c>
      <c r="B1284" t="s">
        <v>1362</v>
      </c>
      <c r="C1284" t="s">
        <v>472</v>
      </c>
      <c r="D1284" t="s">
        <v>1363</v>
      </c>
      <c r="E1284" t="s">
        <v>4</v>
      </c>
      <c r="F1284">
        <v>1607</v>
      </c>
      <c r="G1284">
        <v>1711</v>
      </c>
      <c r="H1284" t="s">
        <v>13</v>
      </c>
      <c r="I1284" t="b">
        <v>0</v>
      </c>
      <c r="J1284">
        <f t="shared" si="40"/>
        <v>0</v>
      </c>
      <c r="K1284" t="str">
        <f t="shared" si="41"/>
        <v>Neutral</v>
      </c>
    </row>
    <row r="1285" spans="1:11" x14ac:dyDescent="0.2">
      <c r="A1285" t="s">
        <v>2481</v>
      </c>
      <c r="B1285" t="s">
        <v>2482</v>
      </c>
      <c r="C1285" t="s">
        <v>2483</v>
      </c>
      <c r="D1285" t="s">
        <v>2484</v>
      </c>
      <c r="E1285" t="s">
        <v>4</v>
      </c>
      <c r="F1285">
        <v>427</v>
      </c>
      <c r="G1285">
        <v>426</v>
      </c>
      <c r="H1285" t="s">
        <v>13</v>
      </c>
      <c r="I1285" t="b">
        <v>0</v>
      </c>
      <c r="J1285">
        <f t="shared" si="40"/>
        <v>10</v>
      </c>
      <c r="K1285" t="str">
        <f t="shared" si="41"/>
        <v>Positive</v>
      </c>
    </row>
    <row r="1286" spans="1:11" x14ac:dyDescent="0.2">
      <c r="A1286" t="s">
        <v>638</v>
      </c>
      <c r="B1286" t="s">
        <v>639</v>
      </c>
      <c r="C1286" t="s">
        <v>640</v>
      </c>
      <c r="D1286" t="s">
        <v>641</v>
      </c>
      <c r="E1286" t="s">
        <v>4</v>
      </c>
      <c r="F1286">
        <v>36</v>
      </c>
      <c r="G1286">
        <v>41</v>
      </c>
      <c r="H1286" t="s">
        <v>13</v>
      </c>
      <c r="I1286" t="b">
        <v>0</v>
      </c>
      <c r="J1286">
        <f t="shared" si="40"/>
        <v>-20</v>
      </c>
      <c r="K1286" t="str">
        <f t="shared" si="41"/>
        <v>Negative</v>
      </c>
    </row>
    <row r="1287" spans="1:11" x14ac:dyDescent="0.2">
      <c r="A1287" t="s">
        <v>3222</v>
      </c>
      <c r="B1287" t="s">
        <v>3223</v>
      </c>
      <c r="C1287" t="s">
        <v>3224</v>
      </c>
      <c r="D1287" t="s">
        <v>3</v>
      </c>
      <c r="E1287" t="s">
        <v>4</v>
      </c>
      <c r="F1287">
        <v>14</v>
      </c>
      <c r="G1287">
        <v>31</v>
      </c>
      <c r="H1287" t="s">
        <v>13</v>
      </c>
      <c r="I1287" t="b">
        <v>0</v>
      </c>
      <c r="J1287">
        <f t="shared" si="40"/>
        <v>0</v>
      </c>
      <c r="K1287" t="str">
        <f t="shared" si="41"/>
        <v>Neutral</v>
      </c>
    </row>
    <row r="1288" spans="1:11" x14ac:dyDescent="0.2">
      <c r="A1288" t="s">
        <v>2825</v>
      </c>
      <c r="B1288" t="s">
        <v>2826</v>
      </c>
      <c r="C1288" t="s">
        <v>1525</v>
      </c>
      <c r="D1288" t="s">
        <v>3</v>
      </c>
      <c r="E1288" t="s">
        <v>4</v>
      </c>
      <c r="F1288">
        <v>9632</v>
      </c>
      <c r="G1288">
        <v>27</v>
      </c>
      <c r="H1288" t="s">
        <v>13</v>
      </c>
      <c r="I1288" t="b">
        <v>0</v>
      </c>
      <c r="J1288">
        <f t="shared" si="40"/>
        <v>0</v>
      </c>
      <c r="K1288" t="str">
        <f t="shared" si="41"/>
        <v>Neutral</v>
      </c>
    </row>
    <row r="1289" spans="1:11" x14ac:dyDescent="0.2">
      <c r="A1289" t="s">
        <v>3905</v>
      </c>
      <c r="B1289" t="s">
        <v>3906</v>
      </c>
      <c r="C1289" t="s">
        <v>3907</v>
      </c>
      <c r="D1289" t="s">
        <v>3</v>
      </c>
      <c r="E1289" t="s">
        <v>4</v>
      </c>
      <c r="F1289">
        <v>254</v>
      </c>
      <c r="G1289">
        <v>188</v>
      </c>
      <c r="H1289" t="s">
        <v>13</v>
      </c>
      <c r="I1289" t="b">
        <v>0</v>
      </c>
      <c r="J1289">
        <f t="shared" si="40"/>
        <v>-20</v>
      </c>
      <c r="K1289" t="str">
        <f t="shared" si="41"/>
        <v>Negative</v>
      </c>
    </row>
    <row r="1290" spans="1:11" x14ac:dyDescent="0.2">
      <c r="A1290" t="s">
        <v>2348</v>
      </c>
      <c r="B1290" t="s">
        <v>2349</v>
      </c>
      <c r="C1290" t="s">
        <v>2065</v>
      </c>
      <c r="D1290" t="s">
        <v>3</v>
      </c>
      <c r="E1290" t="s">
        <v>4</v>
      </c>
      <c r="F1290">
        <v>18</v>
      </c>
      <c r="G1290">
        <v>166</v>
      </c>
      <c r="H1290" t="s">
        <v>13</v>
      </c>
      <c r="I1290" t="b">
        <v>0</v>
      </c>
      <c r="J1290">
        <f t="shared" si="40"/>
        <v>10</v>
      </c>
      <c r="K1290" t="str">
        <f t="shared" si="41"/>
        <v>Positive</v>
      </c>
    </row>
    <row r="1291" spans="1:11" x14ac:dyDescent="0.2">
      <c r="A1291" t="s">
        <v>2196</v>
      </c>
      <c r="B1291" t="s">
        <v>2197</v>
      </c>
      <c r="C1291" t="s">
        <v>1452</v>
      </c>
      <c r="D1291" t="s">
        <v>3</v>
      </c>
      <c r="E1291" t="s">
        <v>4</v>
      </c>
      <c r="F1291">
        <v>81</v>
      </c>
      <c r="G1291">
        <v>284</v>
      </c>
      <c r="H1291" t="s">
        <v>13</v>
      </c>
      <c r="I1291" t="b">
        <v>0</v>
      </c>
      <c r="J1291">
        <f t="shared" si="40"/>
        <v>0</v>
      </c>
      <c r="K1291" t="str">
        <f t="shared" si="41"/>
        <v>Neutral</v>
      </c>
    </row>
    <row r="1292" spans="1:11" x14ac:dyDescent="0.2">
      <c r="A1292" t="s">
        <v>6893</v>
      </c>
      <c r="B1292" t="s">
        <v>6894</v>
      </c>
      <c r="C1292" t="s">
        <v>6895</v>
      </c>
      <c r="D1292" t="s">
        <v>6896</v>
      </c>
      <c r="E1292" t="s">
        <v>4</v>
      </c>
      <c r="F1292">
        <v>303</v>
      </c>
      <c r="G1292">
        <v>1485</v>
      </c>
      <c r="H1292" t="s">
        <v>13</v>
      </c>
      <c r="I1292" t="b">
        <v>0</v>
      </c>
      <c r="J1292">
        <f t="shared" si="40"/>
        <v>0</v>
      </c>
      <c r="K1292" t="str">
        <f t="shared" si="41"/>
        <v>Neutral</v>
      </c>
    </row>
    <row r="1293" spans="1:11" x14ac:dyDescent="0.2">
      <c r="A1293" t="s">
        <v>7114</v>
      </c>
      <c r="B1293" t="s">
        <v>7115</v>
      </c>
      <c r="C1293" t="s">
        <v>7116</v>
      </c>
      <c r="D1293" t="s">
        <v>1964</v>
      </c>
      <c r="E1293" t="s">
        <v>4</v>
      </c>
      <c r="F1293">
        <v>183</v>
      </c>
      <c r="G1293">
        <v>0</v>
      </c>
      <c r="H1293" t="s">
        <v>13</v>
      </c>
      <c r="I1293" t="b">
        <v>0</v>
      </c>
      <c r="J1293">
        <f t="shared" si="40"/>
        <v>10</v>
      </c>
      <c r="K1293" t="str">
        <f t="shared" si="41"/>
        <v>Positive</v>
      </c>
    </row>
    <row r="1294" spans="1:11" x14ac:dyDescent="0.2">
      <c r="A1294" t="s">
        <v>460</v>
      </c>
      <c r="B1294" t="s">
        <v>461</v>
      </c>
      <c r="C1294" t="s">
        <v>462</v>
      </c>
      <c r="D1294" t="s">
        <v>3</v>
      </c>
      <c r="E1294" t="s">
        <v>4</v>
      </c>
      <c r="F1294">
        <v>54</v>
      </c>
      <c r="G1294">
        <v>96</v>
      </c>
      <c r="H1294" t="s">
        <v>13</v>
      </c>
      <c r="I1294" t="b">
        <v>0</v>
      </c>
      <c r="J1294">
        <f t="shared" si="40"/>
        <v>10</v>
      </c>
      <c r="K1294" t="str">
        <f t="shared" si="41"/>
        <v>Positive</v>
      </c>
    </row>
    <row r="1295" spans="1:11" x14ac:dyDescent="0.2">
      <c r="A1295" t="s">
        <v>4691</v>
      </c>
      <c r="B1295" t="s">
        <v>4692</v>
      </c>
      <c r="C1295" t="s">
        <v>4693</v>
      </c>
      <c r="D1295" t="s">
        <v>4694</v>
      </c>
      <c r="E1295" t="s">
        <v>4</v>
      </c>
      <c r="F1295">
        <v>538</v>
      </c>
      <c r="G1295">
        <v>1390</v>
      </c>
      <c r="H1295" t="s">
        <v>13</v>
      </c>
      <c r="I1295" t="b">
        <v>0</v>
      </c>
      <c r="J1295">
        <f t="shared" si="40"/>
        <v>0</v>
      </c>
      <c r="K1295" t="str">
        <f t="shared" si="41"/>
        <v>Neutral</v>
      </c>
    </row>
    <row r="1296" spans="1:11" x14ac:dyDescent="0.2">
      <c r="A1296" t="s">
        <v>6186</v>
      </c>
      <c r="B1296" t="s">
        <v>6187</v>
      </c>
      <c r="C1296" t="s">
        <v>773</v>
      </c>
      <c r="D1296" t="s">
        <v>337</v>
      </c>
      <c r="E1296" t="s">
        <v>4</v>
      </c>
      <c r="F1296">
        <v>17</v>
      </c>
      <c r="G1296">
        <v>94</v>
      </c>
      <c r="H1296" t="s">
        <v>13</v>
      </c>
      <c r="I1296" t="b">
        <v>0</v>
      </c>
      <c r="J1296">
        <f t="shared" si="40"/>
        <v>0</v>
      </c>
      <c r="K1296" t="str">
        <f t="shared" si="41"/>
        <v>Neutral</v>
      </c>
    </row>
    <row r="1297" spans="1:11" x14ac:dyDescent="0.2">
      <c r="A1297" t="s">
        <v>6221</v>
      </c>
      <c r="B1297" t="s">
        <v>6222</v>
      </c>
      <c r="C1297" t="s">
        <v>579</v>
      </c>
      <c r="D1297" t="s">
        <v>3</v>
      </c>
      <c r="E1297" t="s">
        <v>4</v>
      </c>
      <c r="F1297">
        <v>24</v>
      </c>
      <c r="G1297">
        <v>41</v>
      </c>
      <c r="H1297" t="s">
        <v>13</v>
      </c>
      <c r="I1297" t="b">
        <v>0</v>
      </c>
      <c r="J1297">
        <f t="shared" si="40"/>
        <v>0</v>
      </c>
      <c r="K1297" t="str">
        <f t="shared" si="41"/>
        <v>Neutral</v>
      </c>
    </row>
    <row r="1298" spans="1:11" x14ac:dyDescent="0.2">
      <c r="A1298" t="s">
        <v>5292</v>
      </c>
      <c r="B1298" t="s">
        <v>5294</v>
      </c>
      <c r="C1298" t="s">
        <v>5295</v>
      </c>
      <c r="D1298" t="s">
        <v>3</v>
      </c>
      <c r="E1298" t="s">
        <v>4</v>
      </c>
      <c r="F1298">
        <v>122</v>
      </c>
      <c r="G1298">
        <v>82</v>
      </c>
      <c r="H1298" t="s">
        <v>13</v>
      </c>
      <c r="I1298" t="b">
        <v>0</v>
      </c>
      <c r="J1298">
        <f t="shared" si="40"/>
        <v>-10</v>
      </c>
      <c r="K1298" t="str">
        <f t="shared" si="41"/>
        <v>Negative</v>
      </c>
    </row>
    <row r="1299" spans="1:11" x14ac:dyDescent="0.2">
      <c r="A1299" t="s">
        <v>159</v>
      </c>
      <c r="B1299" t="s">
        <v>160</v>
      </c>
      <c r="C1299" t="s">
        <v>161</v>
      </c>
      <c r="D1299" t="s">
        <v>162</v>
      </c>
      <c r="E1299" t="s">
        <v>4</v>
      </c>
      <c r="F1299">
        <v>134</v>
      </c>
      <c r="G1299">
        <v>57</v>
      </c>
      <c r="H1299" t="s">
        <v>13</v>
      </c>
      <c r="I1299" t="b">
        <v>0</v>
      </c>
      <c r="J1299">
        <f t="shared" si="40"/>
        <v>0</v>
      </c>
      <c r="K1299" t="str">
        <f t="shared" si="41"/>
        <v>Neutral</v>
      </c>
    </row>
    <row r="1300" spans="1:11" x14ac:dyDescent="0.2">
      <c r="A1300" t="s">
        <v>6276</v>
      </c>
      <c r="B1300" t="s">
        <v>6277</v>
      </c>
      <c r="C1300" t="s">
        <v>226</v>
      </c>
      <c r="D1300" t="s">
        <v>227</v>
      </c>
      <c r="E1300" t="s">
        <v>4</v>
      </c>
      <c r="F1300">
        <v>9228</v>
      </c>
      <c r="G1300">
        <v>7170</v>
      </c>
      <c r="H1300" t="s">
        <v>13</v>
      </c>
      <c r="I1300" t="b">
        <v>0</v>
      </c>
      <c r="J1300">
        <f t="shared" si="40"/>
        <v>0</v>
      </c>
      <c r="K1300" t="str">
        <f t="shared" si="41"/>
        <v>Neutral</v>
      </c>
    </row>
    <row r="1301" spans="1:11" x14ac:dyDescent="0.2">
      <c r="A1301" t="s">
        <v>3640</v>
      </c>
      <c r="B1301" t="s">
        <v>3641</v>
      </c>
      <c r="C1301" t="s">
        <v>3642</v>
      </c>
      <c r="D1301" t="s">
        <v>2335</v>
      </c>
      <c r="E1301" t="s">
        <v>4</v>
      </c>
      <c r="F1301">
        <v>797</v>
      </c>
      <c r="G1301">
        <v>1614</v>
      </c>
      <c r="H1301" t="s">
        <v>13</v>
      </c>
      <c r="I1301" t="b">
        <v>0</v>
      </c>
      <c r="J1301">
        <f t="shared" si="40"/>
        <v>0</v>
      </c>
      <c r="K1301" t="str">
        <f t="shared" si="41"/>
        <v>Neutral</v>
      </c>
    </row>
    <row r="1302" spans="1:11" x14ac:dyDescent="0.2">
      <c r="A1302" t="s">
        <v>2780</v>
      </c>
      <c r="B1302" t="s">
        <v>2781</v>
      </c>
      <c r="C1302" t="s">
        <v>241</v>
      </c>
      <c r="D1302" t="s">
        <v>932</v>
      </c>
      <c r="E1302" t="s">
        <v>4</v>
      </c>
      <c r="F1302">
        <v>805</v>
      </c>
      <c r="G1302">
        <v>577</v>
      </c>
      <c r="H1302" t="s">
        <v>13</v>
      </c>
      <c r="I1302" t="b">
        <v>0</v>
      </c>
      <c r="J1302">
        <f t="shared" si="40"/>
        <v>0</v>
      </c>
      <c r="K1302" t="str">
        <f t="shared" si="41"/>
        <v>Neutral</v>
      </c>
    </row>
    <row r="1303" spans="1:11" x14ac:dyDescent="0.2">
      <c r="A1303" t="s">
        <v>3697</v>
      </c>
      <c r="B1303" t="s">
        <v>3698</v>
      </c>
      <c r="C1303" t="s">
        <v>2954</v>
      </c>
      <c r="D1303" t="s">
        <v>1813</v>
      </c>
      <c r="E1303" t="s">
        <v>4</v>
      </c>
      <c r="F1303">
        <v>379</v>
      </c>
      <c r="G1303">
        <v>1030</v>
      </c>
      <c r="H1303" t="s">
        <v>13</v>
      </c>
      <c r="I1303" t="b">
        <v>0</v>
      </c>
      <c r="J1303">
        <f t="shared" si="40"/>
        <v>0</v>
      </c>
      <c r="K1303" t="str">
        <f t="shared" si="41"/>
        <v>Neutral</v>
      </c>
    </row>
    <row r="1304" spans="1:11" x14ac:dyDescent="0.2">
      <c r="A1304" t="s">
        <v>3356</v>
      </c>
      <c r="B1304" t="s">
        <v>3357</v>
      </c>
      <c r="C1304" t="s">
        <v>3358</v>
      </c>
      <c r="D1304" t="s">
        <v>3</v>
      </c>
      <c r="E1304" t="s">
        <v>4</v>
      </c>
      <c r="F1304">
        <v>759</v>
      </c>
      <c r="G1304">
        <v>167</v>
      </c>
      <c r="H1304" t="s">
        <v>13</v>
      </c>
      <c r="I1304" t="b">
        <v>0</v>
      </c>
      <c r="J1304">
        <f t="shared" si="40"/>
        <v>10</v>
      </c>
      <c r="K1304" t="str">
        <f t="shared" si="41"/>
        <v>Positive</v>
      </c>
    </row>
    <row r="1305" spans="1:11" x14ac:dyDescent="0.2">
      <c r="A1305" t="s">
        <v>2606</v>
      </c>
      <c r="B1305" t="s">
        <v>2607</v>
      </c>
      <c r="C1305" t="s">
        <v>2608</v>
      </c>
      <c r="D1305" t="s">
        <v>1372</v>
      </c>
      <c r="E1305" t="s">
        <v>4</v>
      </c>
      <c r="F1305">
        <v>207</v>
      </c>
      <c r="G1305">
        <v>468</v>
      </c>
      <c r="H1305" t="s">
        <v>13</v>
      </c>
      <c r="I1305" t="b">
        <v>0</v>
      </c>
      <c r="J1305">
        <f t="shared" si="40"/>
        <v>0</v>
      </c>
      <c r="K1305" t="str">
        <f t="shared" si="41"/>
        <v>Neutral</v>
      </c>
    </row>
    <row r="1306" spans="1:11" x14ac:dyDescent="0.2">
      <c r="A1306" t="s">
        <v>1384</v>
      </c>
      <c r="B1306" t="s">
        <v>1385</v>
      </c>
      <c r="C1306" t="s">
        <v>1386</v>
      </c>
      <c r="D1306" t="s">
        <v>1387</v>
      </c>
      <c r="E1306" t="s">
        <v>4</v>
      </c>
      <c r="F1306">
        <v>1825</v>
      </c>
      <c r="G1306">
        <v>276</v>
      </c>
      <c r="H1306" t="s">
        <v>13</v>
      </c>
      <c r="I1306" t="b">
        <v>0</v>
      </c>
      <c r="J1306">
        <f t="shared" si="40"/>
        <v>0</v>
      </c>
      <c r="K1306" t="str">
        <f t="shared" si="41"/>
        <v>Neutral</v>
      </c>
    </row>
    <row r="1307" spans="1:11" x14ac:dyDescent="0.2">
      <c r="A1307" t="s">
        <v>714</v>
      </c>
      <c r="B1307" t="s">
        <v>715</v>
      </c>
      <c r="C1307" t="s">
        <v>716</v>
      </c>
      <c r="D1307" t="s">
        <v>717</v>
      </c>
      <c r="E1307" t="s">
        <v>4</v>
      </c>
      <c r="F1307">
        <v>8962</v>
      </c>
      <c r="G1307">
        <v>1047</v>
      </c>
      <c r="H1307" t="s">
        <v>13</v>
      </c>
      <c r="I1307" t="b">
        <v>0</v>
      </c>
      <c r="J1307">
        <f t="shared" si="40"/>
        <v>0</v>
      </c>
      <c r="K1307" t="str">
        <f t="shared" si="41"/>
        <v>Neutral</v>
      </c>
    </row>
    <row r="1308" spans="1:11" x14ac:dyDescent="0.2">
      <c r="A1308" t="s">
        <v>2734</v>
      </c>
      <c r="B1308" t="s">
        <v>2735</v>
      </c>
      <c r="C1308" t="s">
        <v>579</v>
      </c>
      <c r="D1308" t="s">
        <v>3</v>
      </c>
      <c r="E1308" t="s">
        <v>4</v>
      </c>
      <c r="F1308">
        <v>16</v>
      </c>
      <c r="G1308">
        <v>153</v>
      </c>
      <c r="H1308" t="s">
        <v>13</v>
      </c>
      <c r="I1308" t="b">
        <v>0</v>
      </c>
      <c r="J1308">
        <f t="shared" si="40"/>
        <v>0</v>
      </c>
      <c r="K1308" t="str">
        <f t="shared" si="41"/>
        <v>Neutral</v>
      </c>
    </row>
    <row r="1309" spans="1:11" x14ac:dyDescent="0.2">
      <c r="A1309" t="s">
        <v>1646</v>
      </c>
      <c r="B1309" t="s">
        <v>1647</v>
      </c>
      <c r="C1309" t="s">
        <v>1648</v>
      </c>
      <c r="D1309" t="s">
        <v>1649</v>
      </c>
      <c r="E1309" t="s">
        <v>4</v>
      </c>
      <c r="F1309">
        <v>1014</v>
      </c>
      <c r="G1309">
        <v>670</v>
      </c>
      <c r="H1309" t="s">
        <v>13</v>
      </c>
      <c r="I1309" t="b">
        <v>0</v>
      </c>
      <c r="J1309">
        <f t="shared" si="40"/>
        <v>-20</v>
      </c>
      <c r="K1309" t="str">
        <f t="shared" si="41"/>
        <v>Negative</v>
      </c>
    </row>
    <row r="1310" spans="1:11" x14ac:dyDescent="0.2">
      <c r="A1310" t="s">
        <v>6706</v>
      </c>
      <c r="B1310" t="s">
        <v>6707</v>
      </c>
      <c r="C1310" t="s">
        <v>2048</v>
      </c>
      <c r="D1310" t="s">
        <v>1439</v>
      </c>
      <c r="E1310" t="s">
        <v>4</v>
      </c>
      <c r="F1310">
        <v>28332</v>
      </c>
      <c r="G1310">
        <v>38</v>
      </c>
      <c r="H1310" t="s">
        <v>13</v>
      </c>
      <c r="I1310" t="b">
        <v>0</v>
      </c>
      <c r="J1310">
        <f t="shared" si="40"/>
        <v>0</v>
      </c>
      <c r="K1310" t="str">
        <f t="shared" si="41"/>
        <v>Neutral</v>
      </c>
    </row>
    <row r="1311" spans="1:11" x14ac:dyDescent="0.2">
      <c r="A1311" t="s">
        <v>4701</v>
      </c>
      <c r="B1311" t="s">
        <v>4702</v>
      </c>
      <c r="C1311" t="s">
        <v>4110</v>
      </c>
      <c r="D1311" t="s">
        <v>4703</v>
      </c>
      <c r="E1311" t="s">
        <v>4</v>
      </c>
      <c r="F1311">
        <v>1066</v>
      </c>
      <c r="G1311">
        <v>1715</v>
      </c>
      <c r="H1311" t="s">
        <v>13</v>
      </c>
      <c r="I1311" t="b">
        <v>0</v>
      </c>
      <c r="J1311">
        <f t="shared" si="40"/>
        <v>0</v>
      </c>
      <c r="K1311" t="str">
        <f t="shared" si="41"/>
        <v>Neutral</v>
      </c>
    </row>
    <row r="1312" spans="1:11" x14ac:dyDescent="0.2">
      <c r="A1312" t="s">
        <v>5985</v>
      </c>
      <c r="B1312" t="s">
        <v>5986</v>
      </c>
      <c r="C1312" t="s">
        <v>5561</v>
      </c>
      <c r="D1312" t="s">
        <v>5987</v>
      </c>
      <c r="E1312" t="s">
        <v>4</v>
      </c>
      <c r="F1312">
        <v>16</v>
      </c>
      <c r="G1312">
        <v>224</v>
      </c>
      <c r="H1312" t="s">
        <v>13</v>
      </c>
      <c r="I1312" t="b">
        <v>0</v>
      </c>
      <c r="J1312">
        <f t="shared" si="40"/>
        <v>0</v>
      </c>
      <c r="K1312" t="str">
        <f t="shared" si="41"/>
        <v>Neutral</v>
      </c>
    </row>
    <row r="1313" spans="1:11" x14ac:dyDescent="0.2">
      <c r="A1313" t="s">
        <v>7018</v>
      </c>
      <c r="B1313" t="s">
        <v>7019</v>
      </c>
      <c r="C1313" t="s">
        <v>7020</v>
      </c>
      <c r="D1313" t="s">
        <v>1372</v>
      </c>
      <c r="E1313" t="s">
        <v>4</v>
      </c>
      <c r="F1313">
        <v>224</v>
      </c>
      <c r="G1313">
        <v>200</v>
      </c>
      <c r="H1313" t="s">
        <v>13</v>
      </c>
      <c r="I1313" t="b">
        <v>0</v>
      </c>
      <c r="J1313">
        <f t="shared" si="40"/>
        <v>10</v>
      </c>
      <c r="K1313" t="str">
        <f t="shared" si="41"/>
        <v>Positive</v>
      </c>
    </row>
    <row r="1314" spans="1:11" x14ac:dyDescent="0.2">
      <c r="A1314" t="s">
        <v>1623</v>
      </c>
      <c r="B1314" t="s">
        <v>1624</v>
      </c>
      <c r="C1314" t="s">
        <v>1625</v>
      </c>
      <c r="D1314" t="s">
        <v>1626</v>
      </c>
      <c r="E1314" t="s">
        <v>4</v>
      </c>
      <c r="F1314">
        <v>255</v>
      </c>
      <c r="G1314">
        <v>777</v>
      </c>
      <c r="H1314" t="s">
        <v>13</v>
      </c>
      <c r="I1314" t="b">
        <v>0</v>
      </c>
      <c r="J1314">
        <f t="shared" si="40"/>
        <v>10</v>
      </c>
      <c r="K1314" t="str">
        <f t="shared" si="41"/>
        <v>Positive</v>
      </c>
    </row>
    <row r="1315" spans="1:11" x14ac:dyDescent="0.2">
      <c r="A1315" t="s">
        <v>5776</v>
      </c>
      <c r="B1315" t="s">
        <v>5777</v>
      </c>
      <c r="C1315" t="s">
        <v>323</v>
      </c>
      <c r="D1315" t="s">
        <v>3</v>
      </c>
      <c r="E1315" t="s">
        <v>4</v>
      </c>
      <c r="F1315">
        <v>41</v>
      </c>
      <c r="G1315">
        <v>59</v>
      </c>
      <c r="H1315" t="s">
        <v>13</v>
      </c>
      <c r="I1315" t="b">
        <v>0</v>
      </c>
      <c r="J1315">
        <f t="shared" si="40"/>
        <v>0</v>
      </c>
      <c r="K1315" t="str">
        <f t="shared" si="41"/>
        <v>Neutral</v>
      </c>
    </row>
    <row r="1316" spans="1:11" x14ac:dyDescent="0.2">
      <c r="A1316" t="s">
        <v>393</v>
      </c>
      <c r="B1316" t="s">
        <v>394</v>
      </c>
      <c r="C1316" t="s">
        <v>395</v>
      </c>
      <c r="D1316" t="s">
        <v>396</v>
      </c>
      <c r="E1316" t="s">
        <v>4</v>
      </c>
      <c r="F1316">
        <v>48</v>
      </c>
      <c r="G1316">
        <v>230</v>
      </c>
      <c r="H1316" t="s">
        <v>13</v>
      </c>
      <c r="I1316" t="b">
        <v>0</v>
      </c>
      <c r="J1316">
        <f t="shared" si="40"/>
        <v>0</v>
      </c>
      <c r="K1316" t="str">
        <f t="shared" si="41"/>
        <v>Neutral</v>
      </c>
    </row>
    <row r="1317" spans="1:11" x14ac:dyDescent="0.2">
      <c r="A1317" t="s">
        <v>4001</v>
      </c>
      <c r="B1317" t="s">
        <v>4002</v>
      </c>
      <c r="C1317" t="s">
        <v>4003</v>
      </c>
      <c r="D1317" t="s">
        <v>4004</v>
      </c>
      <c r="E1317" t="s">
        <v>4</v>
      </c>
      <c r="F1317">
        <v>2396</v>
      </c>
      <c r="G1317">
        <v>500</v>
      </c>
      <c r="H1317" t="s">
        <v>13</v>
      </c>
      <c r="I1317" t="b">
        <v>0</v>
      </c>
      <c r="J1317">
        <f t="shared" si="40"/>
        <v>0</v>
      </c>
      <c r="K1317" t="str">
        <f t="shared" si="41"/>
        <v>Neutral</v>
      </c>
    </row>
    <row r="1318" spans="1:11" x14ac:dyDescent="0.2">
      <c r="A1318" t="s">
        <v>3528</v>
      </c>
      <c r="B1318" t="s">
        <v>3529</v>
      </c>
      <c r="C1318" t="s">
        <v>2230</v>
      </c>
      <c r="D1318" t="s">
        <v>3530</v>
      </c>
      <c r="E1318" t="s">
        <v>4</v>
      </c>
      <c r="F1318">
        <v>62</v>
      </c>
      <c r="G1318">
        <v>108</v>
      </c>
      <c r="H1318" t="s">
        <v>13</v>
      </c>
      <c r="I1318" t="b">
        <v>0</v>
      </c>
      <c r="J1318">
        <f t="shared" si="40"/>
        <v>0</v>
      </c>
      <c r="K1318" t="str">
        <f t="shared" si="41"/>
        <v>Neutral</v>
      </c>
    </row>
    <row r="1319" spans="1:11" x14ac:dyDescent="0.2">
      <c r="A1319" t="s">
        <v>4957</v>
      </c>
      <c r="B1319" t="s">
        <v>4958</v>
      </c>
      <c r="C1319" t="s">
        <v>1409</v>
      </c>
      <c r="D1319" t="s">
        <v>3</v>
      </c>
      <c r="E1319" t="s">
        <v>4</v>
      </c>
      <c r="F1319">
        <v>22</v>
      </c>
      <c r="G1319">
        <v>192</v>
      </c>
      <c r="H1319" t="s">
        <v>645</v>
      </c>
      <c r="I1319" t="b">
        <v>0</v>
      </c>
      <c r="J1319">
        <f t="shared" si="40"/>
        <v>0</v>
      </c>
      <c r="K1319" t="str">
        <f t="shared" si="41"/>
        <v>Neutral</v>
      </c>
    </row>
    <row r="1320" spans="1:11" x14ac:dyDescent="0.2">
      <c r="A1320" t="s">
        <v>1546</v>
      </c>
      <c r="B1320" t="s">
        <v>1547</v>
      </c>
      <c r="C1320" t="s">
        <v>1548</v>
      </c>
      <c r="D1320" t="s">
        <v>1549</v>
      </c>
      <c r="E1320" t="s">
        <v>4</v>
      </c>
      <c r="F1320">
        <v>38</v>
      </c>
      <c r="G1320">
        <v>122</v>
      </c>
      <c r="H1320" t="s">
        <v>13</v>
      </c>
      <c r="I1320" t="b">
        <v>0</v>
      </c>
      <c r="J1320">
        <f t="shared" si="40"/>
        <v>0</v>
      </c>
      <c r="K1320" t="str">
        <f t="shared" si="41"/>
        <v>Neutral</v>
      </c>
    </row>
    <row r="1321" spans="1:11" x14ac:dyDescent="0.2">
      <c r="A1321" t="s">
        <v>2600</v>
      </c>
      <c r="B1321" t="s">
        <v>2603</v>
      </c>
      <c r="C1321" t="s">
        <v>2604</v>
      </c>
      <c r="D1321" t="s">
        <v>2605</v>
      </c>
      <c r="E1321" t="s">
        <v>4</v>
      </c>
      <c r="F1321">
        <v>503</v>
      </c>
      <c r="G1321">
        <v>673</v>
      </c>
      <c r="H1321" t="s">
        <v>50</v>
      </c>
      <c r="I1321" t="b">
        <v>0</v>
      </c>
      <c r="J1321">
        <f t="shared" si="40"/>
        <v>0</v>
      </c>
      <c r="K1321" t="str">
        <f t="shared" si="41"/>
        <v>Neutral</v>
      </c>
    </row>
    <row r="1322" spans="1:11" x14ac:dyDescent="0.2">
      <c r="A1322" t="s">
        <v>4304</v>
      </c>
      <c r="B1322" t="s">
        <v>4305</v>
      </c>
      <c r="C1322" t="s">
        <v>97</v>
      </c>
      <c r="D1322" t="s">
        <v>1188</v>
      </c>
      <c r="E1322" t="s">
        <v>4</v>
      </c>
      <c r="F1322">
        <v>206</v>
      </c>
      <c r="G1322">
        <v>114</v>
      </c>
      <c r="H1322" t="s">
        <v>13</v>
      </c>
      <c r="I1322" t="b">
        <v>0</v>
      </c>
      <c r="J1322">
        <f t="shared" si="40"/>
        <v>0</v>
      </c>
      <c r="K1322" t="str">
        <f t="shared" si="41"/>
        <v>Neutral</v>
      </c>
    </row>
    <row r="1323" spans="1:11" x14ac:dyDescent="0.2">
      <c r="A1323" t="s">
        <v>6364</v>
      </c>
      <c r="B1323" t="s">
        <v>6365</v>
      </c>
      <c r="C1323" t="s">
        <v>4328</v>
      </c>
      <c r="D1323" t="s">
        <v>320</v>
      </c>
      <c r="E1323" t="s">
        <v>4</v>
      </c>
      <c r="F1323">
        <v>120</v>
      </c>
      <c r="G1323">
        <v>114</v>
      </c>
      <c r="H1323" t="s">
        <v>13</v>
      </c>
      <c r="I1323" t="b">
        <v>0</v>
      </c>
      <c r="J1323">
        <f t="shared" si="40"/>
        <v>0</v>
      </c>
      <c r="K1323" t="str">
        <f t="shared" si="41"/>
        <v>Neutral</v>
      </c>
    </row>
    <row r="1324" spans="1:11" x14ac:dyDescent="0.2">
      <c r="A1324" t="s">
        <v>6991</v>
      </c>
      <c r="B1324" t="s">
        <v>6992</v>
      </c>
      <c r="C1324" t="s">
        <v>383</v>
      </c>
      <c r="D1324" t="s">
        <v>113</v>
      </c>
      <c r="E1324" t="s">
        <v>4</v>
      </c>
      <c r="F1324">
        <v>2067</v>
      </c>
      <c r="G1324">
        <v>852</v>
      </c>
      <c r="H1324" t="s">
        <v>13</v>
      </c>
      <c r="I1324" t="b">
        <v>0</v>
      </c>
      <c r="J1324">
        <f t="shared" si="40"/>
        <v>10</v>
      </c>
      <c r="K1324" t="str">
        <f t="shared" si="41"/>
        <v>Positive</v>
      </c>
    </row>
    <row r="1325" spans="1:11" x14ac:dyDescent="0.2">
      <c r="A1325" t="s">
        <v>606</v>
      </c>
      <c r="B1325" t="s">
        <v>607</v>
      </c>
      <c r="C1325" t="s">
        <v>608</v>
      </c>
      <c r="D1325" t="s">
        <v>3</v>
      </c>
      <c r="E1325" t="s">
        <v>4</v>
      </c>
      <c r="F1325">
        <v>4994</v>
      </c>
      <c r="G1325">
        <v>5323</v>
      </c>
      <c r="H1325" t="s">
        <v>76</v>
      </c>
      <c r="I1325" t="b">
        <v>0</v>
      </c>
      <c r="J1325">
        <f t="shared" si="40"/>
        <v>0</v>
      </c>
      <c r="K1325" t="str">
        <f t="shared" si="41"/>
        <v>Neutral</v>
      </c>
    </row>
    <row r="1326" spans="1:11" x14ac:dyDescent="0.2">
      <c r="A1326" t="s">
        <v>5161</v>
      </c>
      <c r="B1326" t="s">
        <v>5162</v>
      </c>
      <c r="C1326" t="s">
        <v>2204</v>
      </c>
      <c r="D1326" t="s">
        <v>491</v>
      </c>
      <c r="E1326" t="s">
        <v>4</v>
      </c>
      <c r="F1326">
        <v>297</v>
      </c>
      <c r="G1326">
        <v>520</v>
      </c>
      <c r="H1326" t="s">
        <v>13</v>
      </c>
      <c r="I1326" t="b">
        <v>0</v>
      </c>
      <c r="J1326">
        <f t="shared" si="40"/>
        <v>0</v>
      </c>
      <c r="K1326" t="str">
        <f t="shared" si="41"/>
        <v>Neutral</v>
      </c>
    </row>
    <row r="1327" spans="1:11" x14ac:dyDescent="0.2">
      <c r="A1327" t="s">
        <v>3202</v>
      </c>
      <c r="B1327" t="s">
        <v>3205</v>
      </c>
      <c r="C1327" t="s">
        <v>3206</v>
      </c>
      <c r="D1327" t="s">
        <v>3</v>
      </c>
      <c r="E1327" t="s">
        <v>4</v>
      </c>
      <c r="F1327">
        <v>91</v>
      </c>
      <c r="G1327">
        <v>493</v>
      </c>
      <c r="H1327" t="s">
        <v>13</v>
      </c>
      <c r="I1327" t="b">
        <v>0</v>
      </c>
      <c r="J1327">
        <f t="shared" si="40"/>
        <v>0</v>
      </c>
      <c r="K1327" t="str">
        <f t="shared" si="41"/>
        <v>Neutral</v>
      </c>
    </row>
    <row r="1328" spans="1:11" x14ac:dyDescent="0.2">
      <c r="A1328" t="s">
        <v>3393</v>
      </c>
      <c r="B1328" t="s">
        <v>3394</v>
      </c>
      <c r="C1328" t="s">
        <v>1152</v>
      </c>
      <c r="D1328" t="s">
        <v>2957</v>
      </c>
      <c r="E1328" t="s">
        <v>4</v>
      </c>
      <c r="F1328">
        <v>1438</v>
      </c>
      <c r="G1328">
        <v>580</v>
      </c>
      <c r="H1328" t="s">
        <v>13</v>
      </c>
      <c r="I1328" t="b">
        <v>0</v>
      </c>
      <c r="J1328">
        <f t="shared" si="40"/>
        <v>-10</v>
      </c>
      <c r="K1328" t="str">
        <f t="shared" si="41"/>
        <v>Negative</v>
      </c>
    </row>
    <row r="1329" spans="1:11" x14ac:dyDescent="0.2">
      <c r="A1329" t="s">
        <v>4516</v>
      </c>
      <c r="B1329" t="s">
        <v>4517</v>
      </c>
      <c r="C1329" t="s">
        <v>1720</v>
      </c>
      <c r="D1329" t="s">
        <v>1698</v>
      </c>
      <c r="E1329" t="s">
        <v>4</v>
      </c>
      <c r="F1329">
        <v>946</v>
      </c>
      <c r="G1329">
        <v>634</v>
      </c>
      <c r="H1329" t="s">
        <v>13</v>
      </c>
      <c r="I1329" t="b">
        <v>0</v>
      </c>
      <c r="J1329">
        <f t="shared" si="40"/>
        <v>0</v>
      </c>
      <c r="K1329" t="str">
        <f t="shared" si="41"/>
        <v>Neutral</v>
      </c>
    </row>
    <row r="1330" spans="1:11" x14ac:dyDescent="0.2">
      <c r="A1330" t="s">
        <v>4832</v>
      </c>
      <c r="B1330" t="s">
        <v>4833</v>
      </c>
      <c r="C1330" t="s">
        <v>4110</v>
      </c>
      <c r="D1330" t="s">
        <v>4703</v>
      </c>
      <c r="E1330" t="s">
        <v>4</v>
      </c>
      <c r="F1330">
        <v>1066</v>
      </c>
      <c r="G1330">
        <v>1715</v>
      </c>
      <c r="H1330" t="s">
        <v>13</v>
      </c>
      <c r="I1330" t="b">
        <v>0</v>
      </c>
      <c r="J1330">
        <f t="shared" si="40"/>
        <v>0</v>
      </c>
      <c r="K1330" t="str">
        <f t="shared" si="41"/>
        <v>Neutral</v>
      </c>
    </row>
    <row r="1331" spans="1:11" x14ac:dyDescent="0.2">
      <c r="A1331" t="s">
        <v>1223</v>
      </c>
      <c r="B1331" t="s">
        <v>1224</v>
      </c>
      <c r="C1331" t="s">
        <v>1225</v>
      </c>
      <c r="D1331" t="s">
        <v>64</v>
      </c>
      <c r="E1331" t="s">
        <v>4</v>
      </c>
      <c r="F1331">
        <v>266</v>
      </c>
      <c r="G1331">
        <v>211</v>
      </c>
      <c r="H1331" t="s">
        <v>13</v>
      </c>
      <c r="I1331" t="b">
        <v>0</v>
      </c>
      <c r="J1331">
        <f t="shared" si="40"/>
        <v>0</v>
      </c>
      <c r="K1331" t="str">
        <f t="shared" si="41"/>
        <v>Neutral</v>
      </c>
    </row>
    <row r="1332" spans="1:11" x14ac:dyDescent="0.2">
      <c r="A1332" t="s">
        <v>6298</v>
      </c>
      <c r="B1332" t="s">
        <v>6299</v>
      </c>
      <c r="C1332" t="s">
        <v>6243</v>
      </c>
      <c r="D1332" t="s">
        <v>6244</v>
      </c>
      <c r="E1332" t="s">
        <v>4</v>
      </c>
      <c r="F1332">
        <v>362</v>
      </c>
      <c r="G1332">
        <v>131</v>
      </c>
      <c r="H1332" t="s">
        <v>13</v>
      </c>
      <c r="I1332" t="b">
        <v>0</v>
      </c>
      <c r="J1332">
        <f t="shared" si="40"/>
        <v>0</v>
      </c>
      <c r="K1332" t="str">
        <f t="shared" si="41"/>
        <v>Neutral</v>
      </c>
    </row>
    <row r="1333" spans="1:11" x14ac:dyDescent="0.2">
      <c r="A1333" t="s">
        <v>4283</v>
      </c>
      <c r="B1333" t="s">
        <v>4284</v>
      </c>
      <c r="C1333" t="s">
        <v>2753</v>
      </c>
      <c r="D1333" t="s">
        <v>1372</v>
      </c>
      <c r="E1333" t="s">
        <v>4</v>
      </c>
      <c r="F1333">
        <v>70</v>
      </c>
      <c r="G1333">
        <v>372</v>
      </c>
      <c r="H1333" t="s">
        <v>13</v>
      </c>
      <c r="I1333" t="b">
        <v>0</v>
      </c>
      <c r="J1333">
        <f t="shared" si="40"/>
        <v>0</v>
      </c>
      <c r="K1333" t="str">
        <f t="shared" si="41"/>
        <v>Neutral</v>
      </c>
    </row>
    <row r="1334" spans="1:11" x14ac:dyDescent="0.2">
      <c r="A1334" t="s">
        <v>1104</v>
      </c>
      <c r="B1334" t="s">
        <v>1105</v>
      </c>
      <c r="C1334" t="s">
        <v>1106</v>
      </c>
      <c r="D1334" t="s">
        <v>3</v>
      </c>
      <c r="E1334" t="s">
        <v>4</v>
      </c>
      <c r="F1334">
        <v>81</v>
      </c>
      <c r="G1334">
        <v>255</v>
      </c>
      <c r="H1334" t="s">
        <v>13</v>
      </c>
      <c r="I1334" t="b">
        <v>0</v>
      </c>
      <c r="J1334">
        <f t="shared" si="40"/>
        <v>0</v>
      </c>
      <c r="K1334" t="str">
        <f t="shared" si="41"/>
        <v>Neutral</v>
      </c>
    </row>
    <row r="1335" spans="1:11" x14ac:dyDescent="0.2">
      <c r="A1335" t="s">
        <v>6509</v>
      </c>
      <c r="B1335" t="s">
        <v>6511</v>
      </c>
      <c r="C1335" t="s">
        <v>5956</v>
      </c>
      <c r="D1335" t="s">
        <v>3</v>
      </c>
      <c r="E1335" t="s">
        <v>4</v>
      </c>
      <c r="F1335">
        <v>50</v>
      </c>
      <c r="G1335">
        <v>242</v>
      </c>
      <c r="H1335" t="s">
        <v>13</v>
      </c>
      <c r="I1335" t="b">
        <v>0</v>
      </c>
      <c r="J1335">
        <f t="shared" si="40"/>
        <v>0</v>
      </c>
      <c r="K1335" t="str">
        <f t="shared" si="41"/>
        <v>Neutral</v>
      </c>
    </row>
    <row r="1336" spans="1:11" x14ac:dyDescent="0.2">
      <c r="A1336" t="s">
        <v>2641</v>
      </c>
      <c r="B1336" t="s">
        <v>2642</v>
      </c>
      <c r="C1336" t="s">
        <v>2643</v>
      </c>
      <c r="D1336" t="s">
        <v>3</v>
      </c>
      <c r="E1336" t="s">
        <v>4</v>
      </c>
      <c r="F1336">
        <v>180</v>
      </c>
      <c r="G1336">
        <v>366</v>
      </c>
      <c r="H1336" t="s">
        <v>13</v>
      </c>
      <c r="I1336" t="b">
        <v>0</v>
      </c>
      <c r="J1336">
        <f t="shared" si="40"/>
        <v>0</v>
      </c>
      <c r="K1336" t="str">
        <f t="shared" si="41"/>
        <v>Neutral</v>
      </c>
    </row>
    <row r="1337" spans="1:11" x14ac:dyDescent="0.2">
      <c r="A1337" t="s">
        <v>2861</v>
      </c>
      <c r="B1337" t="s">
        <v>2862</v>
      </c>
      <c r="C1337" t="s">
        <v>362</v>
      </c>
      <c r="D1337" t="s">
        <v>663</v>
      </c>
      <c r="E1337" t="s">
        <v>4</v>
      </c>
      <c r="F1337">
        <v>1997</v>
      </c>
      <c r="G1337">
        <v>1059</v>
      </c>
      <c r="H1337" t="s">
        <v>13</v>
      </c>
      <c r="I1337" t="b">
        <v>0</v>
      </c>
      <c r="J1337">
        <f t="shared" si="40"/>
        <v>0</v>
      </c>
      <c r="K1337" t="str">
        <f t="shared" si="41"/>
        <v>Neutral</v>
      </c>
    </row>
    <row r="1338" spans="1:11" x14ac:dyDescent="0.2">
      <c r="A1338" t="s">
        <v>687</v>
      </c>
      <c r="B1338" t="s">
        <v>688</v>
      </c>
      <c r="C1338" t="s">
        <v>689</v>
      </c>
      <c r="D1338" t="s">
        <v>3</v>
      </c>
      <c r="E1338" t="s">
        <v>4</v>
      </c>
      <c r="F1338">
        <v>81</v>
      </c>
      <c r="G1338">
        <v>328</v>
      </c>
      <c r="H1338" t="s">
        <v>86</v>
      </c>
      <c r="I1338" t="b">
        <v>0</v>
      </c>
      <c r="J1338">
        <f t="shared" si="40"/>
        <v>0</v>
      </c>
      <c r="K1338" t="str">
        <f t="shared" si="41"/>
        <v>Neutral</v>
      </c>
    </row>
    <row r="1339" spans="1:11" x14ac:dyDescent="0.2">
      <c r="A1339" t="s">
        <v>3969</v>
      </c>
      <c r="B1339" t="s">
        <v>3970</v>
      </c>
      <c r="C1339" t="s">
        <v>3971</v>
      </c>
      <c r="D1339" t="s">
        <v>3972</v>
      </c>
      <c r="E1339" t="s">
        <v>4</v>
      </c>
      <c r="F1339">
        <v>13</v>
      </c>
      <c r="G1339">
        <v>50</v>
      </c>
      <c r="H1339" t="s">
        <v>13</v>
      </c>
      <c r="I1339" t="b">
        <v>0</v>
      </c>
      <c r="J1339">
        <f t="shared" si="40"/>
        <v>0</v>
      </c>
      <c r="K1339" t="str">
        <f t="shared" si="41"/>
        <v>Neutral</v>
      </c>
    </row>
    <row r="1340" spans="1:11" x14ac:dyDescent="0.2">
      <c r="A1340" t="s">
        <v>6451</v>
      </c>
      <c r="B1340" t="s">
        <v>6452</v>
      </c>
      <c r="C1340" t="s">
        <v>6453</v>
      </c>
      <c r="D1340" t="s">
        <v>6454</v>
      </c>
      <c r="E1340" t="s">
        <v>4</v>
      </c>
      <c r="F1340">
        <v>61</v>
      </c>
      <c r="G1340">
        <v>127</v>
      </c>
      <c r="H1340" t="s">
        <v>13</v>
      </c>
      <c r="I1340" t="b">
        <v>0</v>
      </c>
      <c r="J1340">
        <f t="shared" si="40"/>
        <v>10</v>
      </c>
      <c r="K1340" t="str">
        <f t="shared" si="41"/>
        <v>Positive</v>
      </c>
    </row>
    <row r="1341" spans="1:11" x14ac:dyDescent="0.2">
      <c r="A1341" t="s">
        <v>5441</v>
      </c>
      <c r="B1341" t="s">
        <v>5442</v>
      </c>
      <c r="C1341" t="s">
        <v>5443</v>
      </c>
      <c r="D1341" t="s">
        <v>3</v>
      </c>
      <c r="E1341" t="s">
        <v>4</v>
      </c>
      <c r="F1341">
        <v>329</v>
      </c>
      <c r="G1341">
        <v>307</v>
      </c>
      <c r="H1341" t="s">
        <v>13</v>
      </c>
      <c r="I1341" t="b">
        <v>0</v>
      </c>
      <c r="J1341">
        <f t="shared" si="40"/>
        <v>0</v>
      </c>
      <c r="K1341" t="str">
        <f t="shared" si="41"/>
        <v>Neutral</v>
      </c>
    </row>
    <row r="1342" spans="1:11" x14ac:dyDescent="0.2">
      <c r="A1342" t="s">
        <v>7200</v>
      </c>
      <c r="B1342" t="s">
        <v>7201</v>
      </c>
      <c r="C1342" t="s">
        <v>4796</v>
      </c>
      <c r="D1342" t="s">
        <v>3</v>
      </c>
      <c r="E1342" t="s">
        <v>4</v>
      </c>
      <c r="F1342">
        <v>19</v>
      </c>
      <c r="G1342">
        <v>145</v>
      </c>
      <c r="H1342" t="s">
        <v>86</v>
      </c>
      <c r="I1342" t="b">
        <v>0</v>
      </c>
      <c r="J1342">
        <f t="shared" si="40"/>
        <v>-10</v>
      </c>
      <c r="K1342" t="str">
        <f t="shared" si="41"/>
        <v>Negative</v>
      </c>
    </row>
    <row r="1343" spans="1:11" x14ac:dyDescent="0.2">
      <c r="A1343" t="s">
        <v>3269</v>
      </c>
      <c r="B1343" t="s">
        <v>3270</v>
      </c>
      <c r="C1343" t="s">
        <v>3271</v>
      </c>
      <c r="D1343" t="s">
        <v>3</v>
      </c>
      <c r="E1343" t="s">
        <v>4</v>
      </c>
      <c r="F1343">
        <v>23</v>
      </c>
      <c r="G1343">
        <v>262</v>
      </c>
      <c r="H1343" t="s">
        <v>13</v>
      </c>
      <c r="I1343" t="b">
        <v>0</v>
      </c>
      <c r="J1343">
        <f t="shared" si="40"/>
        <v>0</v>
      </c>
      <c r="K1343" t="str">
        <f t="shared" si="41"/>
        <v>Neutral</v>
      </c>
    </row>
    <row r="1344" spans="1:11" x14ac:dyDescent="0.2">
      <c r="A1344" t="s">
        <v>5974</v>
      </c>
      <c r="B1344" t="s">
        <v>5975</v>
      </c>
      <c r="C1344" t="s">
        <v>5976</v>
      </c>
      <c r="D1344" t="s">
        <v>64</v>
      </c>
      <c r="E1344" t="s">
        <v>4</v>
      </c>
      <c r="F1344">
        <v>309</v>
      </c>
      <c r="G1344">
        <v>1058</v>
      </c>
      <c r="H1344" t="s">
        <v>13</v>
      </c>
      <c r="I1344" t="b">
        <v>0</v>
      </c>
      <c r="J1344">
        <f t="shared" si="40"/>
        <v>0</v>
      </c>
      <c r="K1344" t="str">
        <f t="shared" si="41"/>
        <v>Neutral</v>
      </c>
    </row>
    <row r="1345" spans="1:11" x14ac:dyDescent="0.2">
      <c r="A1345" t="s">
        <v>4424</v>
      </c>
      <c r="B1345" t="s">
        <v>4425</v>
      </c>
      <c r="C1345" t="s">
        <v>414</v>
      </c>
      <c r="D1345" t="s">
        <v>4426</v>
      </c>
      <c r="E1345" t="s">
        <v>4</v>
      </c>
      <c r="F1345">
        <v>2325</v>
      </c>
      <c r="G1345">
        <v>517</v>
      </c>
      <c r="H1345" t="s">
        <v>13</v>
      </c>
      <c r="I1345" t="b">
        <v>0</v>
      </c>
      <c r="J1345">
        <f t="shared" si="40"/>
        <v>0</v>
      </c>
      <c r="K1345" t="str">
        <f t="shared" si="41"/>
        <v>Neutral</v>
      </c>
    </row>
    <row r="1346" spans="1:11" x14ac:dyDescent="0.2">
      <c r="A1346" t="s">
        <v>4600</v>
      </c>
      <c r="B1346" t="s">
        <v>4601</v>
      </c>
      <c r="C1346" t="s">
        <v>4602</v>
      </c>
      <c r="D1346" t="s">
        <v>1000</v>
      </c>
      <c r="E1346" t="s">
        <v>4</v>
      </c>
      <c r="F1346">
        <v>1124</v>
      </c>
      <c r="G1346">
        <v>676</v>
      </c>
      <c r="H1346" t="s">
        <v>13</v>
      </c>
      <c r="I1346" t="b">
        <v>0</v>
      </c>
      <c r="J1346">
        <f t="shared" si="40"/>
        <v>0</v>
      </c>
      <c r="K1346" t="str">
        <f t="shared" si="41"/>
        <v>Neutral</v>
      </c>
    </row>
    <row r="1347" spans="1:11" x14ac:dyDescent="0.2">
      <c r="A1347" t="s">
        <v>199</v>
      </c>
      <c r="B1347" t="s">
        <v>200</v>
      </c>
      <c r="C1347" t="s">
        <v>201</v>
      </c>
      <c r="D1347" t="s">
        <v>98</v>
      </c>
      <c r="E1347" t="s">
        <v>4</v>
      </c>
      <c r="F1347">
        <v>340</v>
      </c>
      <c r="G1347">
        <v>54</v>
      </c>
      <c r="H1347" t="s">
        <v>13</v>
      </c>
      <c r="I1347" t="b">
        <v>0</v>
      </c>
      <c r="J1347">
        <f t="shared" ref="J1347:J1410" si="42">sentimentCalc(B1347)</f>
        <v>0</v>
      </c>
      <c r="K1347" t="str">
        <f t="shared" ref="K1347:K1410" si="43">sentimentCategory(J1347)</f>
        <v>Neutral</v>
      </c>
    </row>
    <row r="1348" spans="1:11" x14ac:dyDescent="0.2">
      <c r="A1348" t="s">
        <v>141</v>
      </c>
      <c r="B1348" t="s">
        <v>142</v>
      </c>
      <c r="C1348" t="s">
        <v>143</v>
      </c>
      <c r="D1348" t="s">
        <v>144</v>
      </c>
      <c r="E1348" t="s">
        <v>4</v>
      </c>
      <c r="F1348">
        <v>11</v>
      </c>
      <c r="G1348">
        <v>322</v>
      </c>
      <c r="H1348" t="s">
        <v>13</v>
      </c>
      <c r="I1348" t="b">
        <v>0</v>
      </c>
      <c r="J1348">
        <f t="shared" si="42"/>
        <v>10</v>
      </c>
      <c r="K1348" t="str">
        <f t="shared" si="43"/>
        <v>Positive</v>
      </c>
    </row>
    <row r="1349" spans="1:11" x14ac:dyDescent="0.2">
      <c r="A1349" t="s">
        <v>3913</v>
      </c>
      <c r="B1349" t="s">
        <v>3914</v>
      </c>
      <c r="C1349" t="s">
        <v>1596</v>
      </c>
      <c r="D1349" t="s">
        <v>1597</v>
      </c>
      <c r="E1349" t="s">
        <v>4</v>
      </c>
      <c r="F1349">
        <v>4</v>
      </c>
      <c r="G1349">
        <v>0</v>
      </c>
      <c r="H1349" t="s">
        <v>13</v>
      </c>
      <c r="I1349" t="b">
        <v>0</v>
      </c>
      <c r="J1349">
        <f t="shared" si="42"/>
        <v>0</v>
      </c>
      <c r="K1349" t="str">
        <f t="shared" si="43"/>
        <v>Neutral</v>
      </c>
    </row>
    <row r="1350" spans="1:11" x14ac:dyDescent="0.2">
      <c r="A1350" t="s">
        <v>6972</v>
      </c>
      <c r="B1350" t="s">
        <v>6973</v>
      </c>
      <c r="C1350" t="s">
        <v>6974</v>
      </c>
      <c r="D1350" t="s">
        <v>6975</v>
      </c>
      <c r="E1350" t="s">
        <v>4</v>
      </c>
      <c r="F1350">
        <v>421</v>
      </c>
      <c r="G1350">
        <v>270</v>
      </c>
      <c r="H1350" t="s">
        <v>13</v>
      </c>
      <c r="I1350" t="b">
        <v>0</v>
      </c>
      <c r="J1350">
        <f t="shared" si="42"/>
        <v>0</v>
      </c>
      <c r="K1350" t="str">
        <f t="shared" si="43"/>
        <v>Neutral</v>
      </c>
    </row>
    <row r="1351" spans="1:11" x14ac:dyDescent="0.2">
      <c r="A1351" t="s">
        <v>5685</v>
      </c>
      <c r="B1351" t="s">
        <v>5686</v>
      </c>
      <c r="C1351" t="s">
        <v>5687</v>
      </c>
      <c r="D1351" t="s">
        <v>5688</v>
      </c>
      <c r="E1351" t="s">
        <v>4</v>
      </c>
      <c r="F1351">
        <v>921</v>
      </c>
      <c r="G1351">
        <v>355</v>
      </c>
      <c r="H1351" t="s">
        <v>13</v>
      </c>
      <c r="I1351" t="b">
        <v>0</v>
      </c>
      <c r="J1351">
        <f t="shared" si="42"/>
        <v>-10</v>
      </c>
      <c r="K1351" t="str">
        <f t="shared" si="43"/>
        <v>Negative</v>
      </c>
    </row>
    <row r="1352" spans="1:11" x14ac:dyDescent="0.2">
      <c r="A1352" t="s">
        <v>1306</v>
      </c>
      <c r="B1352" t="s">
        <v>1307</v>
      </c>
      <c r="C1352" t="s">
        <v>1308</v>
      </c>
      <c r="D1352" t="s">
        <v>1309</v>
      </c>
      <c r="E1352" t="s">
        <v>4</v>
      </c>
      <c r="F1352">
        <v>273</v>
      </c>
      <c r="G1352">
        <v>46</v>
      </c>
      <c r="H1352" t="s">
        <v>13</v>
      </c>
      <c r="I1352" t="b">
        <v>0</v>
      </c>
      <c r="J1352">
        <f t="shared" si="42"/>
        <v>0</v>
      </c>
      <c r="K1352" t="str">
        <f t="shared" si="43"/>
        <v>Neutral</v>
      </c>
    </row>
    <row r="1353" spans="1:11" x14ac:dyDescent="0.2">
      <c r="A1353" t="s">
        <v>2003</v>
      </c>
      <c r="B1353" t="s">
        <v>2004</v>
      </c>
      <c r="C1353" t="s">
        <v>2005</v>
      </c>
      <c r="D1353" t="s">
        <v>2006</v>
      </c>
      <c r="E1353" t="s">
        <v>4</v>
      </c>
      <c r="F1353">
        <v>1321</v>
      </c>
      <c r="G1353">
        <v>1091</v>
      </c>
      <c r="H1353" t="s">
        <v>13</v>
      </c>
      <c r="I1353" t="b">
        <v>0</v>
      </c>
      <c r="J1353">
        <f t="shared" si="42"/>
        <v>10</v>
      </c>
      <c r="K1353" t="str">
        <f t="shared" si="43"/>
        <v>Positive</v>
      </c>
    </row>
    <row r="1354" spans="1:11" x14ac:dyDescent="0.2">
      <c r="A1354" t="s">
        <v>6591</v>
      </c>
      <c r="B1354" t="s">
        <v>6592</v>
      </c>
      <c r="C1354" t="s">
        <v>459</v>
      </c>
      <c r="D1354" t="s">
        <v>216</v>
      </c>
      <c r="E1354" t="s">
        <v>4</v>
      </c>
      <c r="F1354">
        <v>178</v>
      </c>
      <c r="G1354">
        <v>135</v>
      </c>
      <c r="H1354" t="s">
        <v>13</v>
      </c>
      <c r="I1354" t="b">
        <v>0</v>
      </c>
      <c r="J1354">
        <f t="shared" si="42"/>
        <v>0</v>
      </c>
      <c r="K1354" t="str">
        <f t="shared" si="43"/>
        <v>Neutral</v>
      </c>
    </row>
    <row r="1355" spans="1:11" x14ac:dyDescent="0.2">
      <c r="A1355" t="s">
        <v>1168</v>
      </c>
      <c r="B1355" t="s">
        <v>1169</v>
      </c>
      <c r="C1355" t="s">
        <v>595</v>
      </c>
      <c r="D1355" t="s">
        <v>3</v>
      </c>
      <c r="E1355" t="s">
        <v>4</v>
      </c>
      <c r="F1355">
        <v>154</v>
      </c>
      <c r="G1355">
        <v>258</v>
      </c>
      <c r="H1355" t="s">
        <v>13</v>
      </c>
      <c r="I1355" t="b">
        <v>0</v>
      </c>
      <c r="J1355">
        <f t="shared" si="42"/>
        <v>0</v>
      </c>
      <c r="K1355" t="str">
        <f t="shared" si="43"/>
        <v>Neutral</v>
      </c>
    </row>
    <row r="1356" spans="1:11" x14ac:dyDescent="0.2">
      <c r="A1356" t="s">
        <v>5581</v>
      </c>
      <c r="B1356" t="s">
        <v>5582</v>
      </c>
      <c r="C1356" t="s">
        <v>2230</v>
      </c>
      <c r="D1356" t="s">
        <v>5583</v>
      </c>
      <c r="E1356" t="s">
        <v>4</v>
      </c>
      <c r="F1356">
        <v>187</v>
      </c>
      <c r="G1356">
        <v>624</v>
      </c>
      <c r="H1356" t="s">
        <v>13</v>
      </c>
      <c r="I1356" t="b">
        <v>0</v>
      </c>
      <c r="J1356">
        <f t="shared" si="42"/>
        <v>0</v>
      </c>
      <c r="K1356" t="str">
        <f t="shared" si="43"/>
        <v>Neutral</v>
      </c>
    </row>
    <row r="1357" spans="1:11" x14ac:dyDescent="0.2">
      <c r="A1357" t="s">
        <v>4539</v>
      </c>
      <c r="B1357" t="s">
        <v>4540</v>
      </c>
      <c r="C1357" t="s">
        <v>4541</v>
      </c>
      <c r="D1357" t="s">
        <v>3</v>
      </c>
      <c r="E1357" t="s">
        <v>4</v>
      </c>
      <c r="F1357">
        <v>1</v>
      </c>
      <c r="G1357">
        <v>3</v>
      </c>
      <c r="H1357" t="s">
        <v>13</v>
      </c>
      <c r="I1357" t="b">
        <v>0</v>
      </c>
      <c r="J1357">
        <f t="shared" si="42"/>
        <v>0</v>
      </c>
      <c r="K1357" t="str">
        <f t="shared" si="43"/>
        <v>Neutral</v>
      </c>
    </row>
    <row r="1358" spans="1:11" x14ac:dyDescent="0.2">
      <c r="A1358" t="s">
        <v>5313</v>
      </c>
      <c r="B1358" t="s">
        <v>5314</v>
      </c>
      <c r="C1358" t="s">
        <v>5315</v>
      </c>
      <c r="D1358" t="s">
        <v>5316</v>
      </c>
      <c r="E1358" t="s">
        <v>4</v>
      </c>
      <c r="F1358">
        <v>159</v>
      </c>
      <c r="G1358">
        <v>152</v>
      </c>
      <c r="H1358" t="s">
        <v>5317</v>
      </c>
      <c r="I1358" t="b">
        <v>0</v>
      </c>
      <c r="J1358">
        <f t="shared" si="42"/>
        <v>0</v>
      </c>
      <c r="K1358" t="str">
        <f t="shared" si="43"/>
        <v>Neutral</v>
      </c>
    </row>
    <row r="1359" spans="1:11" x14ac:dyDescent="0.2">
      <c r="A1359" t="s">
        <v>4254</v>
      </c>
      <c r="B1359" t="s">
        <v>4255</v>
      </c>
      <c r="C1359" t="s">
        <v>1258</v>
      </c>
      <c r="D1359" t="s">
        <v>64</v>
      </c>
      <c r="E1359" t="s">
        <v>4</v>
      </c>
      <c r="F1359">
        <v>36</v>
      </c>
      <c r="G1359">
        <v>0</v>
      </c>
      <c r="H1359" t="s">
        <v>13</v>
      </c>
      <c r="I1359" t="b">
        <v>0</v>
      </c>
      <c r="J1359">
        <f t="shared" si="42"/>
        <v>0</v>
      </c>
      <c r="K1359" t="str">
        <f t="shared" si="43"/>
        <v>Neutral</v>
      </c>
    </row>
    <row r="1360" spans="1:11" x14ac:dyDescent="0.2">
      <c r="A1360" t="s">
        <v>1824</v>
      </c>
      <c r="B1360" t="s">
        <v>1825</v>
      </c>
      <c r="C1360" t="s">
        <v>1596</v>
      </c>
      <c r="D1360" t="s">
        <v>1597</v>
      </c>
      <c r="E1360" t="s">
        <v>4</v>
      </c>
      <c r="F1360">
        <v>4</v>
      </c>
      <c r="G1360">
        <v>0</v>
      </c>
      <c r="H1360" t="s">
        <v>13</v>
      </c>
      <c r="I1360" t="b">
        <v>0</v>
      </c>
      <c r="J1360">
        <f t="shared" si="42"/>
        <v>0</v>
      </c>
      <c r="K1360" t="str">
        <f t="shared" si="43"/>
        <v>Neutral</v>
      </c>
    </row>
    <row r="1361" spans="1:11" x14ac:dyDescent="0.2">
      <c r="A1361" t="s">
        <v>3643</v>
      </c>
      <c r="B1361" t="s">
        <v>3644</v>
      </c>
      <c r="C1361" t="s">
        <v>3645</v>
      </c>
      <c r="D1361" t="s">
        <v>3646</v>
      </c>
      <c r="E1361" t="s">
        <v>4</v>
      </c>
      <c r="F1361">
        <v>2688</v>
      </c>
      <c r="G1361">
        <v>560</v>
      </c>
      <c r="H1361" t="s">
        <v>13</v>
      </c>
      <c r="I1361" t="b">
        <v>0</v>
      </c>
      <c r="J1361">
        <f t="shared" si="42"/>
        <v>10</v>
      </c>
      <c r="K1361" t="str">
        <f t="shared" si="43"/>
        <v>Positive</v>
      </c>
    </row>
    <row r="1362" spans="1:11" x14ac:dyDescent="0.2">
      <c r="A1362" t="s">
        <v>4265</v>
      </c>
      <c r="B1362" t="s">
        <v>4266</v>
      </c>
      <c r="C1362" t="s">
        <v>1510</v>
      </c>
      <c r="D1362" t="s">
        <v>2927</v>
      </c>
      <c r="E1362" t="s">
        <v>4</v>
      </c>
      <c r="F1362">
        <v>376</v>
      </c>
      <c r="G1362">
        <v>1085</v>
      </c>
      <c r="H1362" t="s">
        <v>50</v>
      </c>
      <c r="I1362" t="b">
        <v>0</v>
      </c>
      <c r="J1362">
        <f t="shared" si="42"/>
        <v>0</v>
      </c>
      <c r="K1362" t="str">
        <f t="shared" si="43"/>
        <v>Neutral</v>
      </c>
    </row>
    <row r="1363" spans="1:11" x14ac:dyDescent="0.2">
      <c r="A1363" t="s">
        <v>2551</v>
      </c>
      <c r="B1363" t="s">
        <v>2552</v>
      </c>
      <c r="C1363" t="s">
        <v>171</v>
      </c>
      <c r="D1363" t="s">
        <v>2553</v>
      </c>
      <c r="E1363" t="s">
        <v>4</v>
      </c>
      <c r="F1363">
        <v>230</v>
      </c>
      <c r="G1363">
        <v>122</v>
      </c>
      <c r="H1363" t="s">
        <v>13</v>
      </c>
      <c r="I1363" t="b">
        <v>0</v>
      </c>
      <c r="J1363">
        <f t="shared" si="42"/>
        <v>0</v>
      </c>
      <c r="K1363" t="str">
        <f t="shared" si="43"/>
        <v>Neutral</v>
      </c>
    </row>
    <row r="1364" spans="1:11" x14ac:dyDescent="0.2">
      <c r="A1364" t="s">
        <v>7030</v>
      </c>
      <c r="B1364" t="s">
        <v>7031</v>
      </c>
      <c r="C1364" t="s">
        <v>7032</v>
      </c>
      <c r="D1364" t="s">
        <v>7033</v>
      </c>
      <c r="E1364" t="s">
        <v>4</v>
      </c>
      <c r="F1364">
        <v>512</v>
      </c>
      <c r="G1364">
        <v>533</v>
      </c>
      <c r="H1364" t="s">
        <v>13</v>
      </c>
      <c r="I1364" t="b">
        <v>0</v>
      </c>
      <c r="J1364">
        <f t="shared" si="42"/>
        <v>0</v>
      </c>
      <c r="K1364" t="str">
        <f t="shared" si="43"/>
        <v>Neutral</v>
      </c>
    </row>
    <row r="1365" spans="1:11" x14ac:dyDescent="0.2">
      <c r="A1365" t="s">
        <v>2277</v>
      </c>
      <c r="B1365" t="s">
        <v>2278</v>
      </c>
      <c r="C1365" t="s">
        <v>2279</v>
      </c>
      <c r="D1365" t="s">
        <v>2280</v>
      </c>
      <c r="E1365" t="s">
        <v>4</v>
      </c>
      <c r="F1365">
        <v>265</v>
      </c>
      <c r="G1365">
        <v>262</v>
      </c>
      <c r="H1365" t="s">
        <v>13</v>
      </c>
      <c r="I1365" t="b">
        <v>0</v>
      </c>
      <c r="J1365">
        <f t="shared" si="42"/>
        <v>0</v>
      </c>
      <c r="K1365" t="str">
        <f t="shared" si="43"/>
        <v>Neutral</v>
      </c>
    </row>
    <row r="1366" spans="1:11" x14ac:dyDescent="0.2">
      <c r="A1366" t="s">
        <v>7170</v>
      </c>
      <c r="B1366" t="s">
        <v>7171</v>
      </c>
      <c r="C1366" t="s">
        <v>773</v>
      </c>
      <c r="D1366" t="s">
        <v>3</v>
      </c>
      <c r="E1366" t="s">
        <v>4</v>
      </c>
      <c r="F1366">
        <v>756</v>
      </c>
      <c r="G1366">
        <v>47</v>
      </c>
      <c r="H1366" t="s">
        <v>13</v>
      </c>
      <c r="I1366" t="b">
        <v>0</v>
      </c>
      <c r="J1366">
        <f t="shared" si="42"/>
        <v>0</v>
      </c>
      <c r="K1366" t="str">
        <f t="shared" si="43"/>
        <v>Neutral</v>
      </c>
    </row>
    <row r="1367" spans="1:11" x14ac:dyDescent="0.2">
      <c r="A1367" t="s">
        <v>1101</v>
      </c>
      <c r="B1367" t="s">
        <v>1102</v>
      </c>
      <c r="C1367" t="s">
        <v>1103</v>
      </c>
      <c r="D1367" t="s">
        <v>3</v>
      </c>
      <c r="E1367" t="s">
        <v>4</v>
      </c>
      <c r="F1367">
        <v>0</v>
      </c>
      <c r="G1367">
        <v>20</v>
      </c>
      <c r="H1367" t="s">
        <v>13</v>
      </c>
      <c r="I1367" t="b">
        <v>0</v>
      </c>
      <c r="J1367">
        <f t="shared" si="42"/>
        <v>0</v>
      </c>
      <c r="K1367" t="str">
        <f t="shared" si="43"/>
        <v>Neutral</v>
      </c>
    </row>
    <row r="1368" spans="1:11" x14ac:dyDescent="0.2">
      <c r="A1368" t="s">
        <v>4039</v>
      </c>
      <c r="B1368" t="s">
        <v>4040</v>
      </c>
      <c r="C1368" t="s">
        <v>279</v>
      </c>
      <c r="D1368" t="s">
        <v>3</v>
      </c>
      <c r="E1368" t="s">
        <v>38</v>
      </c>
      <c r="F1368">
        <v>3609</v>
      </c>
      <c r="G1368">
        <v>6</v>
      </c>
      <c r="H1368" t="s">
        <v>13</v>
      </c>
      <c r="I1368" t="b">
        <v>0</v>
      </c>
      <c r="J1368">
        <f t="shared" si="42"/>
        <v>0</v>
      </c>
      <c r="K1368" t="str">
        <f t="shared" si="43"/>
        <v>Neutral</v>
      </c>
    </row>
    <row r="1369" spans="1:11" x14ac:dyDescent="0.2">
      <c r="A1369" t="s">
        <v>609</v>
      </c>
      <c r="B1369" t="s">
        <v>610</v>
      </c>
      <c r="C1369" t="s">
        <v>611</v>
      </c>
      <c r="D1369" t="s">
        <v>612</v>
      </c>
      <c r="E1369" t="s">
        <v>4</v>
      </c>
      <c r="F1369">
        <v>380</v>
      </c>
      <c r="G1369">
        <v>402</v>
      </c>
      <c r="H1369" t="s">
        <v>13</v>
      </c>
      <c r="I1369" t="b">
        <v>0</v>
      </c>
      <c r="J1369">
        <f t="shared" si="42"/>
        <v>0</v>
      </c>
      <c r="K1369" t="str">
        <f t="shared" si="43"/>
        <v>Neutral</v>
      </c>
    </row>
    <row r="1370" spans="1:11" x14ac:dyDescent="0.2">
      <c r="A1370" t="s">
        <v>2024</v>
      </c>
      <c r="B1370" t="s">
        <v>2025</v>
      </c>
      <c r="C1370" t="s">
        <v>208</v>
      </c>
      <c r="D1370" t="s">
        <v>172</v>
      </c>
      <c r="E1370" t="s">
        <v>4</v>
      </c>
      <c r="F1370">
        <v>10</v>
      </c>
      <c r="G1370">
        <v>2</v>
      </c>
      <c r="H1370" t="s">
        <v>13</v>
      </c>
      <c r="I1370" t="b">
        <v>0</v>
      </c>
      <c r="J1370">
        <f t="shared" si="42"/>
        <v>10</v>
      </c>
      <c r="K1370" t="str">
        <f t="shared" si="43"/>
        <v>Positive</v>
      </c>
    </row>
    <row r="1371" spans="1:11" x14ac:dyDescent="0.2">
      <c r="A1371" t="s">
        <v>963</v>
      </c>
      <c r="B1371" t="s">
        <v>964</v>
      </c>
      <c r="C1371" t="s">
        <v>653</v>
      </c>
      <c r="D1371" t="s">
        <v>965</v>
      </c>
      <c r="E1371" t="s">
        <v>4</v>
      </c>
      <c r="F1371">
        <v>97</v>
      </c>
      <c r="G1371">
        <v>120</v>
      </c>
      <c r="H1371" t="s">
        <v>13</v>
      </c>
      <c r="I1371" t="b">
        <v>0</v>
      </c>
      <c r="J1371">
        <f t="shared" si="42"/>
        <v>40</v>
      </c>
      <c r="K1371" t="str">
        <f t="shared" si="43"/>
        <v>Positive</v>
      </c>
    </row>
    <row r="1372" spans="1:11" x14ac:dyDescent="0.2">
      <c r="A1372" t="s">
        <v>5596</v>
      </c>
      <c r="B1372" t="s">
        <v>5597</v>
      </c>
      <c r="C1372" t="s">
        <v>70</v>
      </c>
      <c r="D1372" t="s">
        <v>3</v>
      </c>
      <c r="E1372" t="s">
        <v>4</v>
      </c>
      <c r="F1372">
        <v>127</v>
      </c>
      <c r="G1372">
        <v>271</v>
      </c>
      <c r="H1372" t="s">
        <v>13</v>
      </c>
      <c r="I1372" t="b">
        <v>0</v>
      </c>
      <c r="J1372">
        <f t="shared" si="42"/>
        <v>0</v>
      </c>
      <c r="K1372" t="str">
        <f t="shared" si="43"/>
        <v>Neutral</v>
      </c>
    </row>
    <row r="1373" spans="1:11" x14ac:dyDescent="0.2">
      <c r="A1373" t="s">
        <v>5521</v>
      </c>
      <c r="B1373" t="s">
        <v>5522</v>
      </c>
      <c r="C1373" t="s">
        <v>5105</v>
      </c>
      <c r="D1373" t="s">
        <v>5523</v>
      </c>
      <c r="E1373" t="s">
        <v>4</v>
      </c>
      <c r="F1373">
        <v>1214</v>
      </c>
      <c r="G1373">
        <v>2257</v>
      </c>
      <c r="H1373" t="s">
        <v>13</v>
      </c>
      <c r="I1373" t="b">
        <v>0</v>
      </c>
      <c r="J1373">
        <f t="shared" si="42"/>
        <v>0</v>
      </c>
      <c r="K1373" t="str">
        <f t="shared" si="43"/>
        <v>Neutral</v>
      </c>
    </row>
    <row r="1374" spans="1:11" x14ac:dyDescent="0.2">
      <c r="A1374" t="s">
        <v>6128</v>
      </c>
      <c r="B1374" t="s">
        <v>6129</v>
      </c>
      <c r="C1374" t="s">
        <v>1469</v>
      </c>
      <c r="D1374" t="s">
        <v>6130</v>
      </c>
      <c r="E1374" t="s">
        <v>4</v>
      </c>
      <c r="F1374">
        <v>55</v>
      </c>
      <c r="G1374">
        <v>81</v>
      </c>
      <c r="H1374" t="s">
        <v>13</v>
      </c>
      <c r="I1374" t="b">
        <v>0</v>
      </c>
      <c r="J1374">
        <f t="shared" si="42"/>
        <v>0</v>
      </c>
      <c r="K1374" t="str">
        <f t="shared" si="43"/>
        <v>Neutral</v>
      </c>
    </row>
    <row r="1375" spans="1:11" x14ac:dyDescent="0.2">
      <c r="A1375" t="s">
        <v>2799</v>
      </c>
      <c r="B1375" t="s">
        <v>2800</v>
      </c>
      <c r="C1375" t="s">
        <v>2801</v>
      </c>
      <c r="D1375" t="s">
        <v>2802</v>
      </c>
      <c r="E1375" t="s">
        <v>4</v>
      </c>
      <c r="F1375">
        <v>2376</v>
      </c>
      <c r="G1375">
        <v>449</v>
      </c>
      <c r="H1375" t="s">
        <v>13</v>
      </c>
      <c r="I1375" t="b">
        <v>0</v>
      </c>
      <c r="J1375">
        <f t="shared" si="42"/>
        <v>0</v>
      </c>
      <c r="K1375" t="str">
        <f t="shared" si="43"/>
        <v>Neutral</v>
      </c>
    </row>
    <row r="1376" spans="1:11" x14ac:dyDescent="0.2">
      <c r="A1376" t="s">
        <v>5007</v>
      </c>
      <c r="B1376" t="s">
        <v>5008</v>
      </c>
      <c r="C1376" t="s">
        <v>818</v>
      </c>
      <c r="D1376" t="s">
        <v>5009</v>
      </c>
      <c r="E1376" t="s">
        <v>4</v>
      </c>
      <c r="F1376">
        <v>0</v>
      </c>
      <c r="G1376">
        <v>1</v>
      </c>
      <c r="H1376" t="s">
        <v>13</v>
      </c>
      <c r="I1376" t="b">
        <v>0</v>
      </c>
      <c r="J1376">
        <f t="shared" si="42"/>
        <v>0</v>
      </c>
      <c r="K1376" t="str">
        <f t="shared" si="43"/>
        <v>Neutral</v>
      </c>
    </row>
    <row r="1377" spans="1:11" x14ac:dyDescent="0.2">
      <c r="A1377" t="s">
        <v>2359</v>
      </c>
      <c r="B1377" t="s">
        <v>2360</v>
      </c>
      <c r="C1377" t="s">
        <v>2361</v>
      </c>
      <c r="D1377" t="s">
        <v>2362</v>
      </c>
      <c r="E1377" t="s">
        <v>4</v>
      </c>
      <c r="F1377">
        <v>126</v>
      </c>
      <c r="G1377">
        <v>657</v>
      </c>
      <c r="H1377" t="s">
        <v>13</v>
      </c>
      <c r="I1377" t="b">
        <v>0</v>
      </c>
      <c r="J1377">
        <f t="shared" si="42"/>
        <v>0</v>
      </c>
      <c r="K1377" t="str">
        <f t="shared" si="43"/>
        <v>Neutral</v>
      </c>
    </row>
    <row r="1378" spans="1:11" x14ac:dyDescent="0.2">
      <c r="A1378" t="s">
        <v>3545</v>
      </c>
      <c r="B1378" t="s">
        <v>3546</v>
      </c>
      <c r="C1378" t="s">
        <v>3547</v>
      </c>
      <c r="D1378" t="s">
        <v>3</v>
      </c>
      <c r="E1378" t="s">
        <v>4</v>
      </c>
      <c r="F1378">
        <v>175</v>
      </c>
      <c r="G1378">
        <v>384</v>
      </c>
      <c r="H1378" t="s">
        <v>13</v>
      </c>
      <c r="I1378" t="b">
        <v>0</v>
      </c>
      <c r="J1378">
        <f t="shared" si="42"/>
        <v>0</v>
      </c>
      <c r="K1378" t="str">
        <f t="shared" si="43"/>
        <v>Neutral</v>
      </c>
    </row>
    <row r="1379" spans="1:11" x14ac:dyDescent="0.2">
      <c r="A1379" t="s">
        <v>5691</v>
      </c>
      <c r="B1379" t="s">
        <v>5692</v>
      </c>
      <c r="C1379" t="s">
        <v>5503</v>
      </c>
      <c r="D1379" t="s">
        <v>98</v>
      </c>
      <c r="E1379" t="s">
        <v>4</v>
      </c>
      <c r="F1379">
        <v>145</v>
      </c>
      <c r="G1379">
        <v>124</v>
      </c>
      <c r="H1379" t="s">
        <v>13</v>
      </c>
      <c r="I1379" t="b">
        <v>0</v>
      </c>
      <c r="J1379">
        <f t="shared" si="42"/>
        <v>-10</v>
      </c>
      <c r="K1379" t="str">
        <f t="shared" si="43"/>
        <v>Negative</v>
      </c>
    </row>
    <row r="1380" spans="1:11" x14ac:dyDescent="0.2">
      <c r="A1380" t="s">
        <v>3504</v>
      </c>
      <c r="B1380" t="s">
        <v>3506</v>
      </c>
      <c r="C1380" t="s">
        <v>177</v>
      </c>
      <c r="D1380" t="s">
        <v>734</v>
      </c>
      <c r="E1380" t="s">
        <v>4</v>
      </c>
      <c r="F1380">
        <v>210</v>
      </c>
      <c r="G1380">
        <v>273</v>
      </c>
      <c r="H1380" t="s">
        <v>13</v>
      </c>
      <c r="I1380" t="b">
        <v>0</v>
      </c>
      <c r="J1380">
        <f t="shared" si="42"/>
        <v>0</v>
      </c>
      <c r="K1380" t="str">
        <f t="shared" si="43"/>
        <v>Neutral</v>
      </c>
    </row>
    <row r="1381" spans="1:11" x14ac:dyDescent="0.2">
      <c r="A1381" t="s">
        <v>3341</v>
      </c>
      <c r="B1381" t="s">
        <v>3342</v>
      </c>
      <c r="C1381" t="s">
        <v>204</v>
      </c>
      <c r="D1381" t="s">
        <v>3</v>
      </c>
      <c r="E1381" t="s">
        <v>4</v>
      </c>
      <c r="F1381">
        <v>118</v>
      </c>
      <c r="G1381">
        <v>384</v>
      </c>
      <c r="H1381" t="s">
        <v>13</v>
      </c>
      <c r="I1381" t="b">
        <v>0</v>
      </c>
      <c r="J1381">
        <f t="shared" si="42"/>
        <v>0</v>
      </c>
      <c r="K1381" t="str">
        <f t="shared" si="43"/>
        <v>Neutral</v>
      </c>
    </row>
    <row r="1382" spans="1:11" x14ac:dyDescent="0.2">
      <c r="A1382" t="s">
        <v>6602</v>
      </c>
      <c r="B1382" t="s">
        <v>6603</v>
      </c>
      <c r="C1382" t="s">
        <v>4399</v>
      </c>
      <c r="D1382" t="s">
        <v>6604</v>
      </c>
      <c r="E1382" t="s">
        <v>4</v>
      </c>
      <c r="F1382">
        <v>538</v>
      </c>
      <c r="G1382">
        <v>602</v>
      </c>
      <c r="H1382" t="s">
        <v>13</v>
      </c>
      <c r="I1382" t="b">
        <v>0</v>
      </c>
      <c r="J1382">
        <f t="shared" si="42"/>
        <v>-10</v>
      </c>
      <c r="K1382" t="str">
        <f t="shared" si="43"/>
        <v>Negative</v>
      </c>
    </row>
    <row r="1383" spans="1:11" x14ac:dyDescent="0.2">
      <c r="A1383" t="s">
        <v>6380</v>
      </c>
      <c r="B1383" t="s">
        <v>6381</v>
      </c>
      <c r="C1383" t="s">
        <v>999</v>
      </c>
      <c r="D1383" t="s">
        <v>6382</v>
      </c>
      <c r="E1383" t="s">
        <v>4</v>
      </c>
      <c r="F1383">
        <v>65</v>
      </c>
      <c r="G1383">
        <v>206</v>
      </c>
      <c r="H1383" t="s">
        <v>13</v>
      </c>
      <c r="I1383" t="b">
        <v>0</v>
      </c>
      <c r="J1383">
        <f t="shared" si="42"/>
        <v>-20</v>
      </c>
      <c r="K1383" t="str">
        <f t="shared" si="43"/>
        <v>Negative</v>
      </c>
    </row>
    <row r="1384" spans="1:11" x14ac:dyDescent="0.2">
      <c r="A1384" t="s">
        <v>3053</v>
      </c>
      <c r="B1384" t="s">
        <v>3054</v>
      </c>
      <c r="C1384" t="s">
        <v>459</v>
      </c>
      <c r="D1384" t="s">
        <v>3</v>
      </c>
      <c r="E1384" t="s">
        <v>4</v>
      </c>
      <c r="F1384">
        <v>670</v>
      </c>
      <c r="G1384">
        <v>568</v>
      </c>
      <c r="H1384" t="s">
        <v>13</v>
      </c>
      <c r="I1384" t="b">
        <v>0</v>
      </c>
      <c r="J1384">
        <f t="shared" si="42"/>
        <v>0</v>
      </c>
      <c r="K1384" t="str">
        <f t="shared" si="43"/>
        <v>Neutral</v>
      </c>
    </row>
    <row r="1385" spans="1:11" x14ac:dyDescent="0.2">
      <c r="A1385" t="s">
        <v>5501</v>
      </c>
      <c r="B1385" t="s">
        <v>5502</v>
      </c>
      <c r="C1385" t="s">
        <v>5503</v>
      </c>
      <c r="D1385" t="s">
        <v>98</v>
      </c>
      <c r="E1385" t="s">
        <v>4</v>
      </c>
      <c r="F1385">
        <v>145</v>
      </c>
      <c r="G1385">
        <v>124</v>
      </c>
      <c r="H1385" t="s">
        <v>13</v>
      </c>
      <c r="I1385" t="b">
        <v>0</v>
      </c>
      <c r="J1385">
        <f t="shared" si="42"/>
        <v>0</v>
      </c>
      <c r="K1385" t="str">
        <f t="shared" si="43"/>
        <v>Neutral</v>
      </c>
    </row>
    <row r="1386" spans="1:11" x14ac:dyDescent="0.2">
      <c r="A1386" t="s">
        <v>2231</v>
      </c>
      <c r="B1386" t="s">
        <v>2232</v>
      </c>
      <c r="C1386" t="s">
        <v>2233</v>
      </c>
      <c r="D1386">
        <v>904</v>
      </c>
      <c r="E1386" t="s">
        <v>4</v>
      </c>
      <c r="F1386">
        <v>635</v>
      </c>
      <c r="G1386">
        <v>70</v>
      </c>
      <c r="H1386" t="s">
        <v>13</v>
      </c>
      <c r="I1386" t="b">
        <v>0</v>
      </c>
      <c r="J1386">
        <f t="shared" si="42"/>
        <v>0</v>
      </c>
      <c r="K1386" t="str">
        <f t="shared" si="43"/>
        <v>Neutral</v>
      </c>
    </row>
    <row r="1387" spans="1:11" x14ac:dyDescent="0.2">
      <c r="A1387" t="s">
        <v>1341</v>
      </c>
      <c r="B1387" t="s">
        <v>1342</v>
      </c>
      <c r="C1387" t="s">
        <v>494</v>
      </c>
      <c r="D1387" t="s">
        <v>1343</v>
      </c>
      <c r="E1387" t="s">
        <v>4</v>
      </c>
      <c r="F1387">
        <v>1096</v>
      </c>
      <c r="G1387">
        <v>993</v>
      </c>
      <c r="H1387" t="s">
        <v>13</v>
      </c>
      <c r="I1387" t="b">
        <v>0</v>
      </c>
      <c r="J1387">
        <f t="shared" si="42"/>
        <v>10</v>
      </c>
      <c r="K1387" t="str">
        <f t="shared" si="43"/>
        <v>Positive</v>
      </c>
    </row>
    <row r="1388" spans="1:11" x14ac:dyDescent="0.2">
      <c r="A1388" t="s">
        <v>4270</v>
      </c>
      <c r="B1388" t="s">
        <v>4271</v>
      </c>
      <c r="C1388" t="s">
        <v>3596</v>
      </c>
      <c r="D1388" t="s">
        <v>3</v>
      </c>
      <c r="E1388" t="s">
        <v>4</v>
      </c>
      <c r="F1388">
        <v>365</v>
      </c>
      <c r="G1388">
        <v>454</v>
      </c>
      <c r="H1388" t="s">
        <v>13</v>
      </c>
      <c r="I1388" t="b">
        <v>0</v>
      </c>
      <c r="J1388">
        <f t="shared" si="42"/>
        <v>0</v>
      </c>
      <c r="K1388" t="str">
        <f t="shared" si="43"/>
        <v>Neutral</v>
      </c>
    </row>
    <row r="1389" spans="1:11" x14ac:dyDescent="0.2">
      <c r="A1389" t="s">
        <v>6207</v>
      </c>
      <c r="B1389" t="s">
        <v>6208</v>
      </c>
      <c r="C1389" t="s">
        <v>2977</v>
      </c>
      <c r="D1389" t="s">
        <v>6209</v>
      </c>
      <c r="E1389" t="s">
        <v>4</v>
      </c>
      <c r="F1389">
        <v>542</v>
      </c>
      <c r="G1389">
        <v>587</v>
      </c>
      <c r="H1389" t="s">
        <v>13</v>
      </c>
      <c r="I1389" t="b">
        <v>0</v>
      </c>
      <c r="J1389">
        <f t="shared" si="42"/>
        <v>0</v>
      </c>
      <c r="K1389" t="str">
        <f t="shared" si="43"/>
        <v>Neutral</v>
      </c>
    </row>
    <row r="1390" spans="1:11" x14ac:dyDescent="0.2">
      <c r="A1390" t="s">
        <v>5139</v>
      </c>
      <c r="B1390" t="s">
        <v>5140</v>
      </c>
      <c r="C1390" t="s">
        <v>5141</v>
      </c>
      <c r="D1390" t="s">
        <v>5142</v>
      </c>
      <c r="E1390" t="s">
        <v>4</v>
      </c>
      <c r="F1390">
        <v>83</v>
      </c>
      <c r="G1390">
        <v>575</v>
      </c>
      <c r="H1390" t="s">
        <v>13</v>
      </c>
      <c r="I1390" t="b">
        <v>0</v>
      </c>
      <c r="J1390">
        <f t="shared" si="42"/>
        <v>0</v>
      </c>
      <c r="K1390" t="str">
        <f t="shared" si="43"/>
        <v>Neutral</v>
      </c>
    </row>
    <row r="1391" spans="1:11" x14ac:dyDescent="0.2">
      <c r="A1391" t="s">
        <v>2525</v>
      </c>
      <c r="B1391" t="s">
        <v>2526</v>
      </c>
      <c r="C1391" t="s">
        <v>410</v>
      </c>
      <c r="D1391" t="s">
        <v>2527</v>
      </c>
      <c r="E1391" t="s">
        <v>4</v>
      </c>
      <c r="F1391">
        <v>966</v>
      </c>
      <c r="G1391">
        <v>534</v>
      </c>
      <c r="H1391" t="s">
        <v>13</v>
      </c>
      <c r="I1391" t="b">
        <v>0</v>
      </c>
      <c r="J1391">
        <f t="shared" si="42"/>
        <v>0</v>
      </c>
      <c r="K1391" t="str">
        <f t="shared" si="43"/>
        <v>Neutral</v>
      </c>
    </row>
    <row r="1392" spans="1:11" x14ac:dyDescent="0.2">
      <c r="A1392" t="s">
        <v>3886</v>
      </c>
      <c r="B1392" t="s">
        <v>3887</v>
      </c>
      <c r="C1392" t="s">
        <v>1258</v>
      </c>
      <c r="D1392" t="s">
        <v>3</v>
      </c>
      <c r="E1392" t="s">
        <v>4</v>
      </c>
      <c r="F1392">
        <v>24</v>
      </c>
      <c r="G1392">
        <v>572</v>
      </c>
      <c r="H1392" t="s">
        <v>76</v>
      </c>
      <c r="I1392" t="b">
        <v>0</v>
      </c>
      <c r="J1392">
        <f t="shared" si="42"/>
        <v>0</v>
      </c>
      <c r="K1392" t="str">
        <f t="shared" si="43"/>
        <v>Neutral</v>
      </c>
    </row>
    <row r="1393" spans="1:11" x14ac:dyDescent="0.2">
      <c r="A1393" t="s">
        <v>583</v>
      </c>
      <c r="B1393" t="s">
        <v>584</v>
      </c>
      <c r="C1393" t="s">
        <v>585</v>
      </c>
      <c r="D1393" t="s">
        <v>3</v>
      </c>
      <c r="E1393" t="s">
        <v>4</v>
      </c>
      <c r="F1393">
        <v>446</v>
      </c>
      <c r="G1393">
        <v>1474</v>
      </c>
      <c r="H1393" t="s">
        <v>13</v>
      </c>
      <c r="I1393" t="b">
        <v>0</v>
      </c>
      <c r="J1393">
        <f t="shared" si="42"/>
        <v>0</v>
      </c>
      <c r="K1393" t="str">
        <f t="shared" si="43"/>
        <v>Neutral</v>
      </c>
    </row>
    <row r="1394" spans="1:11" x14ac:dyDescent="0.2">
      <c r="A1394" t="s">
        <v>2978</v>
      </c>
      <c r="B1394" t="s">
        <v>2979</v>
      </c>
      <c r="C1394" t="s">
        <v>2980</v>
      </c>
      <c r="D1394" t="s">
        <v>2981</v>
      </c>
      <c r="E1394" t="s">
        <v>4</v>
      </c>
      <c r="F1394">
        <v>128</v>
      </c>
      <c r="G1394">
        <v>1067</v>
      </c>
      <c r="H1394" t="s">
        <v>86</v>
      </c>
      <c r="I1394" t="b">
        <v>0</v>
      </c>
      <c r="J1394">
        <f t="shared" si="42"/>
        <v>0</v>
      </c>
      <c r="K1394" t="str">
        <f t="shared" si="43"/>
        <v>Neutral</v>
      </c>
    </row>
    <row r="1395" spans="1:11" x14ac:dyDescent="0.2">
      <c r="A1395" t="s">
        <v>5495</v>
      </c>
      <c r="B1395" t="s">
        <v>5496</v>
      </c>
      <c r="C1395" t="s">
        <v>2558</v>
      </c>
      <c r="D1395" t="s">
        <v>5497</v>
      </c>
      <c r="E1395" t="s">
        <v>38</v>
      </c>
      <c r="F1395">
        <v>16662</v>
      </c>
      <c r="G1395">
        <v>1315</v>
      </c>
      <c r="H1395" t="s">
        <v>13</v>
      </c>
      <c r="I1395" t="b">
        <v>0</v>
      </c>
      <c r="J1395">
        <f t="shared" si="42"/>
        <v>0</v>
      </c>
      <c r="K1395" t="str">
        <f t="shared" si="43"/>
        <v>Neutral</v>
      </c>
    </row>
    <row r="1396" spans="1:11" x14ac:dyDescent="0.2">
      <c r="A1396" t="s">
        <v>4677</v>
      </c>
      <c r="B1396" t="s">
        <v>4678</v>
      </c>
      <c r="C1396" t="s">
        <v>1230</v>
      </c>
      <c r="D1396" t="s">
        <v>2139</v>
      </c>
      <c r="E1396" t="s">
        <v>4</v>
      </c>
      <c r="F1396">
        <v>417</v>
      </c>
      <c r="G1396">
        <v>410</v>
      </c>
      <c r="H1396" t="s">
        <v>13</v>
      </c>
      <c r="I1396" t="b">
        <v>0</v>
      </c>
      <c r="J1396">
        <f t="shared" si="42"/>
        <v>0</v>
      </c>
      <c r="K1396" t="str">
        <f t="shared" si="43"/>
        <v>Neutral</v>
      </c>
    </row>
    <row r="1397" spans="1:11" x14ac:dyDescent="0.2">
      <c r="A1397" t="s">
        <v>6624</v>
      </c>
      <c r="B1397" t="s">
        <v>6625</v>
      </c>
      <c r="C1397" t="s">
        <v>3063</v>
      </c>
      <c r="D1397" t="s">
        <v>3</v>
      </c>
      <c r="E1397" t="s">
        <v>4</v>
      </c>
      <c r="F1397">
        <v>5</v>
      </c>
      <c r="G1397">
        <v>7</v>
      </c>
      <c r="H1397" t="s">
        <v>13</v>
      </c>
      <c r="I1397" t="b">
        <v>0</v>
      </c>
      <c r="J1397">
        <f t="shared" si="42"/>
        <v>10</v>
      </c>
      <c r="K1397" t="str">
        <f t="shared" si="43"/>
        <v>Positive</v>
      </c>
    </row>
    <row r="1398" spans="1:11" x14ac:dyDescent="0.2">
      <c r="A1398" t="s">
        <v>1846</v>
      </c>
      <c r="B1398" t="s">
        <v>1847</v>
      </c>
      <c r="C1398" t="s">
        <v>319</v>
      </c>
      <c r="D1398" t="s">
        <v>1848</v>
      </c>
      <c r="E1398" t="s">
        <v>4</v>
      </c>
      <c r="F1398">
        <v>37</v>
      </c>
      <c r="G1398">
        <v>8</v>
      </c>
      <c r="H1398" t="s">
        <v>13</v>
      </c>
      <c r="I1398" t="b">
        <v>0</v>
      </c>
      <c r="J1398">
        <f t="shared" si="42"/>
        <v>10</v>
      </c>
      <c r="K1398" t="str">
        <f t="shared" si="43"/>
        <v>Positive</v>
      </c>
    </row>
    <row r="1399" spans="1:11" x14ac:dyDescent="0.2">
      <c r="A1399" t="s">
        <v>1748</v>
      </c>
      <c r="B1399" t="s">
        <v>1749</v>
      </c>
      <c r="C1399" t="s">
        <v>1750</v>
      </c>
      <c r="D1399" t="s">
        <v>1751</v>
      </c>
      <c r="E1399" t="s">
        <v>4</v>
      </c>
      <c r="F1399">
        <v>101</v>
      </c>
      <c r="G1399">
        <v>542</v>
      </c>
      <c r="H1399" t="s">
        <v>13</v>
      </c>
      <c r="I1399" t="b">
        <v>0</v>
      </c>
      <c r="J1399">
        <f t="shared" si="42"/>
        <v>0</v>
      </c>
      <c r="K1399" t="str">
        <f t="shared" si="43"/>
        <v>Neutral</v>
      </c>
    </row>
    <row r="1400" spans="1:11" x14ac:dyDescent="0.2">
      <c r="A1400" t="s">
        <v>3374</v>
      </c>
      <c r="B1400" t="s">
        <v>3376</v>
      </c>
      <c r="C1400" t="s">
        <v>3063</v>
      </c>
      <c r="D1400" t="s">
        <v>3</v>
      </c>
      <c r="E1400" t="s">
        <v>4</v>
      </c>
      <c r="F1400">
        <v>100</v>
      </c>
      <c r="G1400">
        <v>261</v>
      </c>
      <c r="H1400" t="s">
        <v>13</v>
      </c>
      <c r="I1400" t="b">
        <v>0</v>
      </c>
      <c r="J1400">
        <f t="shared" si="42"/>
        <v>0</v>
      </c>
      <c r="K1400" t="str">
        <f t="shared" si="43"/>
        <v>Neutral</v>
      </c>
    </row>
    <row r="1401" spans="1:11" x14ac:dyDescent="0.2">
      <c r="A1401" t="s">
        <v>5832</v>
      </c>
      <c r="B1401" t="s">
        <v>5833</v>
      </c>
      <c r="C1401" t="s">
        <v>3635</v>
      </c>
      <c r="D1401" t="s">
        <v>5834</v>
      </c>
      <c r="E1401" t="s">
        <v>4</v>
      </c>
      <c r="F1401">
        <v>91</v>
      </c>
      <c r="G1401">
        <v>170</v>
      </c>
      <c r="H1401" t="s">
        <v>13</v>
      </c>
      <c r="I1401" t="b">
        <v>0</v>
      </c>
      <c r="J1401">
        <f t="shared" si="42"/>
        <v>0</v>
      </c>
      <c r="K1401" t="str">
        <f t="shared" si="43"/>
        <v>Neutral</v>
      </c>
    </row>
    <row r="1402" spans="1:11" x14ac:dyDescent="0.2">
      <c r="A1402" t="s">
        <v>3956</v>
      </c>
      <c r="B1402" t="s">
        <v>3957</v>
      </c>
      <c r="C1402" t="s">
        <v>3958</v>
      </c>
      <c r="D1402" t="s">
        <v>3959</v>
      </c>
      <c r="E1402" t="s">
        <v>4</v>
      </c>
      <c r="F1402">
        <v>2482</v>
      </c>
      <c r="G1402">
        <v>1802</v>
      </c>
      <c r="H1402" t="s">
        <v>13</v>
      </c>
      <c r="I1402" t="b">
        <v>0</v>
      </c>
      <c r="J1402">
        <f t="shared" si="42"/>
        <v>-10</v>
      </c>
      <c r="K1402" t="str">
        <f t="shared" si="43"/>
        <v>Negative</v>
      </c>
    </row>
    <row r="1403" spans="1:11" x14ac:dyDescent="0.2">
      <c r="A1403" t="s">
        <v>6111</v>
      </c>
      <c r="B1403" t="s">
        <v>6112</v>
      </c>
      <c r="C1403" t="s">
        <v>6113</v>
      </c>
      <c r="D1403" t="s">
        <v>6114</v>
      </c>
      <c r="E1403" t="s">
        <v>4</v>
      </c>
      <c r="F1403">
        <v>563</v>
      </c>
      <c r="G1403">
        <v>35</v>
      </c>
      <c r="H1403" t="s">
        <v>13</v>
      </c>
      <c r="I1403" t="b">
        <v>0</v>
      </c>
      <c r="J1403">
        <f t="shared" si="42"/>
        <v>0</v>
      </c>
      <c r="K1403" t="str">
        <f t="shared" si="43"/>
        <v>Neutral</v>
      </c>
    </row>
    <row r="1404" spans="1:11" x14ac:dyDescent="0.2">
      <c r="A1404" t="s">
        <v>2839</v>
      </c>
      <c r="B1404" t="s">
        <v>2840</v>
      </c>
      <c r="C1404" t="s">
        <v>487</v>
      </c>
      <c r="D1404" t="s">
        <v>488</v>
      </c>
      <c r="E1404" t="s">
        <v>4</v>
      </c>
      <c r="F1404">
        <v>1899</v>
      </c>
      <c r="G1404">
        <v>540</v>
      </c>
      <c r="H1404" t="s">
        <v>13</v>
      </c>
      <c r="I1404" t="b">
        <v>0</v>
      </c>
      <c r="J1404">
        <f t="shared" si="42"/>
        <v>0</v>
      </c>
      <c r="K1404" t="str">
        <f t="shared" si="43"/>
        <v>Neutral</v>
      </c>
    </row>
    <row r="1405" spans="1:11" x14ac:dyDescent="0.2">
      <c r="A1405" t="s">
        <v>4965</v>
      </c>
      <c r="B1405" t="s">
        <v>4966</v>
      </c>
      <c r="C1405" t="s">
        <v>4967</v>
      </c>
      <c r="D1405" t="s">
        <v>3</v>
      </c>
      <c r="E1405" t="s">
        <v>4</v>
      </c>
      <c r="F1405">
        <v>32</v>
      </c>
      <c r="G1405">
        <v>45</v>
      </c>
      <c r="H1405" t="s">
        <v>86</v>
      </c>
      <c r="I1405" t="b">
        <v>0</v>
      </c>
      <c r="J1405">
        <f t="shared" si="42"/>
        <v>0</v>
      </c>
      <c r="K1405" t="str">
        <f t="shared" si="43"/>
        <v>Neutral</v>
      </c>
    </row>
    <row r="1406" spans="1:11" x14ac:dyDescent="0.2">
      <c r="A1406" t="s">
        <v>2350</v>
      </c>
      <c r="B1406" t="s">
        <v>2351</v>
      </c>
      <c r="C1406" t="s">
        <v>1534</v>
      </c>
      <c r="D1406" t="s">
        <v>3</v>
      </c>
      <c r="E1406" t="s">
        <v>4</v>
      </c>
      <c r="F1406">
        <v>7</v>
      </c>
      <c r="G1406">
        <v>155</v>
      </c>
      <c r="H1406" t="s">
        <v>13</v>
      </c>
      <c r="I1406" t="b">
        <v>0</v>
      </c>
      <c r="J1406">
        <f t="shared" si="42"/>
        <v>0</v>
      </c>
      <c r="K1406" t="str">
        <f t="shared" si="43"/>
        <v>Neutral</v>
      </c>
    </row>
    <row r="1407" spans="1:11" x14ac:dyDescent="0.2">
      <c r="A1407" t="s">
        <v>1252</v>
      </c>
      <c r="B1407" t="s">
        <v>1253</v>
      </c>
      <c r="C1407" t="s">
        <v>1254</v>
      </c>
      <c r="D1407" t="s">
        <v>1255</v>
      </c>
      <c r="E1407" t="s">
        <v>4</v>
      </c>
      <c r="F1407">
        <v>1353</v>
      </c>
      <c r="G1407">
        <v>1068</v>
      </c>
      <c r="H1407" t="s">
        <v>13</v>
      </c>
      <c r="I1407" t="b">
        <v>0</v>
      </c>
      <c r="J1407">
        <f t="shared" si="42"/>
        <v>0</v>
      </c>
      <c r="K1407" t="str">
        <f t="shared" si="43"/>
        <v>Neutral</v>
      </c>
    </row>
    <row r="1408" spans="1:11" x14ac:dyDescent="0.2">
      <c r="A1408" t="s">
        <v>5838</v>
      </c>
      <c r="B1408" t="s">
        <v>5839</v>
      </c>
      <c r="C1408" t="s">
        <v>1328</v>
      </c>
      <c r="D1408" t="s">
        <v>3</v>
      </c>
      <c r="E1408" t="s">
        <v>4</v>
      </c>
      <c r="F1408">
        <v>472</v>
      </c>
      <c r="G1408">
        <v>1639</v>
      </c>
      <c r="H1408" t="s">
        <v>13</v>
      </c>
      <c r="I1408" t="b">
        <v>0</v>
      </c>
      <c r="J1408">
        <f t="shared" si="42"/>
        <v>0</v>
      </c>
      <c r="K1408" t="str">
        <f t="shared" si="43"/>
        <v>Neutral</v>
      </c>
    </row>
    <row r="1409" spans="1:11" x14ac:dyDescent="0.2">
      <c r="A1409" t="s">
        <v>5864</v>
      </c>
      <c r="B1409" t="s">
        <v>5865</v>
      </c>
      <c r="C1409" t="s">
        <v>3435</v>
      </c>
      <c r="D1409" t="s">
        <v>5866</v>
      </c>
      <c r="E1409" t="s">
        <v>4</v>
      </c>
      <c r="F1409">
        <v>487</v>
      </c>
      <c r="G1409">
        <v>1004</v>
      </c>
      <c r="H1409" t="s">
        <v>13</v>
      </c>
      <c r="I1409" t="b">
        <v>0</v>
      </c>
      <c r="J1409">
        <f t="shared" si="42"/>
        <v>0</v>
      </c>
      <c r="K1409" t="str">
        <f t="shared" si="43"/>
        <v>Neutral</v>
      </c>
    </row>
    <row r="1410" spans="1:11" x14ac:dyDescent="0.2">
      <c r="A1410" t="s">
        <v>5334</v>
      </c>
      <c r="B1410" t="s">
        <v>5335</v>
      </c>
      <c r="C1410" t="s">
        <v>5336</v>
      </c>
      <c r="D1410" t="s">
        <v>3</v>
      </c>
      <c r="E1410" t="s">
        <v>4</v>
      </c>
      <c r="F1410">
        <v>173</v>
      </c>
      <c r="G1410">
        <v>1661</v>
      </c>
      <c r="H1410" t="s">
        <v>13</v>
      </c>
      <c r="I1410" t="b">
        <v>0</v>
      </c>
      <c r="J1410">
        <f t="shared" si="42"/>
        <v>0</v>
      </c>
      <c r="K1410" t="str">
        <f t="shared" si="43"/>
        <v>Neutral</v>
      </c>
    </row>
    <row r="1411" spans="1:11" x14ac:dyDescent="0.2">
      <c r="A1411" t="s">
        <v>692</v>
      </c>
      <c r="B1411" t="s">
        <v>693</v>
      </c>
      <c r="C1411" t="s">
        <v>694</v>
      </c>
      <c r="D1411" t="s">
        <v>42</v>
      </c>
      <c r="E1411" t="s">
        <v>4</v>
      </c>
      <c r="F1411">
        <v>172</v>
      </c>
      <c r="G1411">
        <v>84</v>
      </c>
      <c r="H1411" t="s">
        <v>13</v>
      </c>
      <c r="I1411" t="b">
        <v>0</v>
      </c>
      <c r="J1411">
        <f t="shared" ref="J1411:J1474" si="44">sentimentCalc(B1411)</f>
        <v>0</v>
      </c>
      <c r="K1411" t="str">
        <f t="shared" ref="K1411:K1474" si="45">sentimentCategory(J1411)</f>
        <v>Neutral</v>
      </c>
    </row>
    <row r="1412" spans="1:11" x14ac:dyDescent="0.2">
      <c r="A1412" t="s">
        <v>3441</v>
      </c>
      <c r="B1412" t="s">
        <v>3442</v>
      </c>
      <c r="C1412" t="s">
        <v>3443</v>
      </c>
      <c r="D1412" t="s">
        <v>2706</v>
      </c>
      <c r="E1412" t="s">
        <v>4</v>
      </c>
      <c r="F1412">
        <v>14</v>
      </c>
      <c r="G1412">
        <v>36</v>
      </c>
      <c r="H1412" t="s">
        <v>13</v>
      </c>
      <c r="I1412" t="b">
        <v>0</v>
      </c>
      <c r="J1412">
        <f t="shared" si="44"/>
        <v>0</v>
      </c>
      <c r="K1412" t="str">
        <f t="shared" si="45"/>
        <v>Neutral</v>
      </c>
    </row>
    <row r="1413" spans="1:11" x14ac:dyDescent="0.2">
      <c r="A1413" t="s">
        <v>4634</v>
      </c>
      <c r="B1413" t="s">
        <v>4635</v>
      </c>
      <c r="C1413" t="s">
        <v>1587</v>
      </c>
      <c r="D1413" t="s">
        <v>4636</v>
      </c>
      <c r="E1413" t="s">
        <v>4</v>
      </c>
      <c r="F1413">
        <v>1358</v>
      </c>
      <c r="G1413">
        <v>330</v>
      </c>
      <c r="H1413" t="s">
        <v>13</v>
      </c>
      <c r="I1413" t="b">
        <v>0</v>
      </c>
      <c r="J1413">
        <f t="shared" si="44"/>
        <v>0</v>
      </c>
      <c r="K1413" t="str">
        <f t="shared" si="45"/>
        <v>Neutral</v>
      </c>
    </row>
    <row r="1414" spans="1:11" x14ac:dyDescent="0.2">
      <c r="A1414" t="s">
        <v>3878</v>
      </c>
      <c r="B1414" t="s">
        <v>3879</v>
      </c>
      <c r="C1414" t="s">
        <v>3880</v>
      </c>
      <c r="D1414" t="s">
        <v>3</v>
      </c>
      <c r="E1414" t="s">
        <v>4</v>
      </c>
      <c r="F1414">
        <v>38018</v>
      </c>
      <c r="G1414">
        <v>192</v>
      </c>
      <c r="H1414" t="s">
        <v>645</v>
      </c>
      <c r="I1414" t="b">
        <v>0</v>
      </c>
      <c r="J1414">
        <f t="shared" si="44"/>
        <v>10</v>
      </c>
      <c r="K1414" t="str">
        <f t="shared" si="45"/>
        <v>Positive</v>
      </c>
    </row>
    <row r="1415" spans="1:11" x14ac:dyDescent="0.2">
      <c r="A1415" t="s">
        <v>2457</v>
      </c>
      <c r="B1415" t="s">
        <v>2458</v>
      </c>
      <c r="C1415" t="s">
        <v>2459</v>
      </c>
      <c r="D1415" t="s">
        <v>326</v>
      </c>
      <c r="E1415" t="s">
        <v>4</v>
      </c>
      <c r="F1415">
        <v>2</v>
      </c>
      <c r="G1415">
        <v>8</v>
      </c>
      <c r="H1415" t="s">
        <v>13</v>
      </c>
      <c r="I1415" t="b">
        <v>0</v>
      </c>
      <c r="J1415">
        <f t="shared" si="44"/>
        <v>0</v>
      </c>
      <c r="K1415" t="str">
        <f t="shared" si="45"/>
        <v>Neutral</v>
      </c>
    </row>
    <row r="1416" spans="1:11" x14ac:dyDescent="0.2">
      <c r="A1416" t="s">
        <v>4760</v>
      </c>
      <c r="B1416" t="s">
        <v>4761</v>
      </c>
      <c r="C1416" t="s">
        <v>740</v>
      </c>
      <c r="D1416" t="s">
        <v>4762</v>
      </c>
      <c r="E1416" t="s">
        <v>4</v>
      </c>
      <c r="F1416">
        <v>165</v>
      </c>
      <c r="G1416">
        <v>243</v>
      </c>
      <c r="H1416" t="s">
        <v>13</v>
      </c>
      <c r="I1416" t="b">
        <v>0</v>
      </c>
      <c r="J1416">
        <f t="shared" si="44"/>
        <v>0</v>
      </c>
      <c r="K1416" t="str">
        <f t="shared" si="45"/>
        <v>Neutral</v>
      </c>
    </row>
    <row r="1417" spans="1:11" x14ac:dyDescent="0.2">
      <c r="A1417" t="s">
        <v>1184</v>
      </c>
      <c r="B1417" t="s">
        <v>1186</v>
      </c>
      <c r="C1417" t="s">
        <v>1187</v>
      </c>
      <c r="D1417" t="s">
        <v>1188</v>
      </c>
      <c r="E1417" t="s">
        <v>4</v>
      </c>
      <c r="F1417">
        <v>198</v>
      </c>
      <c r="G1417">
        <v>120</v>
      </c>
      <c r="H1417" t="s">
        <v>13</v>
      </c>
      <c r="I1417" t="b">
        <v>0</v>
      </c>
      <c r="J1417">
        <f t="shared" si="44"/>
        <v>0</v>
      </c>
      <c r="K1417" t="str">
        <f t="shared" si="45"/>
        <v>Neutral</v>
      </c>
    </row>
    <row r="1418" spans="1:11" x14ac:dyDescent="0.2">
      <c r="A1418" t="s">
        <v>4576</v>
      </c>
      <c r="B1418" t="s">
        <v>4577</v>
      </c>
      <c r="C1418" t="s">
        <v>4578</v>
      </c>
      <c r="D1418" t="s">
        <v>1817</v>
      </c>
      <c r="E1418" t="s">
        <v>4</v>
      </c>
      <c r="F1418">
        <v>392</v>
      </c>
      <c r="G1418">
        <v>969</v>
      </c>
      <c r="H1418" t="s">
        <v>13</v>
      </c>
      <c r="I1418" t="b">
        <v>0</v>
      </c>
      <c r="J1418">
        <f t="shared" si="44"/>
        <v>-10</v>
      </c>
      <c r="K1418" t="str">
        <f t="shared" si="45"/>
        <v>Negative</v>
      </c>
    </row>
    <row r="1419" spans="1:11" x14ac:dyDescent="0.2">
      <c r="A1419" t="s">
        <v>5546</v>
      </c>
      <c r="B1419" t="s">
        <v>5547</v>
      </c>
      <c r="C1419" t="s">
        <v>2646</v>
      </c>
      <c r="D1419" t="s">
        <v>5548</v>
      </c>
      <c r="E1419" t="s">
        <v>4</v>
      </c>
      <c r="F1419">
        <v>336</v>
      </c>
      <c r="G1419">
        <v>809</v>
      </c>
      <c r="H1419" t="s">
        <v>13</v>
      </c>
      <c r="I1419" t="b">
        <v>0</v>
      </c>
      <c r="J1419">
        <f t="shared" si="44"/>
        <v>20</v>
      </c>
      <c r="K1419" t="str">
        <f t="shared" si="45"/>
        <v>Positive</v>
      </c>
    </row>
    <row r="1420" spans="1:11" x14ac:dyDescent="0.2">
      <c r="A1420" t="s">
        <v>5290</v>
      </c>
      <c r="B1420" t="s">
        <v>5291</v>
      </c>
      <c r="C1420" t="s">
        <v>472</v>
      </c>
      <c r="D1420" t="s">
        <v>3</v>
      </c>
      <c r="E1420" t="s">
        <v>4</v>
      </c>
      <c r="F1420">
        <v>479</v>
      </c>
      <c r="G1420">
        <v>305</v>
      </c>
      <c r="H1420" t="s">
        <v>13</v>
      </c>
      <c r="I1420" t="b">
        <v>0</v>
      </c>
      <c r="J1420">
        <f t="shared" si="44"/>
        <v>0</v>
      </c>
      <c r="K1420" t="str">
        <f t="shared" si="45"/>
        <v>Neutral</v>
      </c>
    </row>
    <row r="1421" spans="1:11" x14ac:dyDescent="0.2">
      <c r="A1421" t="s">
        <v>5392</v>
      </c>
      <c r="B1421" t="s">
        <v>5393</v>
      </c>
      <c r="C1421" t="s">
        <v>2593</v>
      </c>
      <c r="D1421" t="s">
        <v>5394</v>
      </c>
      <c r="E1421" t="s">
        <v>4</v>
      </c>
      <c r="F1421">
        <v>72</v>
      </c>
      <c r="G1421">
        <v>366</v>
      </c>
      <c r="H1421" t="s">
        <v>13</v>
      </c>
      <c r="I1421" t="b">
        <v>0</v>
      </c>
      <c r="J1421">
        <f t="shared" si="44"/>
        <v>0</v>
      </c>
      <c r="K1421" t="str">
        <f t="shared" si="45"/>
        <v>Neutral</v>
      </c>
    </row>
    <row r="1422" spans="1:11" x14ac:dyDescent="0.2">
      <c r="A1422" t="s">
        <v>775</v>
      </c>
      <c r="B1422" t="s">
        <v>776</v>
      </c>
      <c r="C1422" t="s">
        <v>777</v>
      </c>
      <c r="D1422" t="s">
        <v>3</v>
      </c>
      <c r="E1422" t="s">
        <v>4</v>
      </c>
      <c r="F1422">
        <v>11</v>
      </c>
      <c r="G1422">
        <v>54</v>
      </c>
      <c r="H1422" t="s">
        <v>13</v>
      </c>
      <c r="I1422" t="b">
        <v>0</v>
      </c>
      <c r="J1422">
        <f t="shared" si="44"/>
        <v>0</v>
      </c>
      <c r="K1422" t="str">
        <f t="shared" si="45"/>
        <v>Neutral</v>
      </c>
    </row>
    <row r="1423" spans="1:11" x14ac:dyDescent="0.2">
      <c r="A1423" t="s">
        <v>3400</v>
      </c>
      <c r="B1423" t="s">
        <v>3401</v>
      </c>
      <c r="C1423" t="s">
        <v>1152</v>
      </c>
      <c r="D1423" t="s">
        <v>2957</v>
      </c>
      <c r="E1423" t="s">
        <v>4</v>
      </c>
      <c r="F1423">
        <v>1438</v>
      </c>
      <c r="G1423">
        <v>580</v>
      </c>
      <c r="H1423" t="s">
        <v>13</v>
      </c>
      <c r="I1423" t="b">
        <v>0</v>
      </c>
      <c r="J1423">
        <f t="shared" si="44"/>
        <v>0</v>
      </c>
      <c r="K1423" t="str">
        <f t="shared" si="45"/>
        <v>Neutral</v>
      </c>
    </row>
    <row r="1424" spans="1:11" x14ac:dyDescent="0.2">
      <c r="A1424" t="s">
        <v>1031</v>
      </c>
      <c r="B1424" t="s">
        <v>1034</v>
      </c>
      <c r="C1424" t="s">
        <v>1035</v>
      </c>
      <c r="D1424" t="s">
        <v>101</v>
      </c>
      <c r="E1424" t="s">
        <v>4</v>
      </c>
      <c r="F1424">
        <v>984</v>
      </c>
      <c r="G1424">
        <v>273</v>
      </c>
      <c r="H1424" t="s">
        <v>126</v>
      </c>
      <c r="I1424" t="b">
        <v>0</v>
      </c>
      <c r="J1424">
        <f t="shared" si="44"/>
        <v>0</v>
      </c>
      <c r="K1424" t="str">
        <f t="shared" si="45"/>
        <v>Neutral</v>
      </c>
    </row>
    <row r="1425" spans="1:11" x14ac:dyDescent="0.2">
      <c r="A1425" t="s">
        <v>7244</v>
      </c>
      <c r="B1425" t="s">
        <v>7245</v>
      </c>
      <c r="C1425" t="s">
        <v>2854</v>
      </c>
      <c r="D1425" t="s">
        <v>1171</v>
      </c>
      <c r="E1425" t="s">
        <v>4</v>
      </c>
      <c r="F1425">
        <v>171</v>
      </c>
      <c r="G1425">
        <v>359</v>
      </c>
      <c r="H1425" t="s">
        <v>13</v>
      </c>
      <c r="I1425" t="b">
        <v>0</v>
      </c>
      <c r="J1425">
        <f t="shared" si="44"/>
        <v>0</v>
      </c>
      <c r="K1425" t="str">
        <f t="shared" si="45"/>
        <v>Neutral</v>
      </c>
    </row>
    <row r="1426" spans="1:11" x14ac:dyDescent="0.2">
      <c r="A1426" t="s">
        <v>5296</v>
      </c>
      <c r="B1426" t="s">
        <v>5297</v>
      </c>
      <c r="C1426" t="s">
        <v>2314</v>
      </c>
      <c r="D1426" t="s">
        <v>3</v>
      </c>
      <c r="E1426" t="s">
        <v>4</v>
      </c>
      <c r="F1426">
        <v>157</v>
      </c>
      <c r="G1426">
        <v>178</v>
      </c>
      <c r="H1426" t="s">
        <v>13</v>
      </c>
      <c r="I1426" t="b">
        <v>0</v>
      </c>
      <c r="J1426">
        <f t="shared" si="44"/>
        <v>0</v>
      </c>
      <c r="K1426" t="str">
        <f t="shared" si="45"/>
        <v>Neutral</v>
      </c>
    </row>
    <row r="1427" spans="1:11" x14ac:dyDescent="0.2">
      <c r="A1427" t="s">
        <v>378</v>
      </c>
      <c r="B1427" t="s">
        <v>379</v>
      </c>
      <c r="C1427" t="s">
        <v>165</v>
      </c>
      <c r="D1427" t="s">
        <v>380</v>
      </c>
      <c r="E1427" t="s">
        <v>4</v>
      </c>
      <c r="F1427">
        <v>16</v>
      </c>
      <c r="G1427">
        <v>65</v>
      </c>
      <c r="H1427" t="s">
        <v>13</v>
      </c>
      <c r="I1427" t="b">
        <v>0</v>
      </c>
      <c r="J1427">
        <f t="shared" si="44"/>
        <v>0</v>
      </c>
      <c r="K1427" t="str">
        <f t="shared" si="45"/>
        <v>Neutral</v>
      </c>
    </row>
    <row r="1428" spans="1:11" x14ac:dyDescent="0.2">
      <c r="A1428" t="s">
        <v>5477</v>
      </c>
      <c r="B1428" t="s">
        <v>5478</v>
      </c>
      <c r="C1428" t="s">
        <v>5479</v>
      </c>
      <c r="D1428" t="s">
        <v>3137</v>
      </c>
      <c r="E1428" t="s">
        <v>4</v>
      </c>
      <c r="F1428">
        <v>525</v>
      </c>
      <c r="G1428">
        <v>189</v>
      </c>
      <c r="H1428" t="s">
        <v>13</v>
      </c>
      <c r="I1428" t="b">
        <v>0</v>
      </c>
      <c r="J1428">
        <f t="shared" si="44"/>
        <v>30</v>
      </c>
      <c r="K1428" t="str">
        <f t="shared" si="45"/>
        <v>Positive</v>
      </c>
    </row>
    <row r="1429" spans="1:11" x14ac:dyDescent="0.2">
      <c r="A1429" t="s">
        <v>2435</v>
      </c>
      <c r="B1429" t="s">
        <v>2436</v>
      </c>
      <c r="C1429" t="s">
        <v>2395</v>
      </c>
      <c r="D1429" t="s">
        <v>3</v>
      </c>
      <c r="E1429" t="s">
        <v>4</v>
      </c>
      <c r="F1429">
        <v>47</v>
      </c>
      <c r="G1429">
        <v>88</v>
      </c>
      <c r="H1429" t="s">
        <v>13</v>
      </c>
      <c r="I1429" t="b">
        <v>0</v>
      </c>
      <c r="J1429">
        <f t="shared" si="44"/>
        <v>0</v>
      </c>
      <c r="K1429" t="str">
        <f t="shared" si="45"/>
        <v>Neutral</v>
      </c>
    </row>
    <row r="1430" spans="1:11" x14ac:dyDescent="0.2">
      <c r="A1430" t="s">
        <v>5738</v>
      </c>
      <c r="B1430" t="s">
        <v>5739</v>
      </c>
      <c r="C1430" t="s">
        <v>5740</v>
      </c>
      <c r="D1430" t="s">
        <v>4548</v>
      </c>
      <c r="E1430" t="s">
        <v>4</v>
      </c>
      <c r="F1430">
        <v>1278</v>
      </c>
      <c r="G1430">
        <v>625</v>
      </c>
      <c r="H1430" t="s">
        <v>13</v>
      </c>
      <c r="I1430" t="b">
        <v>0</v>
      </c>
      <c r="J1430">
        <f t="shared" si="44"/>
        <v>10</v>
      </c>
      <c r="K1430" t="str">
        <f t="shared" si="45"/>
        <v>Positive</v>
      </c>
    </row>
    <row r="1431" spans="1:11" x14ac:dyDescent="0.2">
      <c r="A1431" t="s">
        <v>4561</v>
      </c>
      <c r="B1431" t="s">
        <v>4562</v>
      </c>
      <c r="C1431" t="s">
        <v>4158</v>
      </c>
      <c r="D1431">
        <v>0</v>
      </c>
      <c r="E1431" t="s">
        <v>4</v>
      </c>
      <c r="F1431">
        <v>49</v>
      </c>
      <c r="G1431">
        <v>181</v>
      </c>
      <c r="H1431" t="s">
        <v>13</v>
      </c>
      <c r="I1431" t="b">
        <v>0</v>
      </c>
      <c r="J1431">
        <f t="shared" si="44"/>
        <v>0</v>
      </c>
      <c r="K1431" t="str">
        <f t="shared" si="45"/>
        <v>Neutral</v>
      </c>
    </row>
    <row r="1432" spans="1:11" x14ac:dyDescent="0.2">
      <c r="A1432" t="s">
        <v>2600</v>
      </c>
      <c r="B1432" t="s">
        <v>2601</v>
      </c>
      <c r="C1432" t="s">
        <v>2602</v>
      </c>
      <c r="D1432" t="s">
        <v>3</v>
      </c>
      <c r="E1432" t="s">
        <v>4</v>
      </c>
      <c r="F1432">
        <v>24</v>
      </c>
      <c r="G1432">
        <v>95</v>
      </c>
      <c r="H1432" t="s">
        <v>13</v>
      </c>
      <c r="I1432" t="b">
        <v>0</v>
      </c>
      <c r="J1432">
        <f t="shared" si="44"/>
        <v>0</v>
      </c>
      <c r="K1432" t="str">
        <f t="shared" si="45"/>
        <v>Neutral</v>
      </c>
    </row>
    <row r="1433" spans="1:11" x14ac:dyDescent="0.2">
      <c r="A1433" t="s">
        <v>6198</v>
      </c>
      <c r="B1433" t="s">
        <v>6199</v>
      </c>
      <c r="C1433" t="s">
        <v>391</v>
      </c>
      <c r="D1433" t="s">
        <v>3</v>
      </c>
      <c r="E1433" t="s">
        <v>4</v>
      </c>
      <c r="F1433">
        <v>8</v>
      </c>
      <c r="G1433">
        <v>92</v>
      </c>
      <c r="H1433" t="s">
        <v>13</v>
      </c>
      <c r="I1433" t="b">
        <v>0</v>
      </c>
      <c r="J1433">
        <f t="shared" si="44"/>
        <v>0</v>
      </c>
      <c r="K1433" t="str">
        <f t="shared" si="45"/>
        <v>Neutral</v>
      </c>
    </row>
    <row r="1434" spans="1:11" x14ac:dyDescent="0.2">
      <c r="A1434" t="s">
        <v>2858</v>
      </c>
      <c r="B1434" t="s">
        <v>2859</v>
      </c>
      <c r="C1434" t="s">
        <v>2860</v>
      </c>
      <c r="D1434" t="s">
        <v>3</v>
      </c>
      <c r="E1434" t="s">
        <v>4</v>
      </c>
      <c r="F1434">
        <v>208</v>
      </c>
      <c r="G1434">
        <v>508</v>
      </c>
      <c r="H1434" t="s">
        <v>13</v>
      </c>
      <c r="I1434" t="b">
        <v>0</v>
      </c>
      <c r="J1434">
        <f t="shared" si="44"/>
        <v>0</v>
      </c>
      <c r="K1434" t="str">
        <f t="shared" si="45"/>
        <v>Neutral</v>
      </c>
    </row>
    <row r="1435" spans="1:11" x14ac:dyDescent="0.2">
      <c r="A1435" t="s">
        <v>4794</v>
      </c>
      <c r="B1435" t="s">
        <v>4795</v>
      </c>
      <c r="C1435" t="s">
        <v>4796</v>
      </c>
      <c r="D1435" t="s">
        <v>3</v>
      </c>
      <c r="E1435" t="s">
        <v>4</v>
      </c>
      <c r="F1435">
        <v>443</v>
      </c>
      <c r="G1435">
        <v>500</v>
      </c>
      <c r="H1435" t="s">
        <v>13</v>
      </c>
      <c r="I1435" t="b">
        <v>0</v>
      </c>
      <c r="J1435">
        <f t="shared" si="44"/>
        <v>0</v>
      </c>
      <c r="K1435" t="str">
        <f t="shared" si="45"/>
        <v>Neutral</v>
      </c>
    </row>
    <row r="1436" spans="1:11" x14ac:dyDescent="0.2">
      <c r="A1436" t="s">
        <v>5350</v>
      </c>
      <c r="B1436" t="s">
        <v>5351</v>
      </c>
      <c r="C1436" t="s">
        <v>5352</v>
      </c>
      <c r="D1436" t="s">
        <v>5353</v>
      </c>
      <c r="E1436" t="s">
        <v>4</v>
      </c>
      <c r="F1436">
        <v>99</v>
      </c>
      <c r="G1436">
        <v>141</v>
      </c>
      <c r="H1436" t="s">
        <v>13</v>
      </c>
      <c r="I1436" t="b">
        <v>0</v>
      </c>
      <c r="J1436">
        <f t="shared" si="44"/>
        <v>0</v>
      </c>
      <c r="K1436" t="str">
        <f t="shared" si="45"/>
        <v>Neutral</v>
      </c>
    </row>
    <row r="1437" spans="1:11" x14ac:dyDescent="0.2">
      <c r="A1437" t="s">
        <v>3306</v>
      </c>
      <c r="B1437" t="s">
        <v>3307</v>
      </c>
      <c r="C1437" t="s">
        <v>3308</v>
      </c>
      <c r="D1437" t="s">
        <v>3309</v>
      </c>
      <c r="E1437" t="s">
        <v>4</v>
      </c>
      <c r="F1437">
        <v>2204</v>
      </c>
      <c r="G1437">
        <v>595</v>
      </c>
      <c r="H1437" t="s">
        <v>13</v>
      </c>
      <c r="I1437" t="b">
        <v>0</v>
      </c>
      <c r="J1437">
        <f t="shared" si="44"/>
        <v>-10</v>
      </c>
      <c r="K1437" t="str">
        <f t="shared" si="45"/>
        <v>Negative</v>
      </c>
    </row>
    <row r="1438" spans="1:11" x14ac:dyDescent="0.2">
      <c r="A1438" t="s">
        <v>3929</v>
      </c>
      <c r="B1438" t="s">
        <v>3930</v>
      </c>
      <c r="C1438" t="s">
        <v>999</v>
      </c>
      <c r="D1438" t="s">
        <v>3931</v>
      </c>
      <c r="E1438" t="s">
        <v>4</v>
      </c>
      <c r="F1438">
        <v>119</v>
      </c>
      <c r="G1438">
        <v>524</v>
      </c>
      <c r="H1438" t="s">
        <v>13</v>
      </c>
      <c r="I1438" t="b">
        <v>0</v>
      </c>
      <c r="J1438">
        <f t="shared" si="44"/>
        <v>0</v>
      </c>
      <c r="K1438" t="str">
        <f t="shared" si="45"/>
        <v>Neutral</v>
      </c>
    </row>
    <row r="1439" spans="1:11" x14ac:dyDescent="0.2">
      <c r="A1439" t="s">
        <v>3321</v>
      </c>
      <c r="B1439" t="s">
        <v>3322</v>
      </c>
      <c r="C1439" t="s">
        <v>621</v>
      </c>
      <c r="D1439" t="s">
        <v>3323</v>
      </c>
      <c r="E1439" t="s">
        <v>4</v>
      </c>
      <c r="F1439">
        <v>183</v>
      </c>
      <c r="G1439">
        <v>207</v>
      </c>
      <c r="H1439" t="s">
        <v>13</v>
      </c>
      <c r="I1439" t="b">
        <v>0</v>
      </c>
      <c r="J1439">
        <f t="shared" si="44"/>
        <v>0</v>
      </c>
      <c r="K1439" t="str">
        <f t="shared" si="45"/>
        <v>Neutral</v>
      </c>
    </row>
    <row r="1440" spans="1:11" x14ac:dyDescent="0.2">
      <c r="A1440" t="s">
        <v>7034</v>
      </c>
      <c r="B1440" t="s">
        <v>7035</v>
      </c>
      <c r="C1440" t="s">
        <v>4080</v>
      </c>
      <c r="D1440" t="s">
        <v>7036</v>
      </c>
      <c r="E1440" t="s">
        <v>4</v>
      </c>
      <c r="F1440">
        <v>123</v>
      </c>
      <c r="G1440">
        <v>167</v>
      </c>
      <c r="H1440" t="s">
        <v>13</v>
      </c>
      <c r="I1440" t="b">
        <v>0</v>
      </c>
      <c r="J1440">
        <f t="shared" si="44"/>
        <v>0</v>
      </c>
      <c r="K1440" t="str">
        <f t="shared" si="45"/>
        <v>Neutral</v>
      </c>
    </row>
    <row r="1441" spans="1:11" x14ac:dyDescent="0.2">
      <c r="A1441" t="s">
        <v>5991</v>
      </c>
      <c r="B1441" t="s">
        <v>5992</v>
      </c>
      <c r="C1441" t="s">
        <v>2048</v>
      </c>
      <c r="D1441" t="s">
        <v>3</v>
      </c>
      <c r="E1441" t="s">
        <v>4</v>
      </c>
      <c r="F1441">
        <v>5</v>
      </c>
      <c r="G1441">
        <v>41</v>
      </c>
      <c r="H1441" t="s">
        <v>114</v>
      </c>
      <c r="I1441" t="b">
        <v>0</v>
      </c>
      <c r="J1441">
        <f t="shared" si="44"/>
        <v>0</v>
      </c>
      <c r="K1441" t="str">
        <f t="shared" si="45"/>
        <v>Neutral</v>
      </c>
    </row>
    <row r="1442" spans="1:11" x14ac:dyDescent="0.2">
      <c r="A1442" t="s">
        <v>6860</v>
      </c>
      <c r="B1442" t="s">
        <v>6861</v>
      </c>
      <c r="C1442" t="s">
        <v>3404</v>
      </c>
      <c r="D1442" t="s">
        <v>3</v>
      </c>
      <c r="E1442" t="s">
        <v>4</v>
      </c>
      <c r="F1442">
        <v>249</v>
      </c>
      <c r="G1442">
        <v>232</v>
      </c>
      <c r="H1442" t="s">
        <v>114</v>
      </c>
      <c r="I1442" t="b">
        <v>0</v>
      </c>
      <c r="J1442">
        <f t="shared" si="44"/>
        <v>20</v>
      </c>
      <c r="K1442" t="str">
        <f t="shared" si="45"/>
        <v>Positive</v>
      </c>
    </row>
    <row r="1443" spans="1:11" x14ac:dyDescent="0.2">
      <c r="A1443" t="s">
        <v>4595</v>
      </c>
      <c r="B1443" t="s">
        <v>4596</v>
      </c>
      <c r="C1443" t="s">
        <v>777</v>
      </c>
      <c r="D1443" t="s">
        <v>2139</v>
      </c>
      <c r="E1443" t="s">
        <v>4</v>
      </c>
      <c r="F1443">
        <v>28</v>
      </c>
      <c r="G1443">
        <v>278</v>
      </c>
      <c r="H1443" t="s">
        <v>13</v>
      </c>
      <c r="I1443" t="b">
        <v>0</v>
      </c>
      <c r="J1443">
        <f t="shared" si="44"/>
        <v>20</v>
      </c>
      <c r="K1443" t="str">
        <f t="shared" si="45"/>
        <v>Positive</v>
      </c>
    </row>
    <row r="1444" spans="1:11" x14ac:dyDescent="0.2">
      <c r="A1444" t="s">
        <v>5920</v>
      </c>
      <c r="B1444" t="s">
        <v>5921</v>
      </c>
      <c r="C1444" t="s">
        <v>48</v>
      </c>
      <c r="D1444" t="s">
        <v>3</v>
      </c>
      <c r="E1444" t="s">
        <v>4</v>
      </c>
      <c r="F1444">
        <v>3505</v>
      </c>
      <c r="G1444">
        <v>67</v>
      </c>
      <c r="H1444" t="s">
        <v>13</v>
      </c>
      <c r="I1444" t="b">
        <v>0</v>
      </c>
      <c r="J1444">
        <f t="shared" si="44"/>
        <v>0</v>
      </c>
      <c r="K1444" t="str">
        <f t="shared" si="45"/>
        <v>Neutral</v>
      </c>
    </row>
    <row r="1445" spans="1:11" x14ac:dyDescent="0.2">
      <c r="A1445" t="s">
        <v>4400</v>
      </c>
      <c r="B1445" t="s">
        <v>4401</v>
      </c>
      <c r="C1445" t="s">
        <v>4402</v>
      </c>
      <c r="D1445" t="s">
        <v>3</v>
      </c>
      <c r="E1445" t="s">
        <v>4</v>
      </c>
      <c r="F1445">
        <v>12</v>
      </c>
      <c r="G1445">
        <v>55</v>
      </c>
      <c r="H1445" t="s">
        <v>13</v>
      </c>
      <c r="I1445" t="b">
        <v>0</v>
      </c>
      <c r="J1445">
        <f t="shared" si="44"/>
        <v>0</v>
      </c>
      <c r="K1445" t="str">
        <f t="shared" si="45"/>
        <v>Neutral</v>
      </c>
    </row>
    <row r="1446" spans="1:11" x14ac:dyDescent="0.2">
      <c r="A1446" t="s">
        <v>2063</v>
      </c>
      <c r="B1446" t="s">
        <v>2064</v>
      </c>
      <c r="C1446" t="s">
        <v>2065</v>
      </c>
      <c r="D1446" t="s">
        <v>2066</v>
      </c>
      <c r="E1446" t="s">
        <v>4</v>
      </c>
      <c r="F1446">
        <v>9748</v>
      </c>
      <c r="G1446">
        <v>399</v>
      </c>
      <c r="H1446" t="s">
        <v>13</v>
      </c>
      <c r="I1446" t="b">
        <v>0</v>
      </c>
      <c r="J1446">
        <f t="shared" si="44"/>
        <v>0</v>
      </c>
      <c r="K1446" t="str">
        <f t="shared" si="45"/>
        <v>Neutral</v>
      </c>
    </row>
    <row r="1447" spans="1:11" x14ac:dyDescent="0.2">
      <c r="A1447" t="s">
        <v>1373</v>
      </c>
      <c r="B1447" t="s">
        <v>1374</v>
      </c>
      <c r="C1447" t="s">
        <v>1375</v>
      </c>
      <c r="D1447" t="s">
        <v>1376</v>
      </c>
      <c r="E1447" t="s">
        <v>4</v>
      </c>
      <c r="F1447">
        <v>1197</v>
      </c>
      <c r="G1447">
        <v>398</v>
      </c>
      <c r="H1447" t="s">
        <v>13</v>
      </c>
      <c r="I1447" t="b">
        <v>0</v>
      </c>
      <c r="J1447">
        <f t="shared" si="44"/>
        <v>0</v>
      </c>
      <c r="K1447" t="str">
        <f t="shared" si="45"/>
        <v>Neutral</v>
      </c>
    </row>
    <row r="1448" spans="1:11" x14ac:dyDescent="0.2">
      <c r="A1448" t="s">
        <v>922</v>
      </c>
      <c r="B1448" t="s">
        <v>923</v>
      </c>
      <c r="C1448" t="s">
        <v>924</v>
      </c>
      <c r="D1448" t="s">
        <v>925</v>
      </c>
      <c r="E1448" t="s">
        <v>4</v>
      </c>
      <c r="F1448">
        <v>1059</v>
      </c>
      <c r="G1448">
        <v>100</v>
      </c>
      <c r="H1448" t="s">
        <v>13</v>
      </c>
      <c r="I1448" t="b">
        <v>0</v>
      </c>
      <c r="J1448">
        <f t="shared" si="44"/>
        <v>10</v>
      </c>
      <c r="K1448" t="str">
        <f t="shared" si="45"/>
        <v>Positive</v>
      </c>
    </row>
    <row r="1449" spans="1:11" x14ac:dyDescent="0.2">
      <c r="A1449" t="s">
        <v>6719</v>
      </c>
      <c r="B1449" t="s">
        <v>6721</v>
      </c>
      <c r="C1449" t="s">
        <v>5753</v>
      </c>
      <c r="D1449" t="s">
        <v>6722</v>
      </c>
      <c r="E1449" t="s">
        <v>4</v>
      </c>
      <c r="F1449">
        <v>207</v>
      </c>
      <c r="G1449">
        <v>316</v>
      </c>
      <c r="H1449" t="s">
        <v>13</v>
      </c>
      <c r="I1449" t="b">
        <v>0</v>
      </c>
      <c r="J1449">
        <f t="shared" si="44"/>
        <v>10</v>
      </c>
      <c r="K1449" t="str">
        <f t="shared" si="45"/>
        <v>Positive</v>
      </c>
    </row>
    <row r="1450" spans="1:11" x14ac:dyDescent="0.2">
      <c r="A1450" t="s">
        <v>4896</v>
      </c>
      <c r="B1450" t="s">
        <v>4897</v>
      </c>
      <c r="C1450" t="s">
        <v>974</v>
      </c>
      <c r="D1450" t="s">
        <v>3</v>
      </c>
      <c r="E1450" t="s">
        <v>4</v>
      </c>
      <c r="F1450">
        <v>254</v>
      </c>
      <c r="G1450">
        <v>818</v>
      </c>
      <c r="H1450" t="s">
        <v>13</v>
      </c>
      <c r="I1450" t="b">
        <v>0</v>
      </c>
      <c r="J1450">
        <f t="shared" si="44"/>
        <v>10</v>
      </c>
      <c r="K1450" t="str">
        <f t="shared" si="45"/>
        <v>Positive</v>
      </c>
    </row>
    <row r="1451" spans="1:11" x14ac:dyDescent="0.2">
      <c r="A1451" t="s">
        <v>5614</v>
      </c>
      <c r="B1451" t="s">
        <v>5618</v>
      </c>
      <c r="C1451" t="s">
        <v>241</v>
      </c>
      <c r="D1451" t="s">
        <v>5619</v>
      </c>
      <c r="E1451" t="s">
        <v>4</v>
      </c>
      <c r="F1451">
        <v>758</v>
      </c>
      <c r="G1451">
        <v>2205</v>
      </c>
      <c r="H1451" t="s">
        <v>13</v>
      </c>
      <c r="I1451" t="b">
        <v>0</v>
      </c>
      <c r="J1451">
        <f t="shared" si="44"/>
        <v>0</v>
      </c>
      <c r="K1451" t="str">
        <f t="shared" si="45"/>
        <v>Neutral</v>
      </c>
    </row>
    <row r="1452" spans="1:11" x14ac:dyDescent="0.2">
      <c r="A1452" t="s">
        <v>4603</v>
      </c>
      <c r="B1452" t="s">
        <v>4604</v>
      </c>
      <c r="C1452" t="s">
        <v>4605</v>
      </c>
      <c r="D1452" t="s">
        <v>4606</v>
      </c>
      <c r="E1452" t="s">
        <v>4</v>
      </c>
      <c r="F1452">
        <v>2801</v>
      </c>
      <c r="G1452">
        <v>1195</v>
      </c>
      <c r="H1452" t="s">
        <v>13</v>
      </c>
      <c r="I1452" t="b">
        <v>0</v>
      </c>
      <c r="J1452">
        <f t="shared" si="44"/>
        <v>0</v>
      </c>
      <c r="K1452" t="str">
        <f t="shared" si="45"/>
        <v>Neutral</v>
      </c>
    </row>
    <row r="1453" spans="1:11" x14ac:dyDescent="0.2">
      <c r="A1453" t="s">
        <v>1887</v>
      </c>
      <c r="B1453" t="s">
        <v>1888</v>
      </c>
      <c r="C1453" t="s">
        <v>1889</v>
      </c>
      <c r="D1453">
        <v>1988</v>
      </c>
      <c r="E1453" t="s">
        <v>4</v>
      </c>
      <c r="F1453">
        <v>134</v>
      </c>
      <c r="G1453">
        <v>196</v>
      </c>
      <c r="H1453" t="s">
        <v>13</v>
      </c>
      <c r="I1453" t="b">
        <v>0</v>
      </c>
      <c r="J1453">
        <f t="shared" si="44"/>
        <v>0</v>
      </c>
      <c r="K1453" t="str">
        <f t="shared" si="45"/>
        <v>Neutral</v>
      </c>
    </row>
    <row r="1454" spans="1:11" x14ac:dyDescent="0.2">
      <c r="A1454" t="s">
        <v>5004</v>
      </c>
      <c r="B1454" t="s">
        <v>5005</v>
      </c>
      <c r="C1454" t="s">
        <v>3682</v>
      </c>
      <c r="D1454" t="s">
        <v>5006</v>
      </c>
      <c r="E1454" t="s">
        <v>4</v>
      </c>
      <c r="F1454">
        <v>85</v>
      </c>
      <c r="G1454">
        <v>0</v>
      </c>
      <c r="H1454" t="s">
        <v>13</v>
      </c>
      <c r="I1454" t="b">
        <v>0</v>
      </c>
      <c r="J1454">
        <f t="shared" si="44"/>
        <v>0</v>
      </c>
      <c r="K1454" t="str">
        <f t="shared" si="45"/>
        <v>Neutral</v>
      </c>
    </row>
    <row r="1455" spans="1:11" x14ac:dyDescent="0.2">
      <c r="A1455" t="s">
        <v>2168</v>
      </c>
      <c r="B1455" t="s">
        <v>2169</v>
      </c>
      <c r="C1455" t="s">
        <v>2170</v>
      </c>
      <c r="D1455" t="s">
        <v>2171</v>
      </c>
      <c r="E1455" t="s">
        <v>4</v>
      </c>
      <c r="F1455">
        <v>924</v>
      </c>
      <c r="G1455">
        <v>136</v>
      </c>
      <c r="H1455" t="s">
        <v>13</v>
      </c>
      <c r="I1455" t="b">
        <v>0</v>
      </c>
      <c r="J1455">
        <f t="shared" si="44"/>
        <v>10</v>
      </c>
      <c r="K1455" t="str">
        <f t="shared" si="45"/>
        <v>Positive</v>
      </c>
    </row>
    <row r="1456" spans="1:11" x14ac:dyDescent="0.2">
      <c r="A1456" t="s">
        <v>2782</v>
      </c>
      <c r="B1456" t="s">
        <v>2783</v>
      </c>
      <c r="C1456" t="s">
        <v>948</v>
      </c>
      <c r="D1456" t="s">
        <v>2784</v>
      </c>
      <c r="E1456" t="s">
        <v>4</v>
      </c>
      <c r="F1456">
        <v>160</v>
      </c>
      <c r="G1456">
        <v>475</v>
      </c>
      <c r="H1456" t="s">
        <v>13</v>
      </c>
      <c r="I1456" t="b">
        <v>0</v>
      </c>
      <c r="J1456">
        <f t="shared" si="44"/>
        <v>0</v>
      </c>
      <c r="K1456" t="str">
        <f t="shared" si="45"/>
        <v>Neutral</v>
      </c>
    </row>
    <row r="1457" spans="1:11" x14ac:dyDescent="0.2">
      <c r="A1457" t="s">
        <v>2440</v>
      </c>
      <c r="B1457" t="s">
        <v>2441</v>
      </c>
      <c r="C1457" t="s">
        <v>2442</v>
      </c>
      <c r="D1457" t="s">
        <v>3</v>
      </c>
      <c r="E1457" t="s">
        <v>4</v>
      </c>
      <c r="F1457">
        <v>225</v>
      </c>
      <c r="G1457">
        <v>56</v>
      </c>
      <c r="H1457" t="s">
        <v>13</v>
      </c>
      <c r="I1457" t="b">
        <v>0</v>
      </c>
      <c r="J1457">
        <f t="shared" si="44"/>
        <v>0</v>
      </c>
      <c r="K1457" t="str">
        <f t="shared" si="45"/>
        <v>Neutral</v>
      </c>
    </row>
    <row r="1458" spans="1:11" x14ac:dyDescent="0.2">
      <c r="A1458" t="s">
        <v>6875</v>
      </c>
      <c r="B1458" t="s">
        <v>6876</v>
      </c>
      <c r="C1458" t="s">
        <v>6877</v>
      </c>
      <c r="D1458" t="s">
        <v>3</v>
      </c>
      <c r="E1458" t="s">
        <v>4</v>
      </c>
      <c r="F1458">
        <v>151</v>
      </c>
      <c r="G1458">
        <v>175</v>
      </c>
      <c r="H1458" t="s">
        <v>13</v>
      </c>
      <c r="I1458" t="b">
        <v>0</v>
      </c>
      <c r="J1458">
        <f t="shared" si="44"/>
        <v>10</v>
      </c>
      <c r="K1458" t="str">
        <f t="shared" si="45"/>
        <v>Positive</v>
      </c>
    </row>
    <row r="1459" spans="1:11" x14ac:dyDescent="0.2">
      <c r="A1459" t="s">
        <v>260</v>
      </c>
      <c r="B1459" t="s">
        <v>261</v>
      </c>
      <c r="C1459" t="s">
        <v>165</v>
      </c>
      <c r="D1459" t="s">
        <v>71</v>
      </c>
      <c r="E1459" t="s">
        <v>4</v>
      </c>
      <c r="F1459">
        <v>545</v>
      </c>
      <c r="G1459">
        <v>805</v>
      </c>
      <c r="H1459" t="s">
        <v>13</v>
      </c>
      <c r="I1459" t="b">
        <v>0</v>
      </c>
      <c r="J1459">
        <f t="shared" si="44"/>
        <v>10</v>
      </c>
      <c r="K1459" t="str">
        <f t="shared" si="45"/>
        <v>Positive</v>
      </c>
    </row>
    <row r="1460" spans="1:11" x14ac:dyDescent="0.2">
      <c r="A1460" t="s">
        <v>2180</v>
      </c>
      <c r="B1460" t="s">
        <v>2181</v>
      </c>
      <c r="C1460" t="s">
        <v>2170</v>
      </c>
      <c r="D1460" t="s">
        <v>2171</v>
      </c>
      <c r="E1460" t="s">
        <v>4</v>
      </c>
      <c r="F1460">
        <v>924</v>
      </c>
      <c r="G1460">
        <v>136</v>
      </c>
      <c r="H1460" t="s">
        <v>13</v>
      </c>
      <c r="I1460" t="b">
        <v>0</v>
      </c>
      <c r="J1460">
        <f t="shared" si="44"/>
        <v>-10</v>
      </c>
      <c r="K1460" t="str">
        <f t="shared" si="45"/>
        <v>Negative</v>
      </c>
    </row>
    <row r="1461" spans="1:11" x14ac:dyDescent="0.2">
      <c r="A1461" t="s">
        <v>5080</v>
      </c>
      <c r="B1461" t="s">
        <v>5081</v>
      </c>
      <c r="C1461" t="s">
        <v>5082</v>
      </c>
      <c r="D1461" t="s">
        <v>5083</v>
      </c>
      <c r="E1461" t="s">
        <v>4</v>
      </c>
      <c r="F1461">
        <v>160</v>
      </c>
      <c r="G1461">
        <v>11</v>
      </c>
      <c r="H1461" t="s">
        <v>1092</v>
      </c>
      <c r="I1461" t="b">
        <v>0</v>
      </c>
      <c r="J1461">
        <f t="shared" si="44"/>
        <v>0</v>
      </c>
      <c r="K1461" t="str">
        <f t="shared" si="45"/>
        <v>Neutral</v>
      </c>
    </row>
    <row r="1462" spans="1:11" x14ac:dyDescent="0.2">
      <c r="A1462" t="s">
        <v>4945</v>
      </c>
      <c r="B1462" t="s">
        <v>4946</v>
      </c>
      <c r="C1462" t="s">
        <v>2379</v>
      </c>
      <c r="D1462" t="s">
        <v>3</v>
      </c>
      <c r="E1462" t="s">
        <v>4</v>
      </c>
      <c r="F1462">
        <v>88</v>
      </c>
      <c r="G1462">
        <v>87</v>
      </c>
      <c r="H1462" t="s">
        <v>13</v>
      </c>
      <c r="I1462" t="b">
        <v>0</v>
      </c>
      <c r="J1462">
        <f t="shared" si="44"/>
        <v>10</v>
      </c>
      <c r="K1462" t="str">
        <f t="shared" si="45"/>
        <v>Positive</v>
      </c>
    </row>
    <row r="1463" spans="1:11" x14ac:dyDescent="0.2">
      <c r="A1463" t="s">
        <v>834</v>
      </c>
      <c r="B1463" t="s">
        <v>835</v>
      </c>
      <c r="C1463" t="s">
        <v>836</v>
      </c>
      <c r="D1463" t="s">
        <v>837</v>
      </c>
      <c r="E1463" t="s">
        <v>4</v>
      </c>
      <c r="F1463">
        <v>6881</v>
      </c>
      <c r="G1463">
        <v>101</v>
      </c>
      <c r="H1463" t="s">
        <v>13</v>
      </c>
      <c r="I1463" t="b">
        <v>0</v>
      </c>
      <c r="J1463">
        <f t="shared" si="44"/>
        <v>0</v>
      </c>
      <c r="K1463" t="str">
        <f t="shared" si="45"/>
        <v>Neutral</v>
      </c>
    </row>
    <row r="1464" spans="1:11" x14ac:dyDescent="0.2">
      <c r="A1464" t="s">
        <v>3713</v>
      </c>
      <c r="B1464" t="s">
        <v>3717</v>
      </c>
      <c r="C1464" t="s">
        <v>309</v>
      </c>
      <c r="D1464" t="s">
        <v>3718</v>
      </c>
      <c r="E1464" t="s">
        <v>4</v>
      </c>
      <c r="F1464">
        <v>72</v>
      </c>
      <c r="G1464">
        <v>403</v>
      </c>
      <c r="H1464" t="s">
        <v>13</v>
      </c>
      <c r="I1464" t="b">
        <v>0</v>
      </c>
      <c r="J1464">
        <f t="shared" si="44"/>
        <v>0</v>
      </c>
      <c r="K1464" t="str">
        <f t="shared" si="45"/>
        <v>Neutral</v>
      </c>
    </row>
    <row r="1465" spans="1:11" x14ac:dyDescent="0.2">
      <c r="A1465" t="s">
        <v>4078</v>
      </c>
      <c r="B1465" t="s">
        <v>4079</v>
      </c>
      <c r="C1465" t="s">
        <v>4080</v>
      </c>
      <c r="D1465" t="s">
        <v>4081</v>
      </c>
      <c r="E1465" t="s">
        <v>4</v>
      </c>
      <c r="F1465">
        <v>171</v>
      </c>
      <c r="G1465">
        <v>169</v>
      </c>
      <c r="H1465" t="s">
        <v>363</v>
      </c>
      <c r="I1465" t="b">
        <v>0</v>
      </c>
      <c r="J1465">
        <f t="shared" si="44"/>
        <v>0</v>
      </c>
      <c r="K1465" t="str">
        <f t="shared" si="45"/>
        <v>Neutral</v>
      </c>
    </row>
    <row r="1466" spans="1:11" x14ac:dyDescent="0.2">
      <c r="A1466" t="s">
        <v>4287</v>
      </c>
      <c r="B1466" t="s">
        <v>4288</v>
      </c>
      <c r="C1466" t="s">
        <v>2632</v>
      </c>
      <c r="D1466" t="s">
        <v>101</v>
      </c>
      <c r="E1466" t="s">
        <v>4</v>
      </c>
      <c r="F1466">
        <v>84</v>
      </c>
      <c r="G1466">
        <v>57</v>
      </c>
      <c r="H1466" t="s">
        <v>13</v>
      </c>
      <c r="I1466" t="b">
        <v>0</v>
      </c>
      <c r="J1466">
        <f t="shared" si="44"/>
        <v>-10</v>
      </c>
      <c r="K1466" t="str">
        <f t="shared" si="45"/>
        <v>Negative</v>
      </c>
    </row>
    <row r="1467" spans="1:11" x14ac:dyDescent="0.2">
      <c r="A1467" t="s">
        <v>2354</v>
      </c>
      <c r="B1467" t="s">
        <v>2355</v>
      </c>
      <c r="C1467" t="s">
        <v>1757</v>
      </c>
      <c r="D1467" t="s">
        <v>2356</v>
      </c>
      <c r="E1467" t="s">
        <v>4</v>
      </c>
      <c r="F1467">
        <v>11</v>
      </c>
      <c r="G1467">
        <v>84</v>
      </c>
      <c r="H1467" t="s">
        <v>13</v>
      </c>
      <c r="I1467" t="b">
        <v>0</v>
      </c>
      <c r="J1467">
        <f t="shared" si="44"/>
        <v>-10</v>
      </c>
      <c r="K1467" t="str">
        <f t="shared" si="45"/>
        <v>Negative</v>
      </c>
    </row>
    <row r="1468" spans="1:11" x14ac:dyDescent="0.2">
      <c r="A1468" t="s">
        <v>738</v>
      </c>
      <c r="B1468" t="s">
        <v>739</v>
      </c>
      <c r="C1468" t="s">
        <v>740</v>
      </c>
      <c r="D1468" t="s">
        <v>3</v>
      </c>
      <c r="E1468" t="s">
        <v>4</v>
      </c>
      <c r="F1468">
        <v>17345</v>
      </c>
      <c r="G1468">
        <v>12513</v>
      </c>
      <c r="H1468" t="s">
        <v>13</v>
      </c>
      <c r="I1468" t="b">
        <v>0</v>
      </c>
      <c r="J1468">
        <f t="shared" si="44"/>
        <v>-10</v>
      </c>
      <c r="K1468" t="str">
        <f t="shared" si="45"/>
        <v>Negative</v>
      </c>
    </row>
    <row r="1469" spans="1:11" x14ac:dyDescent="0.2">
      <c r="A1469" t="s">
        <v>822</v>
      </c>
      <c r="B1469" t="s">
        <v>823</v>
      </c>
      <c r="C1469" t="s">
        <v>824</v>
      </c>
      <c r="D1469" t="s">
        <v>825</v>
      </c>
      <c r="E1469" t="s">
        <v>4</v>
      </c>
      <c r="F1469">
        <v>1</v>
      </c>
      <c r="G1469">
        <v>29</v>
      </c>
      <c r="H1469" t="s">
        <v>13</v>
      </c>
      <c r="I1469" t="b">
        <v>0</v>
      </c>
      <c r="J1469">
        <f t="shared" si="44"/>
        <v>0</v>
      </c>
      <c r="K1469" t="str">
        <f t="shared" si="45"/>
        <v>Neutral</v>
      </c>
    </row>
    <row r="1470" spans="1:11" x14ac:dyDescent="0.2">
      <c r="A1470" t="s">
        <v>2013</v>
      </c>
      <c r="B1470" t="s">
        <v>2014</v>
      </c>
      <c r="C1470" t="s">
        <v>1103</v>
      </c>
      <c r="D1470" t="s">
        <v>3</v>
      </c>
      <c r="E1470" t="s">
        <v>4</v>
      </c>
      <c r="F1470">
        <v>1</v>
      </c>
      <c r="G1470">
        <v>11</v>
      </c>
      <c r="H1470" t="s">
        <v>13</v>
      </c>
      <c r="I1470" t="b">
        <v>0</v>
      </c>
      <c r="J1470">
        <f t="shared" si="44"/>
        <v>0</v>
      </c>
      <c r="K1470" t="str">
        <f t="shared" si="45"/>
        <v>Neutral</v>
      </c>
    </row>
    <row r="1471" spans="1:11" x14ac:dyDescent="0.2">
      <c r="A1471" t="s">
        <v>1483</v>
      </c>
      <c r="B1471" t="s">
        <v>1484</v>
      </c>
      <c r="C1471" t="s">
        <v>1210</v>
      </c>
      <c r="D1471" t="s">
        <v>1485</v>
      </c>
      <c r="E1471" t="s">
        <v>4</v>
      </c>
      <c r="F1471">
        <v>964</v>
      </c>
      <c r="G1471">
        <v>2475</v>
      </c>
      <c r="H1471" t="s">
        <v>13</v>
      </c>
      <c r="I1471" t="b">
        <v>0</v>
      </c>
      <c r="J1471">
        <f t="shared" si="44"/>
        <v>0</v>
      </c>
      <c r="K1471" t="str">
        <f t="shared" si="45"/>
        <v>Neutral</v>
      </c>
    </row>
    <row r="1472" spans="1:11" x14ac:dyDescent="0.2">
      <c r="A1472" t="s">
        <v>6469</v>
      </c>
      <c r="B1472" t="s">
        <v>6470</v>
      </c>
      <c r="C1472" t="s">
        <v>1057</v>
      </c>
      <c r="D1472" t="s">
        <v>6471</v>
      </c>
      <c r="E1472" t="s">
        <v>4</v>
      </c>
      <c r="F1472">
        <v>14</v>
      </c>
      <c r="G1472">
        <v>71</v>
      </c>
      <c r="H1472" t="s">
        <v>13</v>
      </c>
      <c r="I1472" t="b">
        <v>0</v>
      </c>
      <c r="J1472">
        <f t="shared" si="44"/>
        <v>0</v>
      </c>
      <c r="K1472" t="str">
        <f t="shared" si="45"/>
        <v>Neutral</v>
      </c>
    </row>
    <row r="1473" spans="1:11" x14ac:dyDescent="0.2">
      <c r="A1473" t="s">
        <v>2809</v>
      </c>
      <c r="B1473" t="s">
        <v>2810</v>
      </c>
      <c r="C1473" t="s">
        <v>2811</v>
      </c>
      <c r="D1473" t="s">
        <v>3</v>
      </c>
      <c r="E1473" t="s">
        <v>4</v>
      </c>
      <c r="F1473">
        <v>191</v>
      </c>
      <c r="G1473">
        <v>104</v>
      </c>
      <c r="H1473" t="s">
        <v>13</v>
      </c>
      <c r="I1473" t="b">
        <v>0</v>
      </c>
      <c r="J1473">
        <f t="shared" si="44"/>
        <v>0</v>
      </c>
      <c r="K1473" t="str">
        <f t="shared" si="45"/>
        <v>Neutral</v>
      </c>
    </row>
    <row r="1474" spans="1:11" x14ac:dyDescent="0.2">
      <c r="A1474" t="s">
        <v>1897</v>
      </c>
      <c r="B1474" t="s">
        <v>1898</v>
      </c>
      <c r="C1474" t="s">
        <v>223</v>
      </c>
      <c r="D1474" t="s">
        <v>3</v>
      </c>
      <c r="E1474" t="s">
        <v>4</v>
      </c>
      <c r="F1474">
        <v>224</v>
      </c>
      <c r="G1474">
        <v>1407</v>
      </c>
      <c r="H1474" t="s">
        <v>13</v>
      </c>
      <c r="I1474" t="b">
        <v>0</v>
      </c>
      <c r="J1474">
        <f t="shared" si="44"/>
        <v>0</v>
      </c>
      <c r="K1474" t="str">
        <f t="shared" si="45"/>
        <v>Neutral</v>
      </c>
    </row>
    <row r="1475" spans="1:11" x14ac:dyDescent="0.2">
      <c r="A1475" t="s">
        <v>2026</v>
      </c>
      <c r="B1475" t="s">
        <v>2027</v>
      </c>
      <c r="C1475" t="s">
        <v>2028</v>
      </c>
      <c r="D1475" t="s">
        <v>1188</v>
      </c>
      <c r="E1475" t="s">
        <v>4</v>
      </c>
      <c r="F1475">
        <v>1314</v>
      </c>
      <c r="G1475">
        <v>2612</v>
      </c>
      <c r="H1475" t="s">
        <v>13</v>
      </c>
      <c r="I1475" t="b">
        <v>0</v>
      </c>
      <c r="J1475">
        <f t="shared" ref="J1475:J1538" si="46">sentimentCalc(B1475)</f>
        <v>0</v>
      </c>
      <c r="K1475" t="str">
        <f t="shared" ref="K1475:K1538" si="47">sentimentCategory(J1475)</f>
        <v>Neutral</v>
      </c>
    </row>
    <row r="1476" spans="1:11" x14ac:dyDescent="0.2">
      <c r="A1476" t="s">
        <v>6525</v>
      </c>
      <c r="B1476" t="s">
        <v>6526</v>
      </c>
      <c r="C1476" t="s">
        <v>6527</v>
      </c>
      <c r="D1476" t="s">
        <v>6528</v>
      </c>
      <c r="E1476" t="s">
        <v>4</v>
      </c>
      <c r="F1476">
        <v>119</v>
      </c>
      <c r="G1476">
        <v>73</v>
      </c>
      <c r="H1476" t="s">
        <v>13</v>
      </c>
      <c r="I1476" t="b">
        <v>0</v>
      </c>
      <c r="J1476">
        <f t="shared" si="46"/>
        <v>0</v>
      </c>
      <c r="K1476" t="str">
        <f t="shared" si="47"/>
        <v>Neutral</v>
      </c>
    </row>
    <row r="1477" spans="1:11" x14ac:dyDescent="0.2">
      <c r="A1477" t="s">
        <v>6738</v>
      </c>
      <c r="B1477" t="s">
        <v>6739</v>
      </c>
      <c r="C1477" t="s">
        <v>4609</v>
      </c>
      <c r="D1477" t="s">
        <v>403</v>
      </c>
      <c r="E1477" t="s">
        <v>4</v>
      </c>
      <c r="F1477">
        <v>35834</v>
      </c>
      <c r="G1477">
        <v>1551</v>
      </c>
      <c r="H1477" t="s">
        <v>13</v>
      </c>
      <c r="I1477" t="b">
        <v>0</v>
      </c>
      <c r="J1477">
        <f t="shared" si="46"/>
        <v>0</v>
      </c>
      <c r="K1477" t="str">
        <f t="shared" si="47"/>
        <v>Neutral</v>
      </c>
    </row>
    <row r="1478" spans="1:11" x14ac:dyDescent="0.2">
      <c r="A1478" t="s">
        <v>5174</v>
      </c>
      <c r="B1478" t="s">
        <v>5175</v>
      </c>
      <c r="C1478" t="s">
        <v>818</v>
      </c>
      <c r="D1478" t="s">
        <v>5009</v>
      </c>
      <c r="E1478" t="s">
        <v>4</v>
      </c>
      <c r="F1478">
        <v>0</v>
      </c>
      <c r="G1478">
        <v>1</v>
      </c>
      <c r="H1478" t="s">
        <v>13</v>
      </c>
      <c r="I1478" t="b">
        <v>0</v>
      </c>
      <c r="J1478">
        <f t="shared" si="46"/>
        <v>0</v>
      </c>
      <c r="K1478" t="str">
        <f t="shared" si="47"/>
        <v>Neutral</v>
      </c>
    </row>
    <row r="1479" spans="1:11" x14ac:dyDescent="0.2">
      <c r="A1479" t="s">
        <v>5325</v>
      </c>
      <c r="B1479" t="s">
        <v>5326</v>
      </c>
      <c r="C1479" t="s">
        <v>5327</v>
      </c>
      <c r="D1479" t="s">
        <v>569</v>
      </c>
      <c r="E1479" t="s">
        <v>4</v>
      </c>
      <c r="F1479">
        <v>249</v>
      </c>
      <c r="G1479">
        <v>547</v>
      </c>
      <c r="H1479" t="s">
        <v>13</v>
      </c>
      <c r="I1479" t="b">
        <v>0</v>
      </c>
      <c r="J1479">
        <f t="shared" si="46"/>
        <v>0</v>
      </c>
      <c r="K1479" t="str">
        <f t="shared" si="47"/>
        <v>Neutral</v>
      </c>
    </row>
    <row r="1480" spans="1:11" x14ac:dyDescent="0.2">
      <c r="A1480" t="s">
        <v>2168</v>
      </c>
      <c r="B1480" t="s">
        <v>2172</v>
      </c>
      <c r="C1480" t="s">
        <v>2173</v>
      </c>
      <c r="D1480" t="s">
        <v>2174</v>
      </c>
      <c r="E1480" t="s">
        <v>4</v>
      </c>
      <c r="F1480">
        <v>62084</v>
      </c>
      <c r="G1480">
        <v>346</v>
      </c>
      <c r="H1480" t="s">
        <v>86</v>
      </c>
      <c r="I1480" t="b">
        <v>0</v>
      </c>
      <c r="J1480">
        <f t="shared" si="46"/>
        <v>0</v>
      </c>
      <c r="K1480" t="str">
        <f t="shared" si="47"/>
        <v>Neutral</v>
      </c>
    </row>
    <row r="1481" spans="1:11" x14ac:dyDescent="0.2">
      <c r="A1481" t="s">
        <v>3239</v>
      </c>
      <c r="B1481" t="s">
        <v>3240</v>
      </c>
      <c r="C1481" t="s">
        <v>704</v>
      </c>
      <c r="D1481" t="s">
        <v>3241</v>
      </c>
      <c r="E1481" t="s">
        <v>4</v>
      </c>
      <c r="F1481">
        <v>178</v>
      </c>
      <c r="G1481">
        <v>150</v>
      </c>
      <c r="H1481" t="s">
        <v>13</v>
      </c>
      <c r="I1481" t="b">
        <v>0</v>
      </c>
      <c r="J1481">
        <f t="shared" si="46"/>
        <v>10</v>
      </c>
      <c r="K1481" t="str">
        <f t="shared" si="47"/>
        <v>Positive</v>
      </c>
    </row>
    <row r="1482" spans="1:11" x14ac:dyDescent="0.2">
      <c r="A1482" t="s">
        <v>2471</v>
      </c>
      <c r="B1482" t="s">
        <v>2472</v>
      </c>
      <c r="C1482" t="s">
        <v>1596</v>
      </c>
      <c r="D1482" t="s">
        <v>1597</v>
      </c>
      <c r="E1482" t="s">
        <v>4</v>
      </c>
      <c r="F1482">
        <v>4</v>
      </c>
      <c r="G1482">
        <v>0</v>
      </c>
      <c r="H1482" t="s">
        <v>13</v>
      </c>
      <c r="I1482" t="b">
        <v>0</v>
      </c>
      <c r="J1482">
        <f t="shared" si="46"/>
        <v>0</v>
      </c>
      <c r="K1482" t="str">
        <f t="shared" si="47"/>
        <v>Neutral</v>
      </c>
    </row>
    <row r="1483" spans="1:11" x14ac:dyDescent="0.2">
      <c r="A1483" t="s">
        <v>277</v>
      </c>
      <c r="B1483" t="s">
        <v>278</v>
      </c>
      <c r="C1483" t="s">
        <v>279</v>
      </c>
      <c r="D1483" t="s">
        <v>280</v>
      </c>
      <c r="E1483" t="s">
        <v>4</v>
      </c>
      <c r="F1483">
        <v>135</v>
      </c>
      <c r="G1483">
        <v>258</v>
      </c>
      <c r="H1483" t="s">
        <v>13</v>
      </c>
      <c r="I1483" t="b">
        <v>0</v>
      </c>
      <c r="J1483">
        <f t="shared" si="46"/>
        <v>10</v>
      </c>
      <c r="K1483" t="str">
        <f t="shared" si="47"/>
        <v>Positive</v>
      </c>
    </row>
    <row r="1484" spans="1:11" x14ac:dyDescent="0.2">
      <c r="A1484" t="s">
        <v>4744</v>
      </c>
      <c r="B1484" t="s">
        <v>4745</v>
      </c>
      <c r="C1484" t="s">
        <v>204</v>
      </c>
      <c r="D1484" t="s">
        <v>3</v>
      </c>
      <c r="E1484" t="s">
        <v>4</v>
      </c>
      <c r="F1484">
        <v>118</v>
      </c>
      <c r="G1484">
        <v>384</v>
      </c>
      <c r="H1484" t="s">
        <v>13</v>
      </c>
      <c r="I1484" t="b">
        <v>0</v>
      </c>
      <c r="J1484">
        <f t="shared" si="46"/>
        <v>0</v>
      </c>
      <c r="K1484" t="str">
        <f t="shared" si="47"/>
        <v>Neutral</v>
      </c>
    </row>
    <row r="1485" spans="1:11" x14ac:dyDescent="0.2">
      <c r="A1485" t="s">
        <v>6534</v>
      </c>
      <c r="B1485" t="s">
        <v>6535</v>
      </c>
      <c r="C1485" t="s">
        <v>3435</v>
      </c>
      <c r="D1485" t="s">
        <v>3</v>
      </c>
      <c r="E1485" t="s">
        <v>4</v>
      </c>
      <c r="F1485">
        <v>27</v>
      </c>
      <c r="G1485">
        <v>27</v>
      </c>
      <c r="H1485" t="s">
        <v>13</v>
      </c>
      <c r="I1485" t="b">
        <v>0</v>
      </c>
      <c r="J1485">
        <f t="shared" si="46"/>
        <v>0</v>
      </c>
      <c r="K1485" t="str">
        <f t="shared" si="47"/>
        <v>Neutral</v>
      </c>
    </row>
    <row r="1486" spans="1:11" x14ac:dyDescent="0.2">
      <c r="A1486" t="s">
        <v>2468</v>
      </c>
      <c r="B1486" t="s">
        <v>2469</v>
      </c>
      <c r="C1486" t="s">
        <v>2470</v>
      </c>
      <c r="D1486" t="s">
        <v>3</v>
      </c>
      <c r="E1486" t="s">
        <v>4</v>
      </c>
      <c r="F1486">
        <v>144</v>
      </c>
      <c r="G1486">
        <v>238</v>
      </c>
      <c r="H1486" t="s">
        <v>13</v>
      </c>
      <c r="I1486" t="b">
        <v>0</v>
      </c>
      <c r="J1486">
        <f t="shared" si="46"/>
        <v>0</v>
      </c>
      <c r="K1486" t="str">
        <f t="shared" si="47"/>
        <v>Neutral</v>
      </c>
    </row>
    <row r="1487" spans="1:11" x14ac:dyDescent="0.2">
      <c r="A1487" t="s">
        <v>563</v>
      </c>
      <c r="B1487" t="s">
        <v>564</v>
      </c>
      <c r="C1487" t="s">
        <v>565</v>
      </c>
      <c r="D1487" t="s">
        <v>566</v>
      </c>
      <c r="E1487" t="s">
        <v>4</v>
      </c>
      <c r="F1487">
        <v>499</v>
      </c>
      <c r="G1487">
        <v>352</v>
      </c>
      <c r="H1487" t="s">
        <v>5</v>
      </c>
      <c r="I1487" t="b">
        <v>0</v>
      </c>
      <c r="J1487">
        <f t="shared" si="46"/>
        <v>0</v>
      </c>
      <c r="K1487" t="str">
        <f t="shared" si="47"/>
        <v>Neutral</v>
      </c>
    </row>
    <row r="1488" spans="1:11" x14ac:dyDescent="0.2">
      <c r="A1488" t="s">
        <v>1937</v>
      </c>
      <c r="B1488" t="s">
        <v>1938</v>
      </c>
      <c r="C1488" t="s">
        <v>679</v>
      </c>
      <c r="D1488" t="s">
        <v>1939</v>
      </c>
      <c r="E1488" t="s">
        <v>4</v>
      </c>
      <c r="F1488">
        <v>48</v>
      </c>
      <c r="G1488">
        <v>139</v>
      </c>
      <c r="H1488" t="s">
        <v>13</v>
      </c>
      <c r="I1488" t="b">
        <v>0</v>
      </c>
      <c r="J1488">
        <f t="shared" si="46"/>
        <v>0</v>
      </c>
      <c r="K1488" t="str">
        <f t="shared" si="47"/>
        <v>Neutral</v>
      </c>
    </row>
    <row r="1489" spans="1:11" x14ac:dyDescent="0.2">
      <c r="A1489" t="s">
        <v>4329</v>
      </c>
      <c r="B1489" t="s">
        <v>4330</v>
      </c>
      <c r="C1489" t="s">
        <v>4331</v>
      </c>
      <c r="D1489" t="s">
        <v>4332</v>
      </c>
      <c r="E1489" t="s">
        <v>4</v>
      </c>
      <c r="F1489">
        <v>20</v>
      </c>
      <c r="G1489">
        <v>95</v>
      </c>
      <c r="H1489" t="s">
        <v>13</v>
      </c>
      <c r="I1489" t="b">
        <v>0</v>
      </c>
      <c r="J1489">
        <f t="shared" si="46"/>
        <v>0</v>
      </c>
      <c r="K1489" t="str">
        <f t="shared" si="47"/>
        <v>Neutral</v>
      </c>
    </row>
    <row r="1490" spans="1:11" x14ac:dyDescent="0.2">
      <c r="A1490" t="s">
        <v>3915</v>
      </c>
      <c r="B1490" t="s">
        <v>3916</v>
      </c>
      <c r="C1490" t="s">
        <v>3917</v>
      </c>
      <c r="D1490" t="s">
        <v>3</v>
      </c>
      <c r="E1490" t="s">
        <v>4</v>
      </c>
      <c r="F1490">
        <v>461</v>
      </c>
      <c r="G1490">
        <v>77</v>
      </c>
      <c r="H1490" t="s">
        <v>13</v>
      </c>
      <c r="I1490" t="b">
        <v>0</v>
      </c>
      <c r="J1490">
        <f t="shared" si="46"/>
        <v>0</v>
      </c>
      <c r="K1490" t="str">
        <f t="shared" si="47"/>
        <v>Neutral</v>
      </c>
    </row>
    <row r="1491" spans="1:11" x14ac:dyDescent="0.2">
      <c r="A1491" t="s">
        <v>4919</v>
      </c>
      <c r="B1491" t="s">
        <v>4920</v>
      </c>
      <c r="C1491" t="s">
        <v>4921</v>
      </c>
      <c r="D1491" t="s">
        <v>4922</v>
      </c>
      <c r="E1491" t="s">
        <v>4</v>
      </c>
      <c r="F1491">
        <v>248</v>
      </c>
      <c r="G1491">
        <v>173</v>
      </c>
      <c r="H1491" t="s">
        <v>13</v>
      </c>
      <c r="I1491" t="b">
        <v>0</v>
      </c>
      <c r="J1491">
        <f t="shared" si="46"/>
        <v>20</v>
      </c>
      <c r="K1491" t="str">
        <f t="shared" si="47"/>
        <v>Positive</v>
      </c>
    </row>
    <row r="1492" spans="1:11" x14ac:dyDescent="0.2">
      <c r="A1492" t="s">
        <v>5231</v>
      </c>
      <c r="B1492" t="s">
        <v>5232</v>
      </c>
      <c r="C1492" t="s">
        <v>730</v>
      </c>
      <c r="D1492" t="s">
        <v>3</v>
      </c>
      <c r="E1492" t="s">
        <v>4</v>
      </c>
      <c r="F1492">
        <v>49</v>
      </c>
      <c r="G1492">
        <v>146</v>
      </c>
      <c r="H1492" t="s">
        <v>13</v>
      </c>
      <c r="I1492" t="b">
        <v>0</v>
      </c>
      <c r="J1492">
        <f t="shared" si="46"/>
        <v>10</v>
      </c>
      <c r="K1492" t="str">
        <f t="shared" si="47"/>
        <v>Positive</v>
      </c>
    </row>
    <row r="1493" spans="1:11" x14ac:dyDescent="0.2">
      <c r="A1493" t="s">
        <v>310</v>
      </c>
      <c r="B1493" t="s">
        <v>311</v>
      </c>
      <c r="C1493" t="s">
        <v>312</v>
      </c>
      <c r="D1493" t="s">
        <v>3</v>
      </c>
      <c r="E1493" t="s">
        <v>4</v>
      </c>
      <c r="F1493">
        <v>90</v>
      </c>
      <c r="G1493">
        <v>117</v>
      </c>
      <c r="H1493" t="s">
        <v>50</v>
      </c>
      <c r="I1493" t="b">
        <v>0</v>
      </c>
      <c r="J1493">
        <f t="shared" si="46"/>
        <v>-10</v>
      </c>
      <c r="K1493" t="str">
        <f t="shared" si="47"/>
        <v>Negative</v>
      </c>
    </row>
    <row r="1494" spans="1:11" x14ac:dyDescent="0.2">
      <c r="A1494" t="s">
        <v>5962</v>
      </c>
      <c r="B1494" t="s">
        <v>5963</v>
      </c>
      <c r="C1494" t="s">
        <v>595</v>
      </c>
      <c r="D1494" t="s">
        <v>1027</v>
      </c>
      <c r="E1494" t="s">
        <v>4</v>
      </c>
      <c r="F1494">
        <v>296</v>
      </c>
      <c r="G1494">
        <v>202</v>
      </c>
      <c r="H1494" t="s">
        <v>13</v>
      </c>
      <c r="I1494" t="b">
        <v>0</v>
      </c>
      <c r="J1494">
        <f t="shared" si="46"/>
        <v>0</v>
      </c>
      <c r="K1494" t="str">
        <f t="shared" si="47"/>
        <v>Neutral</v>
      </c>
    </row>
    <row r="1495" spans="1:11" x14ac:dyDescent="0.2">
      <c r="A1495" t="s">
        <v>6988</v>
      </c>
      <c r="B1495" t="s">
        <v>6989</v>
      </c>
      <c r="C1495" t="s">
        <v>6990</v>
      </c>
      <c r="D1495" t="s">
        <v>3</v>
      </c>
      <c r="E1495" t="s">
        <v>4</v>
      </c>
      <c r="F1495">
        <v>1843</v>
      </c>
      <c r="G1495">
        <v>106</v>
      </c>
      <c r="H1495" t="s">
        <v>50</v>
      </c>
      <c r="I1495" t="b">
        <v>0</v>
      </c>
      <c r="J1495">
        <f t="shared" si="46"/>
        <v>0</v>
      </c>
      <c r="K1495" t="str">
        <f t="shared" si="47"/>
        <v>Neutral</v>
      </c>
    </row>
    <row r="1496" spans="1:11" x14ac:dyDescent="0.2">
      <c r="A1496" t="s">
        <v>4661</v>
      </c>
      <c r="B1496" t="s">
        <v>4662</v>
      </c>
      <c r="C1496" t="s">
        <v>1291</v>
      </c>
      <c r="D1496" t="s">
        <v>4663</v>
      </c>
      <c r="E1496" t="s">
        <v>4</v>
      </c>
      <c r="F1496">
        <v>24</v>
      </c>
      <c r="G1496">
        <v>163</v>
      </c>
      <c r="H1496" t="s">
        <v>13</v>
      </c>
      <c r="I1496" t="b">
        <v>0</v>
      </c>
      <c r="J1496">
        <f t="shared" si="46"/>
        <v>0</v>
      </c>
      <c r="K1496" t="str">
        <f t="shared" si="47"/>
        <v>Neutral</v>
      </c>
    </row>
    <row r="1497" spans="1:11" x14ac:dyDescent="0.2">
      <c r="A1497" t="s">
        <v>2296</v>
      </c>
      <c r="B1497" t="s">
        <v>2297</v>
      </c>
      <c r="C1497" t="s">
        <v>2298</v>
      </c>
      <c r="D1497" t="s">
        <v>2299</v>
      </c>
      <c r="E1497" t="s">
        <v>4</v>
      </c>
      <c r="F1497">
        <v>5041</v>
      </c>
      <c r="G1497">
        <v>1690</v>
      </c>
      <c r="H1497" t="s">
        <v>13</v>
      </c>
      <c r="I1497" t="b">
        <v>0</v>
      </c>
      <c r="J1497">
        <f t="shared" si="46"/>
        <v>0</v>
      </c>
      <c r="K1497" t="str">
        <f t="shared" si="47"/>
        <v>Neutral</v>
      </c>
    </row>
    <row r="1498" spans="1:11" x14ac:dyDescent="0.2">
      <c r="A1498" t="s">
        <v>4134</v>
      </c>
      <c r="B1498" t="s">
        <v>4135</v>
      </c>
      <c r="C1498" t="s">
        <v>999</v>
      </c>
      <c r="D1498" t="s">
        <v>4136</v>
      </c>
      <c r="E1498" t="s">
        <v>4</v>
      </c>
      <c r="F1498">
        <v>275</v>
      </c>
      <c r="G1498">
        <v>878</v>
      </c>
      <c r="H1498" t="s">
        <v>13</v>
      </c>
      <c r="I1498" t="b">
        <v>0</v>
      </c>
      <c r="J1498">
        <f t="shared" si="46"/>
        <v>0</v>
      </c>
      <c r="K1498" t="str">
        <f t="shared" si="47"/>
        <v>Neutral</v>
      </c>
    </row>
    <row r="1499" spans="1:11" x14ac:dyDescent="0.2">
      <c r="A1499" t="s">
        <v>2594</v>
      </c>
      <c r="B1499" t="s">
        <v>2595</v>
      </c>
      <c r="C1499" t="s">
        <v>2596</v>
      </c>
      <c r="D1499" t="s">
        <v>403</v>
      </c>
      <c r="E1499" t="s">
        <v>4</v>
      </c>
      <c r="F1499">
        <v>2450</v>
      </c>
      <c r="G1499">
        <v>2099</v>
      </c>
      <c r="H1499" t="s">
        <v>13</v>
      </c>
      <c r="I1499" t="b">
        <v>0</v>
      </c>
      <c r="J1499">
        <f t="shared" si="46"/>
        <v>0</v>
      </c>
      <c r="K1499" t="str">
        <f t="shared" si="47"/>
        <v>Neutral</v>
      </c>
    </row>
    <row r="1500" spans="1:11" x14ac:dyDescent="0.2">
      <c r="A1500" t="s">
        <v>6775</v>
      </c>
      <c r="B1500" t="s">
        <v>6776</v>
      </c>
      <c r="C1500" t="s">
        <v>1095</v>
      </c>
      <c r="D1500" t="s">
        <v>3</v>
      </c>
      <c r="E1500" t="s">
        <v>4</v>
      </c>
      <c r="F1500">
        <v>0</v>
      </c>
      <c r="G1500">
        <v>10</v>
      </c>
      <c r="H1500" t="s">
        <v>13</v>
      </c>
      <c r="I1500" t="b">
        <v>0</v>
      </c>
      <c r="J1500">
        <f t="shared" si="46"/>
        <v>0</v>
      </c>
      <c r="K1500" t="str">
        <f t="shared" si="47"/>
        <v>Neutral</v>
      </c>
    </row>
    <row r="1501" spans="1:11" x14ac:dyDescent="0.2">
      <c r="A1501" t="s">
        <v>6120</v>
      </c>
      <c r="B1501" t="s">
        <v>6121</v>
      </c>
      <c r="C1501" t="s">
        <v>1522</v>
      </c>
      <c r="D1501" t="s">
        <v>3</v>
      </c>
      <c r="E1501" t="s">
        <v>4</v>
      </c>
      <c r="F1501">
        <v>766</v>
      </c>
      <c r="G1501">
        <v>20</v>
      </c>
      <c r="H1501" t="s">
        <v>13</v>
      </c>
      <c r="I1501" t="b">
        <v>0</v>
      </c>
      <c r="J1501">
        <f t="shared" si="46"/>
        <v>0</v>
      </c>
      <c r="K1501" t="str">
        <f t="shared" si="47"/>
        <v>Neutral</v>
      </c>
    </row>
    <row r="1502" spans="1:11" x14ac:dyDescent="0.2">
      <c r="A1502" t="s">
        <v>4886</v>
      </c>
      <c r="B1502" t="s">
        <v>4887</v>
      </c>
      <c r="C1502" t="s">
        <v>1750</v>
      </c>
      <c r="D1502" t="s">
        <v>3</v>
      </c>
      <c r="E1502" t="s">
        <v>4</v>
      </c>
      <c r="F1502">
        <v>1950</v>
      </c>
      <c r="G1502">
        <v>1914</v>
      </c>
      <c r="H1502" t="s">
        <v>13</v>
      </c>
      <c r="I1502" t="b">
        <v>0</v>
      </c>
      <c r="J1502">
        <f t="shared" si="46"/>
        <v>0</v>
      </c>
      <c r="K1502" t="str">
        <f t="shared" si="47"/>
        <v>Neutral</v>
      </c>
    </row>
    <row r="1503" spans="1:11" x14ac:dyDescent="0.2">
      <c r="A1503" t="s">
        <v>5424</v>
      </c>
      <c r="B1503" t="s">
        <v>5425</v>
      </c>
      <c r="C1503" t="s">
        <v>93</v>
      </c>
      <c r="D1503" t="s">
        <v>94</v>
      </c>
      <c r="E1503" t="s">
        <v>4</v>
      </c>
      <c r="F1503">
        <v>136</v>
      </c>
      <c r="G1503">
        <v>11</v>
      </c>
      <c r="H1503" t="s">
        <v>13</v>
      </c>
      <c r="I1503" t="b">
        <v>0</v>
      </c>
      <c r="J1503">
        <f t="shared" si="46"/>
        <v>10</v>
      </c>
      <c r="K1503" t="str">
        <f t="shared" si="47"/>
        <v>Positive</v>
      </c>
    </row>
    <row r="1504" spans="1:11" x14ac:dyDescent="0.2">
      <c r="A1504" t="s">
        <v>91</v>
      </c>
      <c r="B1504" t="s">
        <v>92</v>
      </c>
      <c r="C1504" t="s">
        <v>93</v>
      </c>
      <c r="D1504" t="s">
        <v>94</v>
      </c>
      <c r="E1504" t="s">
        <v>4</v>
      </c>
      <c r="F1504">
        <v>136</v>
      </c>
      <c r="G1504">
        <v>11</v>
      </c>
      <c r="H1504" t="s">
        <v>13</v>
      </c>
      <c r="I1504" t="b">
        <v>0</v>
      </c>
      <c r="J1504">
        <f t="shared" si="46"/>
        <v>0</v>
      </c>
      <c r="K1504" t="str">
        <f t="shared" si="47"/>
        <v>Neutral</v>
      </c>
    </row>
    <row r="1505" spans="1:11" x14ac:dyDescent="0.2">
      <c r="A1505" t="s">
        <v>3619</v>
      </c>
      <c r="B1505" t="s">
        <v>3620</v>
      </c>
      <c r="C1505" t="s">
        <v>884</v>
      </c>
      <c r="D1505" t="s">
        <v>109</v>
      </c>
      <c r="E1505" t="s">
        <v>4</v>
      </c>
      <c r="F1505">
        <v>774</v>
      </c>
      <c r="G1505">
        <v>626</v>
      </c>
      <c r="H1505" t="s">
        <v>13</v>
      </c>
      <c r="I1505" t="b">
        <v>0</v>
      </c>
      <c r="J1505">
        <f t="shared" si="46"/>
        <v>0</v>
      </c>
      <c r="K1505" t="str">
        <f t="shared" si="47"/>
        <v>Neutral</v>
      </c>
    </row>
    <row r="1506" spans="1:11" x14ac:dyDescent="0.2">
      <c r="A1506" t="s">
        <v>495</v>
      </c>
      <c r="B1506" t="s">
        <v>496</v>
      </c>
      <c r="C1506" t="s">
        <v>193</v>
      </c>
      <c r="D1506" t="s">
        <v>194</v>
      </c>
      <c r="E1506" t="s">
        <v>4</v>
      </c>
      <c r="F1506">
        <v>1181</v>
      </c>
      <c r="G1506">
        <v>766</v>
      </c>
      <c r="H1506" t="s">
        <v>13</v>
      </c>
      <c r="I1506" t="b">
        <v>0</v>
      </c>
      <c r="J1506">
        <f t="shared" si="46"/>
        <v>0</v>
      </c>
      <c r="K1506" t="str">
        <f t="shared" si="47"/>
        <v>Neutral</v>
      </c>
    </row>
    <row r="1507" spans="1:11" x14ac:dyDescent="0.2">
      <c r="A1507" t="s">
        <v>1853</v>
      </c>
      <c r="B1507" t="s">
        <v>1854</v>
      </c>
      <c r="C1507" t="s">
        <v>1855</v>
      </c>
      <c r="D1507" t="s">
        <v>3</v>
      </c>
      <c r="E1507" t="s">
        <v>4</v>
      </c>
      <c r="F1507">
        <v>25</v>
      </c>
      <c r="G1507">
        <v>109</v>
      </c>
      <c r="H1507" t="s">
        <v>13</v>
      </c>
      <c r="I1507" t="b">
        <v>0</v>
      </c>
      <c r="J1507">
        <f t="shared" si="46"/>
        <v>0</v>
      </c>
      <c r="K1507" t="str">
        <f t="shared" si="47"/>
        <v>Neutral</v>
      </c>
    </row>
    <row r="1508" spans="1:11" x14ac:dyDescent="0.2">
      <c r="A1508" t="s">
        <v>5720</v>
      </c>
      <c r="B1508" t="s">
        <v>5721</v>
      </c>
      <c r="C1508" t="s">
        <v>301</v>
      </c>
      <c r="D1508" t="s">
        <v>837</v>
      </c>
      <c r="E1508" t="s">
        <v>4</v>
      </c>
      <c r="F1508">
        <v>7</v>
      </c>
      <c r="G1508">
        <v>21</v>
      </c>
      <c r="H1508" t="s">
        <v>13</v>
      </c>
      <c r="I1508" t="b">
        <v>0</v>
      </c>
      <c r="J1508">
        <f t="shared" si="46"/>
        <v>0</v>
      </c>
      <c r="K1508" t="str">
        <f t="shared" si="47"/>
        <v>Neutral</v>
      </c>
    </row>
    <row r="1509" spans="1:11" x14ac:dyDescent="0.2">
      <c r="A1509" t="s">
        <v>1332</v>
      </c>
      <c r="B1509" t="s">
        <v>1333</v>
      </c>
      <c r="C1509" t="s">
        <v>1334</v>
      </c>
      <c r="D1509" t="s">
        <v>3</v>
      </c>
      <c r="E1509" t="s">
        <v>4</v>
      </c>
      <c r="F1509">
        <v>4793</v>
      </c>
      <c r="G1509">
        <v>5034</v>
      </c>
      <c r="H1509" t="s">
        <v>5</v>
      </c>
      <c r="I1509" t="b">
        <v>0</v>
      </c>
      <c r="J1509">
        <f t="shared" si="46"/>
        <v>10</v>
      </c>
      <c r="K1509" t="str">
        <f t="shared" si="47"/>
        <v>Positive</v>
      </c>
    </row>
    <row r="1510" spans="1:11" x14ac:dyDescent="0.2">
      <c r="A1510" t="s">
        <v>1175</v>
      </c>
      <c r="B1510" t="s">
        <v>1177</v>
      </c>
      <c r="C1510" t="s">
        <v>93</v>
      </c>
      <c r="D1510" t="s">
        <v>1178</v>
      </c>
      <c r="E1510" t="s">
        <v>4</v>
      </c>
      <c r="F1510">
        <v>41</v>
      </c>
      <c r="G1510">
        <v>6</v>
      </c>
      <c r="H1510" t="s">
        <v>13</v>
      </c>
      <c r="I1510" t="b">
        <v>0</v>
      </c>
      <c r="J1510">
        <f t="shared" si="46"/>
        <v>0</v>
      </c>
      <c r="K1510" t="str">
        <f t="shared" si="47"/>
        <v>Neutral</v>
      </c>
    </row>
    <row r="1511" spans="1:11" x14ac:dyDescent="0.2">
      <c r="A1511" t="s">
        <v>979</v>
      </c>
      <c r="B1511" t="s">
        <v>980</v>
      </c>
      <c r="C1511" t="s">
        <v>293</v>
      </c>
      <c r="D1511" t="s">
        <v>3</v>
      </c>
      <c r="E1511" t="s">
        <v>4</v>
      </c>
      <c r="F1511">
        <v>3632</v>
      </c>
      <c r="G1511">
        <v>3728</v>
      </c>
      <c r="H1511" t="s">
        <v>13</v>
      </c>
      <c r="I1511" t="b">
        <v>0</v>
      </c>
      <c r="J1511">
        <f t="shared" si="46"/>
        <v>0</v>
      </c>
      <c r="K1511" t="str">
        <f t="shared" si="47"/>
        <v>Neutral</v>
      </c>
    </row>
    <row r="1512" spans="1:11" x14ac:dyDescent="0.2">
      <c r="A1512" t="s">
        <v>3009</v>
      </c>
      <c r="B1512" t="s">
        <v>3010</v>
      </c>
      <c r="C1512" t="s">
        <v>3011</v>
      </c>
      <c r="D1512" t="s">
        <v>3</v>
      </c>
      <c r="E1512" t="s">
        <v>4</v>
      </c>
      <c r="F1512">
        <v>10187</v>
      </c>
      <c r="G1512">
        <v>5143</v>
      </c>
      <c r="H1512" t="s">
        <v>13</v>
      </c>
      <c r="I1512" t="b">
        <v>0</v>
      </c>
      <c r="J1512">
        <f t="shared" si="46"/>
        <v>0</v>
      </c>
      <c r="K1512" t="str">
        <f t="shared" si="47"/>
        <v>Neutral</v>
      </c>
    </row>
    <row r="1513" spans="1:11" x14ac:dyDescent="0.2">
      <c r="A1513" t="s">
        <v>4526</v>
      </c>
      <c r="B1513" t="s">
        <v>4527</v>
      </c>
      <c r="C1513" t="s">
        <v>4528</v>
      </c>
      <c r="D1513" t="s">
        <v>4529</v>
      </c>
      <c r="E1513" t="s">
        <v>4</v>
      </c>
      <c r="F1513">
        <v>112</v>
      </c>
      <c r="G1513">
        <v>302</v>
      </c>
      <c r="H1513" t="s">
        <v>13</v>
      </c>
      <c r="I1513" t="b">
        <v>0</v>
      </c>
      <c r="J1513">
        <f t="shared" si="46"/>
        <v>0</v>
      </c>
      <c r="K1513" t="str">
        <f t="shared" si="47"/>
        <v>Neutral</v>
      </c>
    </row>
    <row r="1514" spans="1:11" x14ac:dyDescent="0.2">
      <c r="A1514" t="s">
        <v>5862</v>
      </c>
      <c r="B1514" t="s">
        <v>5863</v>
      </c>
      <c r="C1514" t="s">
        <v>85</v>
      </c>
      <c r="D1514" t="s">
        <v>3</v>
      </c>
      <c r="E1514" t="s">
        <v>4</v>
      </c>
      <c r="F1514">
        <v>5</v>
      </c>
      <c r="G1514">
        <v>376</v>
      </c>
      <c r="H1514" t="s">
        <v>13</v>
      </c>
      <c r="I1514" t="b">
        <v>0</v>
      </c>
      <c r="J1514">
        <f t="shared" si="46"/>
        <v>0</v>
      </c>
      <c r="K1514" t="str">
        <f t="shared" si="47"/>
        <v>Neutral</v>
      </c>
    </row>
    <row r="1515" spans="1:11" x14ac:dyDescent="0.2">
      <c r="A1515" t="s">
        <v>3757</v>
      </c>
      <c r="B1515" t="s">
        <v>3758</v>
      </c>
      <c r="C1515" t="s">
        <v>3759</v>
      </c>
      <c r="D1515" t="s">
        <v>3760</v>
      </c>
      <c r="E1515" t="s">
        <v>4</v>
      </c>
      <c r="F1515">
        <v>19</v>
      </c>
      <c r="G1515">
        <v>8</v>
      </c>
      <c r="H1515" t="s">
        <v>13</v>
      </c>
      <c r="I1515" t="b">
        <v>0</v>
      </c>
      <c r="J1515">
        <f t="shared" si="46"/>
        <v>0</v>
      </c>
      <c r="K1515" t="str">
        <f t="shared" si="47"/>
        <v>Neutral</v>
      </c>
    </row>
    <row r="1516" spans="1:11" x14ac:dyDescent="0.2">
      <c r="A1516" t="s">
        <v>5604</v>
      </c>
      <c r="B1516" t="s">
        <v>5605</v>
      </c>
      <c r="C1516" t="s">
        <v>3797</v>
      </c>
      <c r="D1516" t="s">
        <v>3</v>
      </c>
      <c r="E1516" t="s">
        <v>4</v>
      </c>
      <c r="F1516">
        <v>11</v>
      </c>
      <c r="G1516">
        <v>39</v>
      </c>
      <c r="H1516" t="s">
        <v>13</v>
      </c>
      <c r="I1516" t="b">
        <v>0</v>
      </c>
      <c r="J1516">
        <f t="shared" si="46"/>
        <v>0</v>
      </c>
      <c r="K1516" t="str">
        <f t="shared" si="47"/>
        <v>Neutral</v>
      </c>
    </row>
    <row r="1517" spans="1:11" x14ac:dyDescent="0.2">
      <c r="A1517" t="s">
        <v>1093</v>
      </c>
      <c r="B1517" t="s">
        <v>1094</v>
      </c>
      <c r="C1517" t="s">
        <v>1095</v>
      </c>
      <c r="D1517" t="s">
        <v>1096</v>
      </c>
      <c r="E1517" t="s">
        <v>4</v>
      </c>
      <c r="F1517">
        <v>386</v>
      </c>
      <c r="G1517">
        <v>407</v>
      </c>
      <c r="H1517" t="s">
        <v>645</v>
      </c>
      <c r="I1517" t="b">
        <v>0</v>
      </c>
      <c r="J1517">
        <f t="shared" si="46"/>
        <v>0</v>
      </c>
      <c r="K1517" t="str">
        <f t="shared" si="47"/>
        <v>Neutral</v>
      </c>
    </row>
    <row r="1518" spans="1:11" x14ac:dyDescent="0.2">
      <c r="A1518" t="s">
        <v>5040</v>
      </c>
      <c r="B1518" t="s">
        <v>5041</v>
      </c>
      <c r="C1518" t="s">
        <v>171</v>
      </c>
      <c r="D1518" t="s">
        <v>644</v>
      </c>
      <c r="E1518" t="s">
        <v>4</v>
      </c>
      <c r="F1518">
        <v>3259</v>
      </c>
      <c r="G1518">
        <v>2</v>
      </c>
      <c r="H1518" t="s">
        <v>645</v>
      </c>
      <c r="I1518" t="b">
        <v>0</v>
      </c>
      <c r="J1518">
        <f t="shared" si="46"/>
        <v>-10</v>
      </c>
      <c r="K1518" t="str">
        <f t="shared" si="47"/>
        <v>Negative</v>
      </c>
    </row>
    <row r="1519" spans="1:11" x14ac:dyDescent="0.2">
      <c r="A1519" t="s">
        <v>4397</v>
      </c>
      <c r="B1519" t="s">
        <v>4398</v>
      </c>
      <c r="C1519" t="s">
        <v>4399</v>
      </c>
      <c r="D1519" t="s">
        <v>3</v>
      </c>
      <c r="E1519" t="s">
        <v>4</v>
      </c>
      <c r="F1519">
        <v>25</v>
      </c>
      <c r="G1519">
        <v>222</v>
      </c>
      <c r="H1519" t="s">
        <v>86</v>
      </c>
      <c r="I1519" t="b">
        <v>0</v>
      </c>
      <c r="J1519">
        <f t="shared" si="46"/>
        <v>0</v>
      </c>
      <c r="K1519" t="str">
        <f t="shared" si="47"/>
        <v>Neutral</v>
      </c>
    </row>
    <row r="1520" spans="1:11" x14ac:dyDescent="0.2">
      <c r="A1520" t="s">
        <v>642</v>
      </c>
      <c r="B1520" t="s">
        <v>643</v>
      </c>
      <c r="C1520" t="s">
        <v>171</v>
      </c>
      <c r="D1520" t="s">
        <v>644</v>
      </c>
      <c r="E1520" t="s">
        <v>4</v>
      </c>
      <c r="F1520">
        <v>3259</v>
      </c>
      <c r="G1520">
        <v>2</v>
      </c>
      <c r="H1520" t="s">
        <v>645</v>
      </c>
      <c r="I1520" t="b">
        <v>0</v>
      </c>
      <c r="J1520">
        <f t="shared" si="46"/>
        <v>10</v>
      </c>
      <c r="K1520" t="str">
        <f t="shared" si="47"/>
        <v>Positive</v>
      </c>
    </row>
    <row r="1521" spans="1:11" x14ac:dyDescent="0.2">
      <c r="A1521" t="s">
        <v>6479</v>
      </c>
      <c r="B1521" t="s">
        <v>6480</v>
      </c>
      <c r="C1521" t="s">
        <v>171</v>
      </c>
      <c r="D1521" t="s">
        <v>644</v>
      </c>
      <c r="E1521" t="s">
        <v>4</v>
      </c>
      <c r="F1521">
        <v>3258</v>
      </c>
      <c r="G1521">
        <v>2</v>
      </c>
      <c r="H1521" t="s">
        <v>645</v>
      </c>
      <c r="I1521" t="b">
        <v>0</v>
      </c>
      <c r="J1521">
        <f t="shared" si="46"/>
        <v>10</v>
      </c>
      <c r="K1521" t="str">
        <f t="shared" si="47"/>
        <v>Positive</v>
      </c>
    </row>
    <row r="1522" spans="1:11" x14ac:dyDescent="0.2">
      <c r="A1522" t="s">
        <v>213</v>
      </c>
      <c r="B1522" t="s">
        <v>214</v>
      </c>
      <c r="C1522" t="s">
        <v>215</v>
      </c>
      <c r="D1522" t="s">
        <v>216</v>
      </c>
      <c r="E1522" t="s">
        <v>4</v>
      </c>
      <c r="F1522">
        <v>1315</v>
      </c>
      <c r="G1522">
        <v>541</v>
      </c>
      <c r="H1522" t="s">
        <v>13</v>
      </c>
      <c r="I1522" t="b">
        <v>0</v>
      </c>
      <c r="J1522">
        <f t="shared" si="46"/>
        <v>10</v>
      </c>
      <c r="K1522" t="str">
        <f t="shared" si="47"/>
        <v>Positive</v>
      </c>
    </row>
    <row r="1523" spans="1:11" x14ac:dyDescent="0.2">
      <c r="A1523" t="s">
        <v>6663</v>
      </c>
      <c r="B1523" t="s">
        <v>6664</v>
      </c>
      <c r="C1523" t="s">
        <v>429</v>
      </c>
      <c r="D1523" t="s">
        <v>3</v>
      </c>
      <c r="E1523" t="s">
        <v>4</v>
      </c>
      <c r="F1523">
        <v>19</v>
      </c>
      <c r="G1523">
        <v>277</v>
      </c>
      <c r="H1523" t="s">
        <v>13</v>
      </c>
      <c r="I1523" t="b">
        <v>0</v>
      </c>
      <c r="J1523">
        <f t="shared" si="46"/>
        <v>0</v>
      </c>
      <c r="K1523" t="str">
        <f t="shared" si="47"/>
        <v>Neutral</v>
      </c>
    </row>
    <row r="1524" spans="1:11" x14ac:dyDescent="0.2">
      <c r="A1524" t="s">
        <v>4408</v>
      </c>
      <c r="B1524" t="s">
        <v>4409</v>
      </c>
      <c r="C1524" t="s">
        <v>2577</v>
      </c>
      <c r="D1524" t="s">
        <v>4410</v>
      </c>
      <c r="E1524" t="s">
        <v>4</v>
      </c>
      <c r="F1524">
        <v>3975</v>
      </c>
      <c r="G1524">
        <v>877</v>
      </c>
      <c r="H1524" t="s">
        <v>13</v>
      </c>
      <c r="I1524" t="b">
        <v>0</v>
      </c>
      <c r="J1524">
        <f t="shared" si="46"/>
        <v>0</v>
      </c>
      <c r="K1524" t="str">
        <f t="shared" si="47"/>
        <v>Neutral</v>
      </c>
    </row>
    <row r="1525" spans="1:11" x14ac:dyDescent="0.2">
      <c r="A1525" t="s">
        <v>5542</v>
      </c>
      <c r="B1525" t="s">
        <v>5543</v>
      </c>
      <c r="C1525" t="s">
        <v>2065</v>
      </c>
      <c r="D1525" t="s">
        <v>3</v>
      </c>
      <c r="E1525" t="s">
        <v>4</v>
      </c>
      <c r="F1525">
        <v>3518</v>
      </c>
      <c r="G1525">
        <v>990</v>
      </c>
      <c r="H1525" t="s">
        <v>13</v>
      </c>
      <c r="I1525" t="b">
        <v>0</v>
      </c>
      <c r="J1525">
        <f t="shared" si="46"/>
        <v>10</v>
      </c>
      <c r="K1525" t="str">
        <f t="shared" si="47"/>
        <v>Positive</v>
      </c>
    </row>
    <row r="1526" spans="1:11" x14ac:dyDescent="0.2">
      <c r="A1526" t="s">
        <v>5925</v>
      </c>
      <c r="B1526" t="s">
        <v>5926</v>
      </c>
      <c r="C1526" t="s">
        <v>293</v>
      </c>
      <c r="D1526" t="s">
        <v>5927</v>
      </c>
      <c r="E1526" t="s">
        <v>4</v>
      </c>
      <c r="F1526">
        <v>248</v>
      </c>
      <c r="G1526">
        <v>48</v>
      </c>
      <c r="H1526" t="s">
        <v>13</v>
      </c>
      <c r="I1526" t="b">
        <v>0</v>
      </c>
      <c r="J1526">
        <f t="shared" si="46"/>
        <v>0</v>
      </c>
      <c r="K1526" t="str">
        <f t="shared" si="47"/>
        <v>Neutral</v>
      </c>
    </row>
    <row r="1527" spans="1:11" x14ac:dyDescent="0.2">
      <c r="A1527" t="s">
        <v>5746</v>
      </c>
      <c r="B1527" t="s">
        <v>5747</v>
      </c>
      <c r="C1527" t="s">
        <v>1685</v>
      </c>
      <c r="D1527" t="s">
        <v>5748</v>
      </c>
      <c r="E1527" t="s">
        <v>4</v>
      </c>
      <c r="F1527">
        <v>175</v>
      </c>
      <c r="G1527">
        <v>296</v>
      </c>
      <c r="H1527" t="s">
        <v>13</v>
      </c>
      <c r="I1527" t="b">
        <v>0</v>
      </c>
      <c r="J1527">
        <f t="shared" si="46"/>
        <v>0</v>
      </c>
      <c r="K1527" t="str">
        <f t="shared" si="47"/>
        <v>Neutral</v>
      </c>
    </row>
    <row r="1528" spans="1:11" x14ac:dyDescent="0.2">
      <c r="A1528" t="s">
        <v>1397</v>
      </c>
      <c r="B1528" t="s">
        <v>1398</v>
      </c>
      <c r="C1528" t="s">
        <v>945</v>
      </c>
      <c r="D1528" t="s">
        <v>1399</v>
      </c>
      <c r="E1528" t="s">
        <v>4</v>
      </c>
      <c r="F1528">
        <v>373</v>
      </c>
      <c r="G1528">
        <v>73</v>
      </c>
      <c r="H1528" t="s">
        <v>13</v>
      </c>
      <c r="I1528" t="b">
        <v>0</v>
      </c>
      <c r="J1528">
        <f t="shared" si="46"/>
        <v>0</v>
      </c>
      <c r="K1528" t="str">
        <f t="shared" si="47"/>
        <v>Neutral</v>
      </c>
    </row>
    <row r="1529" spans="1:11" x14ac:dyDescent="0.2">
      <c r="A1529" t="s">
        <v>6152</v>
      </c>
      <c r="B1529" t="s">
        <v>6153</v>
      </c>
      <c r="C1529" t="s">
        <v>5479</v>
      </c>
      <c r="D1529" t="s">
        <v>6154</v>
      </c>
      <c r="E1529" t="s">
        <v>4</v>
      </c>
      <c r="F1529">
        <v>283</v>
      </c>
      <c r="G1529">
        <v>181</v>
      </c>
      <c r="H1529" t="s">
        <v>13</v>
      </c>
      <c r="I1529" t="b">
        <v>0</v>
      </c>
      <c r="J1529">
        <f t="shared" si="46"/>
        <v>0</v>
      </c>
      <c r="K1529" t="str">
        <f t="shared" si="47"/>
        <v>Neutral</v>
      </c>
    </row>
    <row r="1530" spans="1:11" x14ac:dyDescent="0.2">
      <c r="A1530" t="s">
        <v>3754</v>
      </c>
      <c r="B1530" t="s">
        <v>3755</v>
      </c>
      <c r="C1530" t="s">
        <v>3448</v>
      </c>
      <c r="D1530" t="s">
        <v>3756</v>
      </c>
      <c r="E1530" t="s">
        <v>4</v>
      </c>
      <c r="F1530">
        <v>16</v>
      </c>
      <c r="G1530">
        <v>100</v>
      </c>
      <c r="H1530" t="s">
        <v>13</v>
      </c>
      <c r="I1530" t="b">
        <v>0</v>
      </c>
      <c r="J1530">
        <f t="shared" si="46"/>
        <v>0</v>
      </c>
      <c r="K1530" t="str">
        <f t="shared" si="47"/>
        <v>Neutral</v>
      </c>
    </row>
    <row r="1531" spans="1:11" x14ac:dyDescent="0.2">
      <c r="A1531" t="s">
        <v>3071</v>
      </c>
      <c r="B1531" t="s">
        <v>3072</v>
      </c>
      <c r="C1531" t="s">
        <v>3073</v>
      </c>
      <c r="D1531" t="s">
        <v>3</v>
      </c>
      <c r="E1531" t="s">
        <v>4</v>
      </c>
      <c r="F1531">
        <v>121</v>
      </c>
      <c r="G1531">
        <v>119</v>
      </c>
      <c r="H1531" t="s">
        <v>13</v>
      </c>
      <c r="I1531" t="b">
        <v>0</v>
      </c>
      <c r="J1531">
        <f t="shared" si="46"/>
        <v>0</v>
      </c>
      <c r="K1531" t="str">
        <f t="shared" si="47"/>
        <v>Neutral</v>
      </c>
    </row>
    <row r="1532" spans="1:11" x14ac:dyDescent="0.2">
      <c r="A1532" t="s">
        <v>4012</v>
      </c>
      <c r="B1532" t="s">
        <v>4013</v>
      </c>
      <c r="C1532" t="s">
        <v>4014</v>
      </c>
      <c r="D1532" t="s">
        <v>3</v>
      </c>
      <c r="E1532" t="s">
        <v>4</v>
      </c>
      <c r="F1532">
        <v>72</v>
      </c>
      <c r="G1532">
        <v>239</v>
      </c>
      <c r="H1532" t="s">
        <v>13</v>
      </c>
      <c r="I1532" t="b">
        <v>0</v>
      </c>
      <c r="J1532">
        <f t="shared" si="46"/>
        <v>0</v>
      </c>
      <c r="K1532" t="str">
        <f t="shared" si="47"/>
        <v>Neutral</v>
      </c>
    </row>
    <row r="1533" spans="1:11" x14ac:dyDescent="0.2">
      <c r="A1533" t="s">
        <v>2104</v>
      </c>
      <c r="B1533" t="s">
        <v>2105</v>
      </c>
      <c r="C1533" t="s">
        <v>2106</v>
      </c>
      <c r="D1533" t="s">
        <v>932</v>
      </c>
      <c r="E1533" t="s">
        <v>4</v>
      </c>
      <c r="F1533">
        <v>26</v>
      </c>
      <c r="G1533">
        <v>167</v>
      </c>
      <c r="H1533" t="s">
        <v>13</v>
      </c>
      <c r="I1533" t="b">
        <v>0</v>
      </c>
      <c r="J1533">
        <f t="shared" si="46"/>
        <v>0</v>
      </c>
      <c r="K1533" t="str">
        <f t="shared" si="47"/>
        <v>Neutral</v>
      </c>
    </row>
    <row r="1534" spans="1:11" x14ac:dyDescent="0.2">
      <c r="A1534" t="s">
        <v>4154</v>
      </c>
      <c r="B1534" t="s">
        <v>4155</v>
      </c>
      <c r="C1534" t="s">
        <v>177</v>
      </c>
      <c r="D1534" t="s">
        <v>3</v>
      </c>
      <c r="E1534" t="s">
        <v>4</v>
      </c>
      <c r="F1534">
        <v>184</v>
      </c>
      <c r="G1534">
        <v>70</v>
      </c>
      <c r="H1534" t="s">
        <v>13</v>
      </c>
      <c r="I1534" t="b">
        <v>0</v>
      </c>
      <c r="J1534">
        <f t="shared" si="46"/>
        <v>0</v>
      </c>
      <c r="K1534" t="str">
        <f t="shared" si="47"/>
        <v>Neutral</v>
      </c>
    </row>
    <row r="1535" spans="1:11" x14ac:dyDescent="0.2">
      <c r="A1535" t="s">
        <v>6840</v>
      </c>
      <c r="B1535" t="s">
        <v>6841</v>
      </c>
      <c r="C1535" t="s">
        <v>1409</v>
      </c>
      <c r="D1535" t="s">
        <v>3</v>
      </c>
      <c r="E1535" t="s">
        <v>4</v>
      </c>
      <c r="F1535">
        <v>2</v>
      </c>
      <c r="G1535">
        <v>23</v>
      </c>
      <c r="H1535" t="s">
        <v>13</v>
      </c>
      <c r="I1535" t="b">
        <v>0</v>
      </c>
      <c r="J1535">
        <f t="shared" si="46"/>
        <v>10</v>
      </c>
      <c r="K1535" t="str">
        <f t="shared" si="47"/>
        <v>Positive</v>
      </c>
    </row>
    <row r="1536" spans="1:11" x14ac:dyDescent="0.2">
      <c r="A1536" t="s">
        <v>4432</v>
      </c>
      <c r="B1536" t="s">
        <v>4433</v>
      </c>
      <c r="C1536" t="s">
        <v>4434</v>
      </c>
      <c r="D1536" t="s">
        <v>4435</v>
      </c>
      <c r="E1536" t="s">
        <v>4</v>
      </c>
      <c r="F1536">
        <v>4</v>
      </c>
      <c r="G1536">
        <v>51</v>
      </c>
      <c r="H1536" t="s">
        <v>13</v>
      </c>
      <c r="I1536" t="b">
        <v>0</v>
      </c>
      <c r="J1536">
        <f t="shared" si="46"/>
        <v>0</v>
      </c>
      <c r="K1536" t="str">
        <f t="shared" si="47"/>
        <v>Neutral</v>
      </c>
    </row>
    <row r="1537" spans="1:11" x14ac:dyDescent="0.2">
      <c r="A1537" t="s">
        <v>6366</v>
      </c>
      <c r="B1537" t="s">
        <v>6367</v>
      </c>
      <c r="C1537" t="s">
        <v>24</v>
      </c>
      <c r="D1537" t="s">
        <v>1740</v>
      </c>
      <c r="E1537" t="s">
        <v>4</v>
      </c>
      <c r="F1537">
        <v>312</v>
      </c>
      <c r="G1537">
        <v>498</v>
      </c>
      <c r="H1537" t="s">
        <v>13</v>
      </c>
      <c r="I1537" t="b">
        <v>0</v>
      </c>
      <c r="J1537">
        <f t="shared" si="46"/>
        <v>10</v>
      </c>
      <c r="K1537" t="str">
        <f t="shared" si="47"/>
        <v>Positive</v>
      </c>
    </row>
    <row r="1538" spans="1:11" x14ac:dyDescent="0.2">
      <c r="A1538" t="s">
        <v>2787</v>
      </c>
      <c r="B1538" t="s">
        <v>2788</v>
      </c>
      <c r="C1538" t="s">
        <v>2789</v>
      </c>
      <c r="D1538" t="s">
        <v>2280</v>
      </c>
      <c r="E1538" t="s">
        <v>4</v>
      </c>
      <c r="F1538">
        <v>4817</v>
      </c>
      <c r="G1538">
        <v>936</v>
      </c>
      <c r="H1538" t="s">
        <v>13</v>
      </c>
      <c r="I1538" t="b">
        <v>0</v>
      </c>
      <c r="J1538">
        <f t="shared" si="46"/>
        <v>10</v>
      </c>
      <c r="K1538" t="str">
        <f t="shared" si="47"/>
        <v>Positive</v>
      </c>
    </row>
    <row r="1539" spans="1:11" x14ac:dyDescent="0.2">
      <c r="A1539" t="s">
        <v>4054</v>
      </c>
      <c r="B1539" t="s">
        <v>4055</v>
      </c>
      <c r="C1539" t="s">
        <v>4056</v>
      </c>
      <c r="D1539" t="s">
        <v>3</v>
      </c>
      <c r="E1539" t="s">
        <v>4</v>
      </c>
      <c r="F1539">
        <v>127</v>
      </c>
      <c r="G1539">
        <v>284</v>
      </c>
      <c r="H1539" t="s">
        <v>13</v>
      </c>
      <c r="I1539" t="b">
        <v>0</v>
      </c>
      <c r="J1539">
        <f t="shared" ref="J1539:J1602" si="48">sentimentCalc(B1539)</f>
        <v>0</v>
      </c>
      <c r="K1539" t="str">
        <f t="shared" ref="K1539:K1602" si="49">sentimentCategory(J1539)</f>
        <v>Neutral</v>
      </c>
    </row>
    <row r="1540" spans="1:11" x14ac:dyDescent="0.2">
      <c r="A1540" t="s">
        <v>3150</v>
      </c>
      <c r="B1540" t="s">
        <v>3151</v>
      </c>
      <c r="C1540" t="s">
        <v>336</v>
      </c>
      <c r="D1540" t="s">
        <v>975</v>
      </c>
      <c r="E1540" t="s">
        <v>4</v>
      </c>
      <c r="F1540">
        <v>300</v>
      </c>
      <c r="G1540">
        <v>681</v>
      </c>
      <c r="H1540" t="s">
        <v>50</v>
      </c>
      <c r="I1540" t="b">
        <v>0</v>
      </c>
      <c r="J1540">
        <f t="shared" si="48"/>
        <v>0</v>
      </c>
      <c r="K1540" t="str">
        <f t="shared" si="49"/>
        <v>Neutral</v>
      </c>
    </row>
    <row r="1541" spans="1:11" x14ac:dyDescent="0.2">
      <c r="A1541" t="s">
        <v>4152</v>
      </c>
      <c r="B1541" t="s">
        <v>4153</v>
      </c>
      <c r="C1541" t="s">
        <v>293</v>
      </c>
      <c r="D1541" t="s">
        <v>3</v>
      </c>
      <c r="E1541" t="s">
        <v>4</v>
      </c>
      <c r="F1541">
        <v>3634</v>
      </c>
      <c r="G1541">
        <v>3732</v>
      </c>
      <c r="H1541" t="s">
        <v>13</v>
      </c>
      <c r="I1541" t="b">
        <v>0</v>
      </c>
      <c r="J1541">
        <f t="shared" si="48"/>
        <v>0</v>
      </c>
      <c r="K1541" t="str">
        <f t="shared" si="49"/>
        <v>Neutral</v>
      </c>
    </row>
    <row r="1542" spans="1:11" x14ac:dyDescent="0.2">
      <c r="A1542" t="s">
        <v>6842</v>
      </c>
      <c r="B1542" t="s">
        <v>6843</v>
      </c>
      <c r="C1542" t="s">
        <v>3669</v>
      </c>
      <c r="D1542" t="s">
        <v>6844</v>
      </c>
      <c r="E1542" t="s">
        <v>4</v>
      </c>
      <c r="F1542">
        <v>872</v>
      </c>
      <c r="G1542">
        <v>542</v>
      </c>
      <c r="H1542" t="s">
        <v>13</v>
      </c>
      <c r="I1542" t="b">
        <v>0</v>
      </c>
      <c r="J1542">
        <f t="shared" si="48"/>
        <v>0</v>
      </c>
      <c r="K1542" t="str">
        <f t="shared" si="49"/>
        <v>Neutral</v>
      </c>
    </row>
    <row r="1543" spans="1:11" x14ac:dyDescent="0.2">
      <c r="A1543" t="s">
        <v>1868</v>
      </c>
      <c r="B1543" t="s">
        <v>1869</v>
      </c>
      <c r="C1543" t="s">
        <v>1870</v>
      </c>
      <c r="D1543" t="s">
        <v>320</v>
      </c>
      <c r="E1543" t="s">
        <v>4</v>
      </c>
      <c r="F1543">
        <v>778</v>
      </c>
      <c r="G1543">
        <v>775</v>
      </c>
      <c r="H1543" t="s">
        <v>13</v>
      </c>
      <c r="I1543" t="b">
        <v>0</v>
      </c>
      <c r="J1543">
        <f t="shared" si="48"/>
        <v>10</v>
      </c>
      <c r="K1543" t="str">
        <f t="shared" si="49"/>
        <v>Positive</v>
      </c>
    </row>
    <row r="1544" spans="1:11" x14ac:dyDescent="0.2">
      <c r="A1544" t="s">
        <v>4913</v>
      </c>
      <c r="B1544" t="s">
        <v>4914</v>
      </c>
      <c r="C1544" t="s">
        <v>1254</v>
      </c>
      <c r="D1544" t="s">
        <v>326</v>
      </c>
      <c r="E1544" t="s">
        <v>4</v>
      </c>
      <c r="F1544">
        <v>51</v>
      </c>
      <c r="G1544">
        <v>302</v>
      </c>
      <c r="H1544" t="s">
        <v>13</v>
      </c>
      <c r="I1544" t="b">
        <v>0</v>
      </c>
      <c r="J1544">
        <f t="shared" si="48"/>
        <v>0</v>
      </c>
      <c r="K1544" t="str">
        <f t="shared" si="49"/>
        <v>Neutral</v>
      </c>
    </row>
    <row r="1545" spans="1:11" x14ac:dyDescent="0.2">
      <c r="A1545" t="s">
        <v>1643</v>
      </c>
      <c r="B1545" t="s">
        <v>1644</v>
      </c>
      <c r="C1545" t="s">
        <v>595</v>
      </c>
      <c r="D1545" t="s">
        <v>1645</v>
      </c>
      <c r="E1545" t="s">
        <v>4</v>
      </c>
      <c r="F1545">
        <v>1541</v>
      </c>
      <c r="G1545">
        <v>241</v>
      </c>
      <c r="H1545" t="s">
        <v>13</v>
      </c>
      <c r="I1545" t="b">
        <v>0</v>
      </c>
      <c r="J1545">
        <f t="shared" si="48"/>
        <v>0</v>
      </c>
      <c r="K1545" t="str">
        <f t="shared" si="49"/>
        <v>Neutral</v>
      </c>
    </row>
    <row r="1546" spans="1:11" x14ac:dyDescent="0.2">
      <c r="A1546" t="s">
        <v>4161</v>
      </c>
      <c r="B1546" t="s">
        <v>4162</v>
      </c>
      <c r="C1546" t="s">
        <v>579</v>
      </c>
      <c r="D1546" t="s">
        <v>3</v>
      </c>
      <c r="E1546" t="s">
        <v>4</v>
      </c>
      <c r="F1546">
        <v>18</v>
      </c>
      <c r="G1546">
        <v>154</v>
      </c>
      <c r="H1546" t="s">
        <v>13</v>
      </c>
      <c r="I1546" t="b">
        <v>0</v>
      </c>
      <c r="J1546">
        <f t="shared" si="48"/>
        <v>-10</v>
      </c>
      <c r="K1546" t="str">
        <f t="shared" si="49"/>
        <v>Negative</v>
      </c>
    </row>
    <row r="1547" spans="1:11" x14ac:dyDescent="0.2">
      <c r="A1547" t="s">
        <v>4021</v>
      </c>
      <c r="B1547" t="s">
        <v>4022</v>
      </c>
      <c r="C1547" t="s">
        <v>1596</v>
      </c>
      <c r="D1547" t="s">
        <v>1597</v>
      </c>
      <c r="E1547" t="s">
        <v>4</v>
      </c>
      <c r="F1547">
        <v>4</v>
      </c>
      <c r="G1547">
        <v>0</v>
      </c>
      <c r="H1547" t="s">
        <v>13</v>
      </c>
      <c r="I1547" t="b">
        <v>0</v>
      </c>
      <c r="J1547">
        <f t="shared" si="48"/>
        <v>0</v>
      </c>
      <c r="K1547" t="str">
        <f t="shared" si="49"/>
        <v>Neutral</v>
      </c>
    </row>
    <row r="1548" spans="1:11" x14ac:dyDescent="0.2">
      <c r="A1548" t="s">
        <v>771</v>
      </c>
      <c r="B1548" t="s">
        <v>772</v>
      </c>
      <c r="C1548" t="s">
        <v>773</v>
      </c>
      <c r="D1548" t="s">
        <v>774</v>
      </c>
      <c r="E1548" t="s">
        <v>4</v>
      </c>
      <c r="F1548">
        <v>909</v>
      </c>
      <c r="G1548">
        <v>826</v>
      </c>
      <c r="H1548" t="s">
        <v>13</v>
      </c>
      <c r="I1548" t="b">
        <v>0</v>
      </c>
      <c r="J1548">
        <f t="shared" si="48"/>
        <v>0</v>
      </c>
      <c r="K1548" t="str">
        <f t="shared" si="49"/>
        <v>Neutral</v>
      </c>
    </row>
    <row r="1549" spans="1:11" x14ac:dyDescent="0.2">
      <c r="A1549" t="s">
        <v>5019</v>
      </c>
      <c r="B1549" t="s">
        <v>5020</v>
      </c>
      <c r="C1549" t="s">
        <v>1596</v>
      </c>
      <c r="D1549" t="s">
        <v>1597</v>
      </c>
      <c r="E1549" t="s">
        <v>4</v>
      </c>
      <c r="F1549">
        <v>4</v>
      </c>
      <c r="G1549">
        <v>0</v>
      </c>
      <c r="H1549" t="s">
        <v>13</v>
      </c>
      <c r="I1549" t="b">
        <v>0</v>
      </c>
      <c r="J1549">
        <f t="shared" si="48"/>
        <v>0</v>
      </c>
      <c r="K1549" t="str">
        <f t="shared" si="49"/>
        <v>Neutral</v>
      </c>
    </row>
    <row r="1550" spans="1:11" x14ac:dyDescent="0.2">
      <c r="A1550" t="s">
        <v>1004</v>
      </c>
      <c r="B1550" t="s">
        <v>1005</v>
      </c>
      <c r="C1550" t="s">
        <v>740</v>
      </c>
      <c r="D1550" t="s">
        <v>1006</v>
      </c>
      <c r="E1550" t="s">
        <v>4</v>
      </c>
      <c r="F1550">
        <v>298</v>
      </c>
      <c r="G1550">
        <v>126</v>
      </c>
      <c r="H1550" t="s">
        <v>13</v>
      </c>
      <c r="I1550" t="b">
        <v>0</v>
      </c>
      <c r="J1550">
        <f t="shared" si="48"/>
        <v>10</v>
      </c>
      <c r="K1550" t="str">
        <f t="shared" si="49"/>
        <v>Positive</v>
      </c>
    </row>
    <row r="1551" spans="1:11" x14ac:dyDescent="0.2">
      <c r="A1551" t="s">
        <v>3231</v>
      </c>
      <c r="B1551" t="s">
        <v>3232</v>
      </c>
      <c r="C1551" t="s">
        <v>1499</v>
      </c>
      <c r="D1551" t="s">
        <v>1500</v>
      </c>
      <c r="E1551" t="s">
        <v>4</v>
      </c>
      <c r="F1551">
        <v>663</v>
      </c>
      <c r="G1551">
        <v>162</v>
      </c>
      <c r="H1551" t="s">
        <v>13</v>
      </c>
      <c r="I1551" t="b">
        <v>0</v>
      </c>
      <c r="J1551">
        <f t="shared" si="48"/>
        <v>0</v>
      </c>
      <c r="K1551" t="str">
        <f t="shared" si="49"/>
        <v>Neutral</v>
      </c>
    </row>
    <row r="1552" spans="1:11" x14ac:dyDescent="0.2">
      <c r="A1552" t="s">
        <v>3568</v>
      </c>
      <c r="B1552" t="s">
        <v>3569</v>
      </c>
      <c r="C1552" t="s">
        <v>3570</v>
      </c>
      <c r="D1552" t="s">
        <v>3571</v>
      </c>
      <c r="E1552" t="s">
        <v>4</v>
      </c>
      <c r="F1552">
        <v>639</v>
      </c>
      <c r="G1552">
        <v>181</v>
      </c>
      <c r="H1552" t="s">
        <v>13</v>
      </c>
      <c r="I1552" t="b">
        <v>0</v>
      </c>
      <c r="J1552">
        <f t="shared" si="48"/>
        <v>0</v>
      </c>
      <c r="K1552" t="str">
        <f t="shared" si="49"/>
        <v>Neutral</v>
      </c>
    </row>
    <row r="1553" spans="1:11" x14ac:dyDescent="0.2">
      <c r="A1553" t="s">
        <v>123</v>
      </c>
      <c r="B1553" t="s">
        <v>124</v>
      </c>
      <c r="C1553" t="s">
        <v>125</v>
      </c>
      <c r="D1553" t="s">
        <v>3</v>
      </c>
      <c r="E1553" t="s">
        <v>4</v>
      </c>
      <c r="F1553">
        <v>218</v>
      </c>
      <c r="G1553">
        <v>126</v>
      </c>
      <c r="H1553" t="s">
        <v>126</v>
      </c>
      <c r="I1553" t="b">
        <v>0</v>
      </c>
      <c r="J1553">
        <f t="shared" si="48"/>
        <v>0</v>
      </c>
      <c r="K1553" t="str">
        <f t="shared" si="49"/>
        <v>Neutral</v>
      </c>
    </row>
    <row r="1554" spans="1:11" x14ac:dyDescent="0.2">
      <c r="A1554" t="s">
        <v>5620</v>
      </c>
      <c r="B1554" t="s">
        <v>5621</v>
      </c>
      <c r="C1554" t="s">
        <v>5622</v>
      </c>
      <c r="D1554" t="s">
        <v>3</v>
      </c>
      <c r="E1554" t="s">
        <v>4</v>
      </c>
      <c r="F1554">
        <v>204</v>
      </c>
      <c r="G1554">
        <v>137</v>
      </c>
      <c r="H1554" t="s">
        <v>13</v>
      </c>
      <c r="I1554" t="b">
        <v>0</v>
      </c>
      <c r="J1554">
        <f t="shared" si="48"/>
        <v>0</v>
      </c>
      <c r="K1554" t="str">
        <f t="shared" si="49"/>
        <v>Neutral</v>
      </c>
    </row>
    <row r="1555" spans="1:11" x14ac:dyDescent="0.2">
      <c r="A1555" t="s">
        <v>3597</v>
      </c>
      <c r="B1555" t="s">
        <v>3598</v>
      </c>
      <c r="C1555" t="s">
        <v>293</v>
      </c>
      <c r="D1555" t="s">
        <v>3</v>
      </c>
      <c r="E1555" t="s">
        <v>4</v>
      </c>
      <c r="F1555">
        <v>3634</v>
      </c>
      <c r="G1555">
        <v>3732</v>
      </c>
      <c r="H1555" t="s">
        <v>13</v>
      </c>
      <c r="I1555" t="b">
        <v>0</v>
      </c>
      <c r="J1555">
        <f t="shared" si="48"/>
        <v>10</v>
      </c>
      <c r="K1555" t="str">
        <f t="shared" si="49"/>
        <v>Positive</v>
      </c>
    </row>
    <row r="1556" spans="1:11" x14ac:dyDescent="0.2">
      <c r="A1556" t="s">
        <v>5730</v>
      </c>
      <c r="B1556" t="s">
        <v>5731</v>
      </c>
      <c r="C1556" t="s">
        <v>4456</v>
      </c>
      <c r="D1556" t="s">
        <v>403</v>
      </c>
      <c r="E1556" t="s">
        <v>4</v>
      </c>
      <c r="F1556">
        <v>2878</v>
      </c>
      <c r="G1556">
        <v>4986</v>
      </c>
      <c r="H1556" t="s">
        <v>13</v>
      </c>
      <c r="I1556" t="b">
        <v>0</v>
      </c>
      <c r="J1556">
        <f t="shared" si="48"/>
        <v>0</v>
      </c>
      <c r="K1556" t="str">
        <f t="shared" si="49"/>
        <v>Neutral</v>
      </c>
    </row>
    <row r="1557" spans="1:11" x14ac:dyDescent="0.2">
      <c r="A1557" t="s">
        <v>2797</v>
      </c>
      <c r="B1557" t="s">
        <v>2798</v>
      </c>
      <c r="C1557" t="s">
        <v>264</v>
      </c>
      <c r="D1557" t="s">
        <v>3</v>
      </c>
      <c r="E1557" t="s">
        <v>4</v>
      </c>
      <c r="F1557">
        <v>41</v>
      </c>
      <c r="G1557">
        <v>34</v>
      </c>
      <c r="H1557" t="s">
        <v>13</v>
      </c>
      <c r="I1557" t="b">
        <v>0</v>
      </c>
      <c r="J1557">
        <f t="shared" si="48"/>
        <v>20</v>
      </c>
      <c r="K1557" t="str">
        <f t="shared" si="49"/>
        <v>Positive</v>
      </c>
    </row>
    <row r="1558" spans="1:11" x14ac:dyDescent="0.2">
      <c r="A1558" t="s">
        <v>119</v>
      </c>
      <c r="B1558" t="s">
        <v>120</v>
      </c>
      <c r="C1558" t="s">
        <v>121</v>
      </c>
      <c r="D1558" t="s">
        <v>122</v>
      </c>
      <c r="E1558" t="s">
        <v>4</v>
      </c>
      <c r="F1558">
        <v>1032</v>
      </c>
      <c r="G1558">
        <v>981</v>
      </c>
      <c r="H1558" t="s">
        <v>13</v>
      </c>
      <c r="I1558" t="b">
        <v>0</v>
      </c>
      <c r="J1558">
        <f t="shared" si="48"/>
        <v>-10</v>
      </c>
      <c r="K1558" t="str">
        <f t="shared" si="49"/>
        <v>Negative</v>
      </c>
    </row>
    <row r="1559" spans="1:11" x14ac:dyDescent="0.2">
      <c r="A1559" t="s">
        <v>6862</v>
      </c>
      <c r="B1559" t="s">
        <v>6863</v>
      </c>
      <c r="C1559" t="s">
        <v>5930</v>
      </c>
      <c r="D1559" t="s">
        <v>6864</v>
      </c>
      <c r="E1559" t="s">
        <v>4</v>
      </c>
      <c r="F1559">
        <v>8594</v>
      </c>
      <c r="G1559">
        <v>5249</v>
      </c>
      <c r="H1559" t="s">
        <v>13</v>
      </c>
      <c r="I1559" t="b">
        <v>0</v>
      </c>
      <c r="J1559">
        <f t="shared" si="48"/>
        <v>10</v>
      </c>
      <c r="K1559" t="str">
        <f t="shared" si="49"/>
        <v>Positive</v>
      </c>
    </row>
    <row r="1560" spans="1:11" x14ac:dyDescent="0.2">
      <c r="A1560" t="s">
        <v>5110</v>
      </c>
      <c r="B1560" t="s">
        <v>5111</v>
      </c>
      <c r="C1560" t="s">
        <v>561</v>
      </c>
      <c r="D1560" t="s">
        <v>3</v>
      </c>
      <c r="E1560" t="s">
        <v>4</v>
      </c>
      <c r="F1560">
        <v>4</v>
      </c>
      <c r="G1560">
        <v>37</v>
      </c>
      <c r="H1560" t="s">
        <v>13</v>
      </c>
      <c r="I1560" t="b">
        <v>0</v>
      </c>
      <c r="J1560">
        <f t="shared" si="48"/>
        <v>0</v>
      </c>
      <c r="K1560" t="str">
        <f t="shared" si="49"/>
        <v>Neutral</v>
      </c>
    </row>
    <row r="1561" spans="1:11" x14ac:dyDescent="0.2">
      <c r="A1561" t="s">
        <v>6878</v>
      </c>
      <c r="B1561" t="s">
        <v>6879</v>
      </c>
      <c r="C1561" t="s">
        <v>3852</v>
      </c>
      <c r="D1561" t="s">
        <v>6880</v>
      </c>
      <c r="E1561" t="s">
        <v>4</v>
      </c>
      <c r="F1561">
        <v>26</v>
      </c>
      <c r="G1561">
        <v>36</v>
      </c>
      <c r="H1561" t="s">
        <v>13</v>
      </c>
      <c r="I1561" t="b">
        <v>0</v>
      </c>
      <c r="J1561">
        <f t="shared" si="48"/>
        <v>10</v>
      </c>
      <c r="K1561" t="str">
        <f t="shared" si="49"/>
        <v>Positive</v>
      </c>
    </row>
    <row r="1562" spans="1:11" x14ac:dyDescent="0.2">
      <c r="A1562" t="s">
        <v>6118</v>
      </c>
      <c r="B1562" t="s">
        <v>6119</v>
      </c>
      <c r="C1562" t="s">
        <v>5418</v>
      </c>
      <c r="D1562" t="s">
        <v>326</v>
      </c>
      <c r="E1562" t="s">
        <v>4</v>
      </c>
      <c r="F1562">
        <v>1123</v>
      </c>
      <c r="G1562">
        <v>902</v>
      </c>
      <c r="H1562" t="s">
        <v>13</v>
      </c>
      <c r="I1562" t="b">
        <v>0</v>
      </c>
      <c r="J1562">
        <f t="shared" si="48"/>
        <v>10</v>
      </c>
      <c r="K1562" t="str">
        <f t="shared" si="49"/>
        <v>Positive</v>
      </c>
    </row>
    <row r="1563" spans="1:11" x14ac:dyDescent="0.2">
      <c r="A1563" t="s">
        <v>1172</v>
      </c>
      <c r="B1563" t="s">
        <v>1173</v>
      </c>
      <c r="C1563" t="s">
        <v>1174</v>
      </c>
      <c r="D1563" t="s">
        <v>90</v>
      </c>
      <c r="E1563" t="s">
        <v>4</v>
      </c>
      <c r="F1563">
        <v>1427</v>
      </c>
      <c r="G1563">
        <v>649</v>
      </c>
      <c r="H1563" t="s">
        <v>13</v>
      </c>
      <c r="I1563" t="b">
        <v>0</v>
      </c>
      <c r="J1563">
        <f t="shared" si="48"/>
        <v>0</v>
      </c>
      <c r="K1563" t="str">
        <f t="shared" si="49"/>
        <v>Neutral</v>
      </c>
    </row>
    <row r="1564" spans="1:11" x14ac:dyDescent="0.2">
      <c r="A1564" t="s">
        <v>4474</v>
      </c>
      <c r="B1564" t="s">
        <v>4475</v>
      </c>
      <c r="C1564" t="s">
        <v>323</v>
      </c>
      <c r="D1564" t="s">
        <v>3</v>
      </c>
      <c r="E1564" t="s">
        <v>4</v>
      </c>
      <c r="F1564">
        <v>5</v>
      </c>
      <c r="G1564">
        <v>9</v>
      </c>
      <c r="H1564" t="s">
        <v>13</v>
      </c>
      <c r="I1564" t="b">
        <v>0</v>
      </c>
      <c r="J1564">
        <f t="shared" si="48"/>
        <v>0</v>
      </c>
      <c r="K1564" t="str">
        <f t="shared" si="49"/>
        <v>Neutral</v>
      </c>
    </row>
    <row r="1565" spans="1:11" x14ac:dyDescent="0.2">
      <c r="A1565" t="s">
        <v>765</v>
      </c>
      <c r="B1565" t="s">
        <v>766</v>
      </c>
      <c r="C1565" t="s">
        <v>767</v>
      </c>
      <c r="D1565" t="s">
        <v>744</v>
      </c>
      <c r="E1565" t="s">
        <v>4</v>
      </c>
      <c r="F1565">
        <v>56</v>
      </c>
      <c r="G1565">
        <v>272</v>
      </c>
      <c r="H1565" t="s">
        <v>13</v>
      </c>
      <c r="I1565" t="b">
        <v>0</v>
      </c>
      <c r="J1565">
        <f t="shared" si="48"/>
        <v>0</v>
      </c>
      <c r="K1565" t="str">
        <f t="shared" si="49"/>
        <v>Neutral</v>
      </c>
    </row>
    <row r="1566" spans="1:11" x14ac:dyDescent="0.2">
      <c r="A1566" t="s">
        <v>2920</v>
      </c>
      <c r="B1566" t="s">
        <v>2921</v>
      </c>
      <c r="C1566" t="s">
        <v>372</v>
      </c>
      <c r="D1566" t="s">
        <v>2922</v>
      </c>
      <c r="E1566" t="s">
        <v>4</v>
      </c>
      <c r="F1566">
        <v>41</v>
      </c>
      <c r="G1566">
        <v>165</v>
      </c>
      <c r="H1566" t="s">
        <v>2923</v>
      </c>
      <c r="I1566" t="b">
        <v>0</v>
      </c>
      <c r="J1566">
        <f t="shared" si="48"/>
        <v>0</v>
      </c>
      <c r="K1566" t="str">
        <f t="shared" si="49"/>
        <v>Neutral</v>
      </c>
    </row>
    <row r="1567" spans="1:11" x14ac:dyDescent="0.2">
      <c r="A1567" t="s">
        <v>5810</v>
      </c>
      <c r="B1567" t="s">
        <v>5811</v>
      </c>
      <c r="C1567" t="s">
        <v>5812</v>
      </c>
      <c r="D1567" t="s">
        <v>3</v>
      </c>
      <c r="E1567" t="s">
        <v>4</v>
      </c>
      <c r="F1567">
        <v>208</v>
      </c>
      <c r="G1567">
        <v>166</v>
      </c>
      <c r="H1567" t="s">
        <v>13</v>
      </c>
      <c r="I1567" t="b">
        <v>0</v>
      </c>
      <c r="J1567">
        <f t="shared" si="48"/>
        <v>-10</v>
      </c>
      <c r="K1567" t="str">
        <f t="shared" si="49"/>
        <v>Negative</v>
      </c>
    </row>
    <row r="1568" spans="1:11" x14ac:dyDescent="0.2">
      <c r="A1568" t="s">
        <v>5754</v>
      </c>
      <c r="B1568" t="s">
        <v>5755</v>
      </c>
      <c r="C1568" t="s">
        <v>3890</v>
      </c>
      <c r="D1568" t="s">
        <v>3</v>
      </c>
      <c r="E1568" t="s">
        <v>4</v>
      </c>
      <c r="F1568">
        <v>103</v>
      </c>
      <c r="G1568">
        <v>137</v>
      </c>
      <c r="H1568" t="s">
        <v>13</v>
      </c>
      <c r="I1568" t="b">
        <v>0</v>
      </c>
      <c r="J1568">
        <f t="shared" si="48"/>
        <v>0</v>
      </c>
      <c r="K1568" t="str">
        <f t="shared" si="49"/>
        <v>Neutral</v>
      </c>
    </row>
    <row r="1569" spans="1:11" x14ac:dyDescent="0.2">
      <c r="A1569" t="s">
        <v>4737</v>
      </c>
      <c r="B1569" t="s">
        <v>4738</v>
      </c>
      <c r="C1569" t="s">
        <v>526</v>
      </c>
      <c r="D1569" t="s">
        <v>4739</v>
      </c>
      <c r="E1569" t="s">
        <v>4</v>
      </c>
      <c r="F1569">
        <v>2177</v>
      </c>
      <c r="G1569">
        <v>679</v>
      </c>
      <c r="H1569" t="s">
        <v>13</v>
      </c>
      <c r="I1569" t="b">
        <v>0</v>
      </c>
      <c r="J1569">
        <f t="shared" si="48"/>
        <v>0</v>
      </c>
      <c r="K1569" t="str">
        <f t="shared" si="49"/>
        <v>Neutral</v>
      </c>
    </row>
    <row r="1570" spans="1:11" x14ac:dyDescent="0.2">
      <c r="A1570" t="s">
        <v>3982</v>
      </c>
      <c r="B1570" t="s">
        <v>3983</v>
      </c>
      <c r="C1570" t="s">
        <v>3984</v>
      </c>
      <c r="D1570" t="s">
        <v>3</v>
      </c>
      <c r="E1570" t="s">
        <v>4</v>
      </c>
      <c r="F1570">
        <v>160</v>
      </c>
      <c r="G1570">
        <v>540</v>
      </c>
      <c r="H1570" t="s">
        <v>13</v>
      </c>
      <c r="I1570" t="b">
        <v>0</v>
      </c>
      <c r="J1570">
        <f t="shared" si="48"/>
        <v>10</v>
      </c>
      <c r="K1570" t="str">
        <f t="shared" si="49"/>
        <v>Positive</v>
      </c>
    </row>
    <row r="1571" spans="1:11" x14ac:dyDescent="0.2">
      <c r="A1571" t="s">
        <v>95</v>
      </c>
      <c r="B1571" t="s">
        <v>96</v>
      </c>
      <c r="C1571" t="s">
        <v>97</v>
      </c>
      <c r="D1571" t="s">
        <v>98</v>
      </c>
      <c r="E1571" t="s">
        <v>4</v>
      </c>
      <c r="F1571">
        <v>118</v>
      </c>
      <c r="G1571">
        <v>122</v>
      </c>
      <c r="H1571" t="s">
        <v>13</v>
      </c>
      <c r="I1571" t="b">
        <v>0</v>
      </c>
      <c r="J1571">
        <f t="shared" si="48"/>
        <v>0</v>
      </c>
      <c r="K1571" t="str">
        <f t="shared" si="49"/>
        <v>Neutral</v>
      </c>
    </row>
    <row r="1572" spans="1:11" x14ac:dyDescent="0.2">
      <c r="A1572" t="s">
        <v>4174</v>
      </c>
      <c r="B1572" t="s">
        <v>4175</v>
      </c>
      <c r="C1572" t="s">
        <v>472</v>
      </c>
      <c r="D1572" t="s">
        <v>2927</v>
      </c>
      <c r="E1572" t="s">
        <v>4</v>
      </c>
      <c r="F1572">
        <v>9</v>
      </c>
      <c r="G1572">
        <v>27</v>
      </c>
      <c r="H1572" t="s">
        <v>50</v>
      </c>
      <c r="I1572" t="b">
        <v>0</v>
      </c>
      <c r="J1572">
        <f t="shared" si="48"/>
        <v>0</v>
      </c>
      <c r="K1572" t="str">
        <f t="shared" si="49"/>
        <v>Neutral</v>
      </c>
    </row>
    <row r="1573" spans="1:11" x14ac:dyDescent="0.2">
      <c r="A1573" t="s">
        <v>1680</v>
      </c>
      <c r="B1573" t="s">
        <v>1681</v>
      </c>
      <c r="C1573" t="s">
        <v>1682</v>
      </c>
      <c r="D1573" t="s">
        <v>3</v>
      </c>
      <c r="E1573" t="s">
        <v>4</v>
      </c>
      <c r="F1573">
        <v>4</v>
      </c>
      <c r="G1573">
        <v>4</v>
      </c>
      <c r="H1573" t="s">
        <v>13</v>
      </c>
      <c r="I1573" t="b">
        <v>0</v>
      </c>
      <c r="J1573">
        <f t="shared" si="48"/>
        <v>0</v>
      </c>
      <c r="K1573" t="str">
        <f t="shared" si="49"/>
        <v>Neutral</v>
      </c>
    </row>
    <row r="1574" spans="1:11" x14ac:dyDescent="0.2">
      <c r="A1574" t="s">
        <v>307</v>
      </c>
      <c r="B1574" t="s">
        <v>308</v>
      </c>
      <c r="C1574" t="s">
        <v>309</v>
      </c>
      <c r="D1574" t="s">
        <v>3</v>
      </c>
      <c r="E1574" t="s">
        <v>4</v>
      </c>
      <c r="F1574">
        <v>29</v>
      </c>
      <c r="G1574">
        <v>152</v>
      </c>
      <c r="H1574" t="s">
        <v>13</v>
      </c>
      <c r="I1574" t="b">
        <v>0</v>
      </c>
      <c r="J1574">
        <f t="shared" si="48"/>
        <v>0</v>
      </c>
      <c r="K1574" t="str">
        <f t="shared" si="49"/>
        <v>Neutral</v>
      </c>
    </row>
    <row r="1575" spans="1:11" x14ac:dyDescent="0.2">
      <c r="A1575" t="s">
        <v>5091</v>
      </c>
      <c r="B1575" t="s">
        <v>5092</v>
      </c>
      <c r="C1575" t="s">
        <v>193</v>
      </c>
      <c r="D1575" t="s">
        <v>1255</v>
      </c>
      <c r="E1575" t="s">
        <v>4</v>
      </c>
      <c r="F1575">
        <v>45</v>
      </c>
      <c r="G1575">
        <v>37</v>
      </c>
      <c r="H1575" t="s">
        <v>13</v>
      </c>
      <c r="I1575" t="b">
        <v>0</v>
      </c>
      <c r="J1575">
        <f t="shared" si="48"/>
        <v>0</v>
      </c>
      <c r="K1575" t="str">
        <f t="shared" si="49"/>
        <v>Neutral</v>
      </c>
    </row>
    <row r="1576" spans="1:11" x14ac:dyDescent="0.2">
      <c r="A1576" t="s">
        <v>903</v>
      </c>
      <c r="B1576" t="s">
        <v>904</v>
      </c>
      <c r="C1576" t="s">
        <v>704</v>
      </c>
      <c r="D1576" t="s">
        <v>3</v>
      </c>
      <c r="E1576" t="s">
        <v>4</v>
      </c>
      <c r="F1576">
        <v>6</v>
      </c>
      <c r="G1576">
        <v>33</v>
      </c>
      <c r="H1576" t="s">
        <v>114</v>
      </c>
      <c r="I1576" t="b">
        <v>0</v>
      </c>
      <c r="J1576">
        <f t="shared" si="48"/>
        <v>0</v>
      </c>
      <c r="K1576" t="str">
        <f t="shared" si="49"/>
        <v>Neutral</v>
      </c>
    </row>
    <row r="1577" spans="1:11" x14ac:dyDescent="0.2">
      <c r="A1577" t="s">
        <v>273</v>
      </c>
      <c r="B1577" t="s">
        <v>274</v>
      </c>
      <c r="C1577" t="s">
        <v>275</v>
      </c>
      <c r="D1577" t="s">
        <v>276</v>
      </c>
      <c r="E1577" t="s">
        <v>4</v>
      </c>
      <c r="F1577">
        <v>49</v>
      </c>
      <c r="G1577">
        <v>68</v>
      </c>
      <c r="H1577" t="s">
        <v>13</v>
      </c>
      <c r="I1577" t="b">
        <v>0</v>
      </c>
      <c r="J1577">
        <f t="shared" si="48"/>
        <v>0</v>
      </c>
      <c r="K1577" t="str">
        <f t="shared" si="49"/>
        <v>Neutral</v>
      </c>
    </row>
    <row r="1578" spans="1:11" x14ac:dyDescent="0.2">
      <c r="A1578" t="s">
        <v>2617</v>
      </c>
      <c r="B1578" t="s">
        <v>2618</v>
      </c>
      <c r="C1578" t="s">
        <v>2604</v>
      </c>
      <c r="D1578" t="s">
        <v>2605</v>
      </c>
      <c r="E1578" t="s">
        <v>4</v>
      </c>
      <c r="F1578">
        <v>503</v>
      </c>
      <c r="G1578">
        <v>673</v>
      </c>
      <c r="H1578" t="s">
        <v>50</v>
      </c>
      <c r="I1578" t="b">
        <v>0</v>
      </c>
      <c r="J1578">
        <f t="shared" si="48"/>
        <v>0</v>
      </c>
      <c r="K1578" t="str">
        <f t="shared" si="49"/>
        <v>Neutral</v>
      </c>
    </row>
    <row r="1579" spans="1:11" x14ac:dyDescent="0.2">
      <c r="A1579" t="s">
        <v>5193</v>
      </c>
      <c r="B1579" t="s">
        <v>5195</v>
      </c>
      <c r="C1579" t="s">
        <v>1291</v>
      </c>
      <c r="D1579" t="s">
        <v>3</v>
      </c>
      <c r="E1579" t="s">
        <v>4</v>
      </c>
      <c r="F1579">
        <v>204</v>
      </c>
      <c r="G1579">
        <v>196</v>
      </c>
      <c r="H1579" t="s">
        <v>13</v>
      </c>
      <c r="I1579" t="b">
        <v>0</v>
      </c>
      <c r="J1579">
        <f t="shared" si="48"/>
        <v>0</v>
      </c>
      <c r="K1579" t="str">
        <f t="shared" si="49"/>
        <v>Neutral</v>
      </c>
    </row>
    <row r="1580" spans="1:11" x14ac:dyDescent="0.2">
      <c r="A1580" t="s">
        <v>4740</v>
      </c>
      <c r="B1580" t="s">
        <v>4741</v>
      </c>
      <c r="C1580" t="s">
        <v>450</v>
      </c>
      <c r="D1580" t="s">
        <v>3</v>
      </c>
      <c r="E1580" t="s">
        <v>4</v>
      </c>
      <c r="F1580">
        <v>451</v>
      </c>
      <c r="G1580">
        <v>260</v>
      </c>
      <c r="H1580" t="s">
        <v>13</v>
      </c>
      <c r="I1580" t="b">
        <v>0</v>
      </c>
      <c r="J1580">
        <f t="shared" si="48"/>
        <v>0</v>
      </c>
      <c r="K1580" t="str">
        <f t="shared" si="49"/>
        <v>Neutral</v>
      </c>
    </row>
    <row r="1581" spans="1:11" x14ac:dyDescent="0.2">
      <c r="A1581" t="s">
        <v>4992</v>
      </c>
      <c r="B1581" t="s">
        <v>4993</v>
      </c>
      <c r="C1581" t="s">
        <v>4994</v>
      </c>
      <c r="D1581" t="s">
        <v>3</v>
      </c>
      <c r="E1581" t="s">
        <v>4</v>
      </c>
      <c r="F1581">
        <v>158</v>
      </c>
      <c r="G1581">
        <v>274</v>
      </c>
      <c r="H1581" t="s">
        <v>13</v>
      </c>
      <c r="I1581" t="b">
        <v>0</v>
      </c>
      <c r="J1581">
        <f t="shared" si="48"/>
        <v>0</v>
      </c>
      <c r="K1581" t="str">
        <f t="shared" si="49"/>
        <v>Neutral</v>
      </c>
    </row>
    <row r="1582" spans="1:11" x14ac:dyDescent="0.2">
      <c r="A1582" t="s">
        <v>6415</v>
      </c>
      <c r="B1582" t="s">
        <v>6416</v>
      </c>
      <c r="C1582" t="s">
        <v>5224</v>
      </c>
      <c r="D1582" t="s">
        <v>3</v>
      </c>
      <c r="E1582" t="s">
        <v>4</v>
      </c>
      <c r="F1582">
        <v>49</v>
      </c>
      <c r="G1582">
        <v>610</v>
      </c>
      <c r="H1582" t="s">
        <v>13</v>
      </c>
      <c r="I1582" t="b">
        <v>0</v>
      </c>
      <c r="J1582">
        <f t="shared" si="48"/>
        <v>-10</v>
      </c>
      <c r="K1582" t="str">
        <f t="shared" si="49"/>
        <v>Negative</v>
      </c>
    </row>
    <row r="1583" spans="1:11" x14ac:dyDescent="0.2">
      <c r="A1583" t="s">
        <v>2069</v>
      </c>
      <c r="B1583" t="s">
        <v>2070</v>
      </c>
      <c r="C1583" t="s">
        <v>2071</v>
      </c>
      <c r="D1583" t="s">
        <v>3</v>
      </c>
      <c r="E1583" t="s">
        <v>4</v>
      </c>
      <c r="F1583">
        <v>617</v>
      </c>
      <c r="G1583">
        <v>1754</v>
      </c>
      <c r="H1583" t="s">
        <v>13</v>
      </c>
      <c r="I1583" t="b">
        <v>0</v>
      </c>
      <c r="J1583">
        <f t="shared" si="48"/>
        <v>0</v>
      </c>
      <c r="K1583" t="str">
        <f t="shared" si="49"/>
        <v>Neutral</v>
      </c>
    </row>
    <row r="1584" spans="1:11" x14ac:dyDescent="0.2">
      <c r="A1584" t="s">
        <v>5269</v>
      </c>
      <c r="B1584" t="s">
        <v>5270</v>
      </c>
      <c r="C1584" t="s">
        <v>2091</v>
      </c>
      <c r="D1584" t="s">
        <v>5271</v>
      </c>
      <c r="E1584" t="s">
        <v>4</v>
      </c>
      <c r="F1584">
        <v>63</v>
      </c>
      <c r="G1584">
        <v>242</v>
      </c>
      <c r="H1584" t="s">
        <v>13</v>
      </c>
      <c r="I1584" t="b">
        <v>0</v>
      </c>
      <c r="J1584">
        <f t="shared" si="48"/>
        <v>10</v>
      </c>
      <c r="K1584" t="str">
        <f t="shared" si="49"/>
        <v>Positive</v>
      </c>
    </row>
    <row r="1585" spans="1:11" x14ac:dyDescent="0.2">
      <c r="A1585" t="s">
        <v>441</v>
      </c>
      <c r="B1585" t="s">
        <v>442</v>
      </c>
      <c r="C1585" t="s">
        <v>443</v>
      </c>
      <c r="D1585" t="s">
        <v>3</v>
      </c>
      <c r="E1585" t="s">
        <v>4</v>
      </c>
      <c r="F1585">
        <v>3</v>
      </c>
      <c r="G1585">
        <v>10</v>
      </c>
      <c r="H1585" t="s">
        <v>13</v>
      </c>
      <c r="I1585" t="b">
        <v>0</v>
      </c>
      <c r="J1585">
        <f t="shared" si="48"/>
        <v>0</v>
      </c>
      <c r="K1585" t="str">
        <f t="shared" si="49"/>
        <v>Neutral</v>
      </c>
    </row>
    <row r="1586" spans="1:11" x14ac:dyDescent="0.2">
      <c r="A1586" t="s">
        <v>6934</v>
      </c>
      <c r="B1586" t="s">
        <v>6935</v>
      </c>
      <c r="C1586" t="s">
        <v>1230</v>
      </c>
      <c r="D1586" t="s">
        <v>6936</v>
      </c>
      <c r="E1586" t="s">
        <v>4</v>
      </c>
      <c r="F1586">
        <v>485</v>
      </c>
      <c r="G1586">
        <v>1409</v>
      </c>
      <c r="H1586" t="s">
        <v>13</v>
      </c>
      <c r="I1586" t="b">
        <v>0</v>
      </c>
      <c r="J1586">
        <f t="shared" si="48"/>
        <v>0</v>
      </c>
      <c r="K1586" t="str">
        <f t="shared" si="49"/>
        <v>Neutral</v>
      </c>
    </row>
    <row r="1587" spans="1:11" x14ac:dyDescent="0.2">
      <c r="A1587" t="s">
        <v>1523</v>
      </c>
      <c r="B1587" t="s">
        <v>1524</v>
      </c>
      <c r="C1587" t="s">
        <v>1525</v>
      </c>
      <c r="D1587" t="s">
        <v>3</v>
      </c>
      <c r="E1587" t="s">
        <v>4</v>
      </c>
      <c r="F1587">
        <v>9642</v>
      </c>
      <c r="G1587">
        <v>27</v>
      </c>
      <c r="H1587" t="s">
        <v>13</v>
      </c>
      <c r="I1587" t="b">
        <v>0</v>
      </c>
      <c r="J1587">
        <f t="shared" si="48"/>
        <v>0</v>
      </c>
      <c r="K1587" t="str">
        <f t="shared" si="49"/>
        <v>Neutral</v>
      </c>
    </row>
    <row r="1588" spans="1:11" x14ac:dyDescent="0.2">
      <c r="A1588" t="s">
        <v>5650</v>
      </c>
      <c r="B1588" t="s">
        <v>5651</v>
      </c>
      <c r="C1588" t="s">
        <v>2325</v>
      </c>
      <c r="D1588" t="s">
        <v>3</v>
      </c>
      <c r="E1588" t="s">
        <v>4</v>
      </c>
      <c r="F1588">
        <v>75</v>
      </c>
      <c r="G1588">
        <v>335</v>
      </c>
      <c r="H1588" t="s">
        <v>13</v>
      </c>
      <c r="I1588" t="b">
        <v>0</v>
      </c>
      <c r="J1588">
        <f t="shared" si="48"/>
        <v>-10</v>
      </c>
      <c r="K1588" t="str">
        <f t="shared" si="49"/>
        <v>Negative</v>
      </c>
    </row>
    <row r="1589" spans="1:11" x14ac:dyDescent="0.2">
      <c r="A1589" t="s">
        <v>2312</v>
      </c>
      <c r="B1589" t="s">
        <v>2313</v>
      </c>
      <c r="C1589" t="s">
        <v>2314</v>
      </c>
      <c r="D1589" t="s">
        <v>2315</v>
      </c>
      <c r="E1589" t="s">
        <v>4</v>
      </c>
      <c r="F1589">
        <v>157</v>
      </c>
      <c r="G1589">
        <v>83</v>
      </c>
      <c r="H1589" t="s">
        <v>13</v>
      </c>
      <c r="I1589" t="b">
        <v>0</v>
      </c>
      <c r="J1589">
        <f t="shared" si="48"/>
        <v>10</v>
      </c>
      <c r="K1589" t="str">
        <f t="shared" si="49"/>
        <v>Positive</v>
      </c>
    </row>
    <row r="1590" spans="1:11" x14ac:dyDescent="0.2">
      <c r="A1590" t="s">
        <v>787</v>
      </c>
      <c r="B1590" t="s">
        <v>788</v>
      </c>
      <c r="C1590" t="s">
        <v>293</v>
      </c>
      <c r="D1590" t="s">
        <v>3</v>
      </c>
      <c r="E1590" t="s">
        <v>4</v>
      </c>
      <c r="F1590">
        <v>3632</v>
      </c>
      <c r="G1590">
        <v>3728</v>
      </c>
      <c r="H1590" t="s">
        <v>13</v>
      </c>
      <c r="I1590" t="b">
        <v>0</v>
      </c>
      <c r="J1590">
        <f t="shared" si="48"/>
        <v>10</v>
      </c>
      <c r="K1590" t="str">
        <f t="shared" si="49"/>
        <v>Positive</v>
      </c>
    </row>
    <row r="1591" spans="1:11" x14ac:dyDescent="0.2">
      <c r="A1591" t="s">
        <v>3659</v>
      </c>
      <c r="B1591" t="s">
        <v>3660</v>
      </c>
      <c r="C1591" t="s">
        <v>3649</v>
      </c>
      <c r="D1591" t="s">
        <v>3650</v>
      </c>
      <c r="E1591" t="s">
        <v>4</v>
      </c>
      <c r="F1591">
        <v>472</v>
      </c>
      <c r="G1591">
        <v>366</v>
      </c>
      <c r="H1591" t="s">
        <v>13</v>
      </c>
      <c r="I1591" t="b">
        <v>0</v>
      </c>
      <c r="J1591">
        <f t="shared" si="48"/>
        <v>0</v>
      </c>
      <c r="K1591" t="str">
        <f t="shared" si="49"/>
        <v>Neutral</v>
      </c>
    </row>
    <row r="1592" spans="1:11" x14ac:dyDescent="0.2">
      <c r="A1592" t="s">
        <v>6080</v>
      </c>
      <c r="B1592" t="s">
        <v>6081</v>
      </c>
      <c r="C1592" t="s">
        <v>6082</v>
      </c>
      <c r="D1592" t="s">
        <v>6083</v>
      </c>
      <c r="E1592" t="s">
        <v>4</v>
      </c>
      <c r="F1592">
        <v>6979</v>
      </c>
      <c r="G1592">
        <v>6186</v>
      </c>
      <c r="H1592" t="s">
        <v>13</v>
      </c>
      <c r="I1592" t="b">
        <v>0</v>
      </c>
      <c r="J1592">
        <f t="shared" si="48"/>
        <v>10</v>
      </c>
      <c r="K1592" t="str">
        <f t="shared" si="49"/>
        <v>Positive</v>
      </c>
    </row>
    <row r="1593" spans="1:11" x14ac:dyDescent="0.2">
      <c r="A1593" t="s">
        <v>492</v>
      </c>
      <c r="B1593" t="s">
        <v>493</v>
      </c>
      <c r="C1593" t="s">
        <v>494</v>
      </c>
      <c r="D1593" t="s">
        <v>3</v>
      </c>
      <c r="E1593" t="s">
        <v>4</v>
      </c>
      <c r="F1593">
        <v>333</v>
      </c>
      <c r="G1593">
        <v>410</v>
      </c>
      <c r="H1593" t="s">
        <v>13</v>
      </c>
      <c r="I1593" t="b">
        <v>0</v>
      </c>
      <c r="J1593">
        <f t="shared" si="48"/>
        <v>0</v>
      </c>
      <c r="K1593" t="str">
        <f t="shared" si="49"/>
        <v>Neutral</v>
      </c>
    </row>
    <row r="1594" spans="1:11" x14ac:dyDescent="0.2">
      <c r="A1594" t="s">
        <v>4057</v>
      </c>
      <c r="B1594" t="s">
        <v>4058</v>
      </c>
      <c r="C1594" t="s">
        <v>177</v>
      </c>
      <c r="D1594" t="s">
        <v>3</v>
      </c>
      <c r="E1594" t="s">
        <v>4</v>
      </c>
      <c r="F1594">
        <v>61</v>
      </c>
      <c r="G1594">
        <v>225</v>
      </c>
      <c r="H1594" t="s">
        <v>13</v>
      </c>
      <c r="I1594" t="b">
        <v>0</v>
      </c>
      <c r="J1594">
        <f t="shared" si="48"/>
        <v>0</v>
      </c>
      <c r="K1594" t="str">
        <f t="shared" si="49"/>
        <v>Neutral</v>
      </c>
    </row>
    <row r="1595" spans="1:11" x14ac:dyDescent="0.2">
      <c r="A1595" t="s">
        <v>5311</v>
      </c>
      <c r="B1595" t="s">
        <v>5312</v>
      </c>
      <c r="C1595" t="s">
        <v>4876</v>
      </c>
      <c r="D1595" t="s">
        <v>4877</v>
      </c>
      <c r="E1595" t="s">
        <v>4</v>
      </c>
      <c r="F1595">
        <v>90</v>
      </c>
      <c r="G1595">
        <v>446</v>
      </c>
      <c r="H1595" t="s">
        <v>13</v>
      </c>
      <c r="I1595" t="b">
        <v>0</v>
      </c>
      <c r="J1595">
        <f t="shared" si="48"/>
        <v>0</v>
      </c>
      <c r="K1595" t="str">
        <f t="shared" si="49"/>
        <v>Neutral</v>
      </c>
    </row>
    <row r="1596" spans="1:11" x14ac:dyDescent="0.2">
      <c r="A1596" t="s">
        <v>284</v>
      </c>
      <c r="B1596" t="s">
        <v>285</v>
      </c>
      <c r="C1596" t="s">
        <v>286</v>
      </c>
      <c r="D1596" t="s">
        <v>3</v>
      </c>
      <c r="E1596" t="s">
        <v>4</v>
      </c>
      <c r="F1596">
        <v>413</v>
      </c>
      <c r="G1596">
        <v>557</v>
      </c>
      <c r="H1596" t="s">
        <v>13</v>
      </c>
      <c r="I1596" t="b">
        <v>0</v>
      </c>
      <c r="J1596">
        <f t="shared" si="48"/>
        <v>0</v>
      </c>
      <c r="K1596" t="str">
        <f t="shared" si="49"/>
        <v>Neutral</v>
      </c>
    </row>
    <row r="1597" spans="1:11" x14ac:dyDescent="0.2">
      <c r="A1597" t="s">
        <v>3067</v>
      </c>
      <c r="B1597" t="s">
        <v>3068</v>
      </c>
      <c r="C1597" t="s">
        <v>3069</v>
      </c>
      <c r="D1597" t="s">
        <v>3070</v>
      </c>
      <c r="E1597" t="s">
        <v>4</v>
      </c>
      <c r="F1597">
        <v>245</v>
      </c>
      <c r="G1597">
        <v>494</v>
      </c>
      <c r="H1597" t="s">
        <v>13</v>
      </c>
      <c r="I1597" t="b">
        <v>0</v>
      </c>
      <c r="J1597">
        <f t="shared" si="48"/>
        <v>-10</v>
      </c>
      <c r="K1597" t="str">
        <f t="shared" si="49"/>
        <v>Negative</v>
      </c>
    </row>
    <row r="1598" spans="1:11" x14ac:dyDescent="0.2">
      <c r="A1598" t="s">
        <v>6171</v>
      </c>
      <c r="B1598" t="s">
        <v>6172</v>
      </c>
      <c r="C1598" t="s">
        <v>1291</v>
      </c>
      <c r="D1598" t="s">
        <v>4663</v>
      </c>
      <c r="E1598" t="s">
        <v>4</v>
      </c>
      <c r="F1598">
        <v>24</v>
      </c>
      <c r="G1598">
        <v>164</v>
      </c>
      <c r="H1598" t="s">
        <v>13</v>
      </c>
      <c r="I1598" t="b">
        <v>0</v>
      </c>
      <c r="J1598">
        <f t="shared" si="48"/>
        <v>0</v>
      </c>
      <c r="K1598" t="str">
        <f t="shared" si="49"/>
        <v>Neutral</v>
      </c>
    </row>
    <row r="1599" spans="1:11" x14ac:dyDescent="0.2">
      <c r="A1599" t="s">
        <v>3284</v>
      </c>
      <c r="B1599" t="s">
        <v>3285</v>
      </c>
      <c r="C1599" t="s">
        <v>3286</v>
      </c>
      <c r="D1599" t="s">
        <v>3287</v>
      </c>
      <c r="E1599" t="s">
        <v>4</v>
      </c>
      <c r="F1599">
        <v>1977</v>
      </c>
      <c r="G1599">
        <v>964</v>
      </c>
      <c r="H1599" t="s">
        <v>13</v>
      </c>
      <c r="I1599" t="b">
        <v>0</v>
      </c>
      <c r="J1599">
        <f t="shared" si="48"/>
        <v>0</v>
      </c>
      <c r="K1599" t="str">
        <f t="shared" si="49"/>
        <v>Neutral</v>
      </c>
    </row>
    <row r="1600" spans="1:11" x14ac:dyDescent="0.2">
      <c r="A1600" t="s">
        <v>1650</v>
      </c>
      <c r="B1600" t="s">
        <v>1651</v>
      </c>
      <c r="C1600" t="s">
        <v>1652</v>
      </c>
      <c r="D1600" t="s">
        <v>1653</v>
      </c>
      <c r="E1600" t="s">
        <v>4</v>
      </c>
      <c r="F1600">
        <v>2697</v>
      </c>
      <c r="G1600">
        <v>1249</v>
      </c>
      <c r="H1600" t="s">
        <v>13</v>
      </c>
      <c r="I1600" t="b">
        <v>0</v>
      </c>
      <c r="J1600">
        <f t="shared" si="48"/>
        <v>0</v>
      </c>
      <c r="K1600" t="str">
        <f t="shared" si="49"/>
        <v>Neutral</v>
      </c>
    </row>
    <row r="1601" spans="1:11" x14ac:dyDescent="0.2">
      <c r="A1601" t="s">
        <v>2795</v>
      </c>
      <c r="B1601" t="s">
        <v>2796</v>
      </c>
      <c r="C1601" t="s">
        <v>1103</v>
      </c>
      <c r="D1601" t="s">
        <v>3</v>
      </c>
      <c r="E1601" t="s">
        <v>4</v>
      </c>
      <c r="F1601">
        <v>1</v>
      </c>
      <c r="G1601">
        <v>0</v>
      </c>
      <c r="H1601" t="s">
        <v>13</v>
      </c>
      <c r="I1601" t="b">
        <v>0</v>
      </c>
      <c r="J1601">
        <f t="shared" si="48"/>
        <v>0</v>
      </c>
      <c r="K1601" t="str">
        <f t="shared" si="49"/>
        <v>Neutral</v>
      </c>
    </row>
    <row r="1602" spans="1:11" x14ac:dyDescent="0.2">
      <c r="A1602" t="s">
        <v>6410</v>
      </c>
      <c r="B1602" t="s">
        <v>6411</v>
      </c>
      <c r="C1602" t="s">
        <v>1086</v>
      </c>
      <c r="D1602" t="s">
        <v>1255</v>
      </c>
      <c r="E1602" t="s">
        <v>4</v>
      </c>
      <c r="F1602">
        <v>195</v>
      </c>
      <c r="G1602">
        <v>173</v>
      </c>
      <c r="H1602" t="s">
        <v>13</v>
      </c>
      <c r="I1602" t="b">
        <v>0</v>
      </c>
      <c r="J1602">
        <f t="shared" si="48"/>
        <v>0</v>
      </c>
      <c r="K1602" t="str">
        <f t="shared" si="49"/>
        <v>Neutral</v>
      </c>
    </row>
    <row r="1603" spans="1:11" x14ac:dyDescent="0.2">
      <c r="A1603" t="s">
        <v>3686</v>
      </c>
      <c r="B1603" t="s">
        <v>3687</v>
      </c>
      <c r="C1603" t="s">
        <v>1842</v>
      </c>
      <c r="D1603" t="s">
        <v>2171</v>
      </c>
      <c r="E1603" t="s">
        <v>4</v>
      </c>
      <c r="F1603">
        <v>36</v>
      </c>
      <c r="G1603">
        <v>175</v>
      </c>
      <c r="H1603" t="s">
        <v>13</v>
      </c>
      <c r="I1603" t="b">
        <v>0</v>
      </c>
      <c r="J1603">
        <f t="shared" ref="J1603:J1666" si="50">sentimentCalc(B1603)</f>
        <v>0</v>
      </c>
      <c r="K1603" t="str">
        <f t="shared" ref="K1603:K1666" si="51">sentimentCategory(J1603)</f>
        <v>Neutral</v>
      </c>
    </row>
    <row r="1604" spans="1:11" x14ac:dyDescent="0.2">
      <c r="A1604" t="s">
        <v>937</v>
      </c>
      <c r="B1604" t="s">
        <v>938</v>
      </c>
      <c r="C1604" t="s">
        <v>939</v>
      </c>
      <c r="D1604" t="s">
        <v>491</v>
      </c>
      <c r="E1604" t="s">
        <v>4</v>
      </c>
      <c r="F1604">
        <v>150</v>
      </c>
      <c r="G1604">
        <v>367</v>
      </c>
      <c r="H1604" t="s">
        <v>13</v>
      </c>
      <c r="I1604" t="b">
        <v>0</v>
      </c>
      <c r="J1604">
        <f t="shared" si="50"/>
        <v>0</v>
      </c>
      <c r="K1604" t="str">
        <f t="shared" si="51"/>
        <v>Neutral</v>
      </c>
    </row>
    <row r="1605" spans="1:11" x14ac:dyDescent="0.2">
      <c r="A1605" t="s">
        <v>6676</v>
      </c>
      <c r="B1605" t="s">
        <v>6677</v>
      </c>
      <c r="C1605" t="s">
        <v>6678</v>
      </c>
      <c r="D1605" t="s">
        <v>6679</v>
      </c>
      <c r="E1605" t="s">
        <v>4</v>
      </c>
      <c r="F1605">
        <v>22</v>
      </c>
      <c r="G1605">
        <v>109</v>
      </c>
      <c r="H1605" t="s">
        <v>86</v>
      </c>
      <c r="I1605" t="b">
        <v>0</v>
      </c>
      <c r="J1605">
        <f t="shared" si="50"/>
        <v>10</v>
      </c>
      <c r="K1605" t="str">
        <f t="shared" si="51"/>
        <v>Positive</v>
      </c>
    </row>
    <row r="1606" spans="1:11" x14ac:dyDescent="0.2">
      <c r="A1606" t="s">
        <v>1882</v>
      </c>
      <c r="B1606" t="s">
        <v>1883</v>
      </c>
      <c r="C1606" t="s">
        <v>1884</v>
      </c>
      <c r="D1606" t="s">
        <v>928</v>
      </c>
      <c r="E1606" t="s">
        <v>4</v>
      </c>
      <c r="F1606">
        <v>511</v>
      </c>
      <c r="G1606">
        <v>1334</v>
      </c>
      <c r="H1606" t="s">
        <v>86</v>
      </c>
      <c r="I1606" t="b">
        <v>0</v>
      </c>
      <c r="J1606">
        <f t="shared" si="50"/>
        <v>0</v>
      </c>
      <c r="K1606" t="str">
        <f t="shared" si="51"/>
        <v>Neutral</v>
      </c>
    </row>
    <row r="1607" spans="1:11" x14ac:dyDescent="0.2">
      <c r="A1607" t="s">
        <v>2895</v>
      </c>
      <c r="B1607" t="s">
        <v>2896</v>
      </c>
      <c r="C1607" t="s">
        <v>2897</v>
      </c>
      <c r="D1607" t="s">
        <v>3</v>
      </c>
      <c r="E1607" t="s">
        <v>4</v>
      </c>
      <c r="F1607">
        <v>180</v>
      </c>
      <c r="G1607">
        <v>844</v>
      </c>
      <c r="H1607" t="s">
        <v>13</v>
      </c>
      <c r="I1607" t="b">
        <v>0</v>
      </c>
      <c r="J1607">
        <f t="shared" si="50"/>
        <v>0</v>
      </c>
      <c r="K1607" t="str">
        <f t="shared" si="51"/>
        <v>Neutral</v>
      </c>
    </row>
    <row r="1608" spans="1:11" x14ac:dyDescent="0.2">
      <c r="A1608" t="s">
        <v>6756</v>
      </c>
      <c r="B1608" t="s">
        <v>6757</v>
      </c>
      <c r="C1608" t="s">
        <v>1402</v>
      </c>
      <c r="D1608" t="s">
        <v>64</v>
      </c>
      <c r="E1608" t="s">
        <v>4</v>
      </c>
      <c r="F1608">
        <v>1078</v>
      </c>
      <c r="G1608">
        <v>93</v>
      </c>
      <c r="H1608" t="s">
        <v>13</v>
      </c>
      <c r="I1608" t="b">
        <v>0</v>
      </c>
      <c r="J1608">
        <f t="shared" si="50"/>
        <v>0</v>
      </c>
      <c r="K1608" t="str">
        <f t="shared" si="51"/>
        <v>Neutral</v>
      </c>
    </row>
    <row r="1609" spans="1:11" x14ac:dyDescent="0.2">
      <c r="A1609" t="s">
        <v>5647</v>
      </c>
      <c r="B1609" t="s">
        <v>5648</v>
      </c>
      <c r="C1609" t="s">
        <v>5649</v>
      </c>
      <c r="D1609" t="s">
        <v>3</v>
      </c>
      <c r="E1609" t="s">
        <v>4</v>
      </c>
      <c r="F1609">
        <v>281</v>
      </c>
      <c r="G1609">
        <v>414</v>
      </c>
      <c r="H1609" t="s">
        <v>13</v>
      </c>
      <c r="I1609" t="b">
        <v>0</v>
      </c>
      <c r="J1609">
        <f t="shared" si="50"/>
        <v>-10</v>
      </c>
      <c r="K1609" t="str">
        <f t="shared" si="51"/>
        <v>Negative</v>
      </c>
    </row>
    <row r="1610" spans="1:11" x14ac:dyDescent="0.2">
      <c r="A1610" t="s">
        <v>6547</v>
      </c>
      <c r="B1610" t="s">
        <v>6548</v>
      </c>
      <c r="C1610" t="s">
        <v>786</v>
      </c>
      <c r="D1610" t="s">
        <v>3</v>
      </c>
      <c r="E1610" t="s">
        <v>4</v>
      </c>
      <c r="F1610">
        <v>298</v>
      </c>
      <c r="G1610">
        <v>262</v>
      </c>
      <c r="H1610" t="s">
        <v>13</v>
      </c>
      <c r="I1610" t="b">
        <v>0</v>
      </c>
      <c r="J1610">
        <f t="shared" si="50"/>
        <v>0</v>
      </c>
      <c r="K1610" t="str">
        <f t="shared" si="51"/>
        <v>Neutral</v>
      </c>
    </row>
    <row r="1611" spans="1:11" x14ac:dyDescent="0.2">
      <c r="A1611" t="s">
        <v>5544</v>
      </c>
      <c r="B1611" t="s">
        <v>5545</v>
      </c>
      <c r="C1611" t="s">
        <v>97</v>
      </c>
      <c r="D1611" t="s">
        <v>3</v>
      </c>
      <c r="E1611" t="s">
        <v>4</v>
      </c>
      <c r="F1611">
        <v>12423</v>
      </c>
      <c r="G1611">
        <v>537</v>
      </c>
      <c r="H1611" t="s">
        <v>13</v>
      </c>
      <c r="I1611" t="b">
        <v>0</v>
      </c>
      <c r="J1611">
        <f t="shared" si="50"/>
        <v>10</v>
      </c>
      <c r="K1611" t="str">
        <f t="shared" si="51"/>
        <v>Positive</v>
      </c>
    </row>
    <row r="1612" spans="1:11" x14ac:dyDescent="0.2">
      <c r="A1612" t="s">
        <v>2528</v>
      </c>
      <c r="B1612" t="s">
        <v>2529</v>
      </c>
      <c r="C1612" t="s">
        <v>2530</v>
      </c>
      <c r="D1612" t="s">
        <v>2531</v>
      </c>
      <c r="E1612" t="s">
        <v>4</v>
      </c>
      <c r="F1612">
        <v>10</v>
      </c>
      <c r="G1612">
        <v>57</v>
      </c>
      <c r="H1612" t="s">
        <v>266</v>
      </c>
      <c r="I1612" t="b">
        <v>0</v>
      </c>
      <c r="J1612">
        <f t="shared" si="50"/>
        <v>0</v>
      </c>
      <c r="K1612" t="str">
        <f t="shared" si="51"/>
        <v>Neutral</v>
      </c>
    </row>
    <row r="1613" spans="1:11" x14ac:dyDescent="0.2">
      <c r="A1613" t="s">
        <v>3379</v>
      </c>
      <c r="B1613" t="s">
        <v>3380</v>
      </c>
      <c r="C1613" t="s">
        <v>3381</v>
      </c>
      <c r="D1613" t="s">
        <v>3</v>
      </c>
      <c r="E1613" t="s">
        <v>4</v>
      </c>
      <c r="F1613">
        <v>138</v>
      </c>
      <c r="G1613">
        <v>150</v>
      </c>
      <c r="H1613" t="s">
        <v>13</v>
      </c>
      <c r="I1613" t="b">
        <v>0</v>
      </c>
      <c r="J1613">
        <f t="shared" si="50"/>
        <v>10</v>
      </c>
      <c r="K1613" t="str">
        <f t="shared" si="51"/>
        <v>Positive</v>
      </c>
    </row>
    <row r="1614" spans="1:11" x14ac:dyDescent="0.2">
      <c r="A1614" t="s">
        <v>1843</v>
      </c>
      <c r="B1614" t="s">
        <v>1844</v>
      </c>
      <c r="C1614" t="s">
        <v>1174</v>
      </c>
      <c r="D1614" t="s">
        <v>1845</v>
      </c>
      <c r="E1614" t="s">
        <v>4</v>
      </c>
      <c r="F1614">
        <v>7630</v>
      </c>
      <c r="G1614">
        <v>933</v>
      </c>
      <c r="H1614" t="s">
        <v>13</v>
      </c>
      <c r="I1614" t="b">
        <v>0</v>
      </c>
      <c r="J1614">
        <f t="shared" si="50"/>
        <v>10</v>
      </c>
      <c r="K1614" t="str">
        <f t="shared" si="51"/>
        <v>Positive</v>
      </c>
    </row>
    <row r="1615" spans="1:11" x14ac:dyDescent="0.2">
      <c r="A1615" t="s">
        <v>5907</v>
      </c>
      <c r="B1615" t="s">
        <v>5908</v>
      </c>
      <c r="C1615" t="s">
        <v>4363</v>
      </c>
      <c r="D1615" t="s">
        <v>5909</v>
      </c>
      <c r="E1615" t="s">
        <v>4</v>
      </c>
      <c r="F1615">
        <v>416</v>
      </c>
      <c r="G1615">
        <v>778</v>
      </c>
      <c r="H1615" t="s">
        <v>13</v>
      </c>
      <c r="I1615" t="b">
        <v>0</v>
      </c>
      <c r="J1615">
        <f t="shared" si="50"/>
        <v>0</v>
      </c>
      <c r="K1615" t="str">
        <f t="shared" si="51"/>
        <v>Neutral</v>
      </c>
    </row>
    <row r="1616" spans="1:11" x14ac:dyDescent="0.2">
      <c r="A1616" t="s">
        <v>334</v>
      </c>
      <c r="B1616" t="s">
        <v>335</v>
      </c>
      <c r="C1616" t="s">
        <v>336</v>
      </c>
      <c r="D1616" t="s">
        <v>337</v>
      </c>
      <c r="E1616" t="s">
        <v>4</v>
      </c>
      <c r="F1616">
        <v>824</v>
      </c>
      <c r="G1616">
        <v>660</v>
      </c>
      <c r="H1616" t="s">
        <v>13</v>
      </c>
      <c r="I1616" t="b">
        <v>0</v>
      </c>
      <c r="J1616">
        <f t="shared" si="50"/>
        <v>0</v>
      </c>
      <c r="K1616" t="str">
        <f t="shared" si="51"/>
        <v>Neutral</v>
      </c>
    </row>
    <row r="1617" spans="1:11" x14ac:dyDescent="0.2">
      <c r="A1617" t="s">
        <v>2320</v>
      </c>
      <c r="B1617" t="s">
        <v>2321</v>
      </c>
      <c r="C1617" t="s">
        <v>2322</v>
      </c>
      <c r="D1617" t="s">
        <v>3</v>
      </c>
      <c r="E1617" t="s">
        <v>4</v>
      </c>
      <c r="F1617">
        <v>392</v>
      </c>
      <c r="G1617">
        <v>494</v>
      </c>
      <c r="H1617" t="s">
        <v>13</v>
      </c>
      <c r="I1617" t="b">
        <v>0</v>
      </c>
      <c r="J1617">
        <f t="shared" si="50"/>
        <v>0</v>
      </c>
      <c r="K1617" t="str">
        <f t="shared" si="51"/>
        <v>Neutral</v>
      </c>
    </row>
    <row r="1618" spans="1:11" x14ac:dyDescent="0.2">
      <c r="A1618" t="s">
        <v>2338</v>
      </c>
      <c r="B1618" t="s">
        <v>2339</v>
      </c>
      <c r="C1618" t="s">
        <v>2340</v>
      </c>
      <c r="D1618" t="s">
        <v>566</v>
      </c>
      <c r="E1618" t="s">
        <v>4</v>
      </c>
      <c r="F1618">
        <v>1883</v>
      </c>
      <c r="G1618">
        <v>4861</v>
      </c>
      <c r="H1618" t="s">
        <v>13</v>
      </c>
      <c r="I1618" t="b">
        <v>0</v>
      </c>
      <c r="J1618">
        <f t="shared" si="50"/>
        <v>10</v>
      </c>
      <c r="K1618" t="str">
        <f t="shared" si="51"/>
        <v>Positive</v>
      </c>
    </row>
    <row r="1619" spans="1:11" x14ac:dyDescent="0.2">
      <c r="A1619" t="s">
        <v>1184</v>
      </c>
      <c r="B1619" t="s">
        <v>1185</v>
      </c>
      <c r="C1619" t="s">
        <v>1162</v>
      </c>
      <c r="D1619" t="s">
        <v>1163</v>
      </c>
      <c r="E1619" t="s">
        <v>4</v>
      </c>
      <c r="F1619">
        <v>142</v>
      </c>
      <c r="G1619">
        <v>137</v>
      </c>
      <c r="H1619" t="s">
        <v>13</v>
      </c>
      <c r="I1619" t="b">
        <v>0</v>
      </c>
      <c r="J1619">
        <f t="shared" si="50"/>
        <v>-10</v>
      </c>
      <c r="K1619" t="str">
        <f t="shared" si="51"/>
        <v>Negative</v>
      </c>
    </row>
    <row r="1620" spans="1:11" x14ac:dyDescent="0.2">
      <c r="A1620" t="s">
        <v>1603</v>
      </c>
      <c r="B1620" t="s">
        <v>1604</v>
      </c>
      <c r="C1620" t="s">
        <v>568</v>
      </c>
      <c r="D1620" t="s">
        <v>113</v>
      </c>
      <c r="E1620" t="s">
        <v>4</v>
      </c>
      <c r="F1620">
        <v>361</v>
      </c>
      <c r="G1620">
        <v>1799</v>
      </c>
      <c r="H1620" t="s">
        <v>13</v>
      </c>
      <c r="I1620" t="b">
        <v>0</v>
      </c>
      <c r="J1620">
        <f t="shared" si="50"/>
        <v>20</v>
      </c>
      <c r="K1620" t="str">
        <f t="shared" si="51"/>
        <v>Positive</v>
      </c>
    </row>
    <row r="1621" spans="1:11" x14ac:dyDescent="0.2">
      <c r="A1621" t="s">
        <v>131</v>
      </c>
      <c r="B1621" t="s">
        <v>132</v>
      </c>
      <c r="C1621" t="s">
        <v>133</v>
      </c>
      <c r="D1621" t="s">
        <v>134</v>
      </c>
      <c r="E1621" t="s">
        <v>4</v>
      </c>
      <c r="F1621">
        <v>1230</v>
      </c>
      <c r="G1621">
        <v>140</v>
      </c>
      <c r="H1621" t="s">
        <v>13</v>
      </c>
      <c r="I1621" t="b">
        <v>0</v>
      </c>
      <c r="J1621">
        <f t="shared" si="50"/>
        <v>0</v>
      </c>
      <c r="K1621" t="str">
        <f t="shared" si="51"/>
        <v>Neutral</v>
      </c>
    </row>
    <row r="1622" spans="1:11" x14ac:dyDescent="0.2">
      <c r="A1622" t="s">
        <v>929</v>
      </c>
      <c r="B1622" t="s">
        <v>930</v>
      </c>
      <c r="C1622" t="s">
        <v>931</v>
      </c>
      <c r="D1622" t="s">
        <v>932</v>
      </c>
      <c r="E1622" t="s">
        <v>4</v>
      </c>
      <c r="F1622">
        <v>101</v>
      </c>
      <c r="G1622">
        <v>295</v>
      </c>
      <c r="H1622" t="s">
        <v>13</v>
      </c>
      <c r="I1622" t="b">
        <v>0</v>
      </c>
      <c r="J1622">
        <f t="shared" si="50"/>
        <v>0</v>
      </c>
      <c r="K1622" t="str">
        <f t="shared" si="51"/>
        <v>Neutral</v>
      </c>
    </row>
    <row r="1623" spans="1:11" x14ac:dyDescent="0.2">
      <c r="A1623" t="s">
        <v>5572</v>
      </c>
      <c r="B1623" t="s">
        <v>5573</v>
      </c>
      <c r="C1623" t="s">
        <v>4003</v>
      </c>
      <c r="D1623" t="s">
        <v>1772</v>
      </c>
      <c r="E1623" t="s">
        <v>4</v>
      </c>
      <c r="F1623">
        <v>97</v>
      </c>
      <c r="G1623">
        <v>183</v>
      </c>
      <c r="H1623" t="s">
        <v>13</v>
      </c>
      <c r="I1623" t="b">
        <v>0</v>
      </c>
      <c r="J1623">
        <f t="shared" si="50"/>
        <v>0</v>
      </c>
      <c r="K1623" t="str">
        <f t="shared" si="51"/>
        <v>Neutral</v>
      </c>
    </row>
    <row r="1624" spans="1:11" x14ac:dyDescent="0.2">
      <c r="A1624" t="s">
        <v>1164</v>
      </c>
      <c r="B1624" t="s">
        <v>1165</v>
      </c>
      <c r="C1624" t="s">
        <v>1166</v>
      </c>
      <c r="D1624" t="s">
        <v>1167</v>
      </c>
      <c r="E1624" t="s">
        <v>4</v>
      </c>
      <c r="F1624">
        <v>187</v>
      </c>
      <c r="G1624">
        <v>98</v>
      </c>
      <c r="H1624" t="s">
        <v>86</v>
      </c>
      <c r="I1624" t="b">
        <v>0</v>
      </c>
      <c r="J1624">
        <f t="shared" si="50"/>
        <v>-10</v>
      </c>
      <c r="K1624" t="str">
        <f t="shared" si="51"/>
        <v>Negative</v>
      </c>
    </row>
    <row r="1625" spans="1:11" x14ac:dyDescent="0.2">
      <c r="A1625" t="s">
        <v>6825</v>
      </c>
      <c r="B1625" t="s">
        <v>6826</v>
      </c>
      <c r="C1625" t="s">
        <v>2155</v>
      </c>
      <c r="D1625" t="s">
        <v>122</v>
      </c>
      <c r="E1625" t="s">
        <v>4</v>
      </c>
      <c r="F1625">
        <v>4696</v>
      </c>
      <c r="G1625">
        <v>2751</v>
      </c>
      <c r="H1625" t="s">
        <v>13</v>
      </c>
      <c r="I1625" t="b">
        <v>0</v>
      </c>
      <c r="J1625">
        <f t="shared" si="50"/>
        <v>10</v>
      </c>
      <c r="K1625" t="str">
        <f t="shared" si="51"/>
        <v>Positive</v>
      </c>
    </row>
    <row r="1626" spans="1:11" x14ac:dyDescent="0.2">
      <c r="A1626" t="s">
        <v>2136</v>
      </c>
      <c r="B1626" t="s">
        <v>2137</v>
      </c>
      <c r="C1626" t="s">
        <v>2138</v>
      </c>
      <c r="D1626" t="s">
        <v>2139</v>
      </c>
      <c r="E1626" t="s">
        <v>4</v>
      </c>
      <c r="F1626">
        <v>19</v>
      </c>
      <c r="G1626">
        <v>70</v>
      </c>
      <c r="H1626" t="s">
        <v>13</v>
      </c>
      <c r="I1626" t="b">
        <v>0</v>
      </c>
      <c r="J1626">
        <f t="shared" si="50"/>
        <v>0</v>
      </c>
      <c r="K1626" t="str">
        <f t="shared" si="51"/>
        <v>Neutral</v>
      </c>
    </row>
    <row r="1627" spans="1:11" x14ac:dyDescent="0.2">
      <c r="A1627" t="s">
        <v>3267</v>
      </c>
      <c r="B1627" t="s">
        <v>3268</v>
      </c>
      <c r="C1627" t="s">
        <v>472</v>
      </c>
      <c r="D1627" t="s">
        <v>473</v>
      </c>
      <c r="E1627" t="s">
        <v>4</v>
      </c>
      <c r="F1627">
        <v>366</v>
      </c>
      <c r="G1627">
        <v>225</v>
      </c>
      <c r="H1627" t="s">
        <v>13</v>
      </c>
      <c r="I1627" t="b">
        <v>0</v>
      </c>
      <c r="J1627">
        <f t="shared" si="50"/>
        <v>0</v>
      </c>
      <c r="K1627" t="str">
        <f t="shared" si="51"/>
        <v>Neutral</v>
      </c>
    </row>
    <row r="1628" spans="1:11" x14ac:dyDescent="0.2">
      <c r="A1628" t="s">
        <v>5243</v>
      </c>
      <c r="B1628" t="s">
        <v>5244</v>
      </c>
      <c r="C1628" t="s">
        <v>5245</v>
      </c>
      <c r="D1628" t="s">
        <v>3</v>
      </c>
      <c r="E1628" t="s">
        <v>4</v>
      </c>
      <c r="F1628">
        <v>101</v>
      </c>
      <c r="G1628">
        <v>367</v>
      </c>
      <c r="H1628" t="s">
        <v>13</v>
      </c>
      <c r="I1628" t="b">
        <v>0</v>
      </c>
      <c r="J1628">
        <f t="shared" si="50"/>
        <v>-10</v>
      </c>
      <c r="K1628" t="str">
        <f t="shared" si="51"/>
        <v>Negative</v>
      </c>
    </row>
    <row r="1629" spans="1:11" x14ac:dyDescent="0.2">
      <c r="A1629" t="s">
        <v>1677</v>
      </c>
      <c r="B1629" t="s">
        <v>1678</v>
      </c>
      <c r="C1629" t="s">
        <v>1679</v>
      </c>
      <c r="D1629" t="s">
        <v>3</v>
      </c>
      <c r="E1629" t="s">
        <v>4</v>
      </c>
      <c r="F1629">
        <v>231</v>
      </c>
      <c r="G1629">
        <v>453</v>
      </c>
      <c r="H1629" t="s">
        <v>13</v>
      </c>
      <c r="I1629" t="b">
        <v>0</v>
      </c>
      <c r="J1629">
        <f t="shared" si="50"/>
        <v>0</v>
      </c>
      <c r="K1629" t="str">
        <f t="shared" si="51"/>
        <v>Neutral</v>
      </c>
    </row>
    <row r="1630" spans="1:11" x14ac:dyDescent="0.2">
      <c r="A1630" t="s">
        <v>7238</v>
      </c>
      <c r="B1630" t="s">
        <v>7239</v>
      </c>
      <c r="C1630" t="s">
        <v>7240</v>
      </c>
      <c r="D1630" t="s">
        <v>5919</v>
      </c>
      <c r="E1630" t="s">
        <v>4</v>
      </c>
      <c r="F1630">
        <v>567</v>
      </c>
      <c r="G1630">
        <v>746</v>
      </c>
      <c r="H1630" t="s">
        <v>13</v>
      </c>
      <c r="I1630" t="b">
        <v>0</v>
      </c>
      <c r="J1630">
        <f t="shared" si="50"/>
        <v>0</v>
      </c>
      <c r="K1630" t="str">
        <f t="shared" si="51"/>
        <v>Neutral</v>
      </c>
    </row>
    <row r="1631" spans="1:11" x14ac:dyDescent="0.2">
      <c r="A1631" t="s">
        <v>4208</v>
      </c>
      <c r="B1631" t="s">
        <v>4209</v>
      </c>
      <c r="C1631" t="s">
        <v>2611</v>
      </c>
      <c r="D1631" t="s">
        <v>3</v>
      </c>
      <c r="E1631" t="s">
        <v>4</v>
      </c>
      <c r="F1631">
        <v>9721</v>
      </c>
      <c r="G1631">
        <v>45</v>
      </c>
      <c r="H1631" t="s">
        <v>13</v>
      </c>
      <c r="I1631" t="b">
        <v>0</v>
      </c>
      <c r="J1631">
        <f t="shared" si="50"/>
        <v>0</v>
      </c>
      <c r="K1631" t="str">
        <f t="shared" si="51"/>
        <v>Neutral</v>
      </c>
    </row>
    <row r="1632" spans="1:11" x14ac:dyDescent="0.2">
      <c r="A1632" t="s">
        <v>437</v>
      </c>
      <c r="B1632" t="s">
        <v>438</v>
      </c>
      <c r="C1632" t="s">
        <v>439</v>
      </c>
      <c r="D1632" t="s">
        <v>440</v>
      </c>
      <c r="E1632" t="s">
        <v>4</v>
      </c>
      <c r="F1632">
        <v>1268</v>
      </c>
      <c r="G1632">
        <v>375</v>
      </c>
      <c r="H1632" t="s">
        <v>13</v>
      </c>
      <c r="I1632" t="b">
        <v>0</v>
      </c>
      <c r="J1632">
        <f t="shared" si="50"/>
        <v>0</v>
      </c>
      <c r="K1632" t="str">
        <f t="shared" si="51"/>
        <v>Neutral</v>
      </c>
    </row>
    <row r="1633" spans="1:11" x14ac:dyDescent="0.2">
      <c r="A1633" t="s">
        <v>2488</v>
      </c>
      <c r="B1633" t="s">
        <v>2489</v>
      </c>
      <c r="C1633" t="s">
        <v>2490</v>
      </c>
      <c r="D1633" t="s">
        <v>2491</v>
      </c>
      <c r="E1633" t="s">
        <v>4</v>
      </c>
      <c r="F1633">
        <v>162</v>
      </c>
      <c r="G1633">
        <v>418</v>
      </c>
      <c r="H1633" t="s">
        <v>13</v>
      </c>
      <c r="I1633" t="b">
        <v>0</v>
      </c>
      <c r="J1633">
        <f t="shared" si="50"/>
        <v>0</v>
      </c>
      <c r="K1633" t="str">
        <f t="shared" si="51"/>
        <v>Neutral</v>
      </c>
    </row>
    <row r="1634" spans="1:11" x14ac:dyDescent="0.2">
      <c r="A1634" t="s">
        <v>4878</v>
      </c>
      <c r="B1634" t="s">
        <v>4879</v>
      </c>
      <c r="C1634" t="s">
        <v>4880</v>
      </c>
      <c r="D1634" t="s">
        <v>4881</v>
      </c>
      <c r="E1634" t="s">
        <v>4</v>
      </c>
      <c r="F1634">
        <v>928</v>
      </c>
      <c r="G1634">
        <v>437</v>
      </c>
      <c r="H1634" t="s">
        <v>13</v>
      </c>
      <c r="I1634" t="b">
        <v>0</v>
      </c>
      <c r="J1634">
        <f t="shared" si="50"/>
        <v>10</v>
      </c>
      <c r="K1634" t="str">
        <f t="shared" si="51"/>
        <v>Positive</v>
      </c>
    </row>
    <row r="1635" spans="1:11" x14ac:dyDescent="0.2">
      <c r="A1635" t="s">
        <v>6733</v>
      </c>
      <c r="B1635" t="s">
        <v>6734</v>
      </c>
      <c r="C1635" t="s">
        <v>585</v>
      </c>
      <c r="D1635" t="s">
        <v>3</v>
      </c>
      <c r="E1635" t="s">
        <v>4</v>
      </c>
      <c r="F1635">
        <v>2545</v>
      </c>
      <c r="G1635">
        <v>984</v>
      </c>
      <c r="H1635" t="s">
        <v>13</v>
      </c>
      <c r="I1635" t="b">
        <v>0</v>
      </c>
      <c r="J1635">
        <f t="shared" si="50"/>
        <v>0</v>
      </c>
      <c r="K1635" t="str">
        <f t="shared" si="51"/>
        <v>Neutral</v>
      </c>
    </row>
    <row r="1636" spans="1:11" x14ac:dyDescent="0.2">
      <c r="A1636" t="s">
        <v>4220</v>
      </c>
      <c r="B1636" t="s">
        <v>4221</v>
      </c>
      <c r="C1636" t="s">
        <v>4222</v>
      </c>
      <c r="D1636" t="s">
        <v>3</v>
      </c>
      <c r="E1636" t="s">
        <v>4</v>
      </c>
      <c r="F1636">
        <v>263</v>
      </c>
      <c r="G1636">
        <v>731</v>
      </c>
      <c r="H1636" t="s">
        <v>13</v>
      </c>
      <c r="I1636" t="b">
        <v>0</v>
      </c>
      <c r="J1636">
        <f t="shared" si="50"/>
        <v>20</v>
      </c>
      <c r="K1636" t="str">
        <f t="shared" si="51"/>
        <v>Positive</v>
      </c>
    </row>
    <row r="1637" spans="1:11" x14ac:dyDescent="0.2">
      <c r="A1637" t="s">
        <v>5670</v>
      </c>
      <c r="B1637" t="s">
        <v>5671</v>
      </c>
      <c r="C1637" t="s">
        <v>648</v>
      </c>
      <c r="D1637" t="s">
        <v>5672</v>
      </c>
      <c r="E1637" t="s">
        <v>38</v>
      </c>
      <c r="F1637">
        <v>7388</v>
      </c>
      <c r="G1637">
        <v>1325</v>
      </c>
      <c r="H1637" t="s">
        <v>13</v>
      </c>
      <c r="I1637" t="b">
        <v>0</v>
      </c>
      <c r="J1637">
        <f t="shared" si="50"/>
        <v>10</v>
      </c>
      <c r="K1637" t="str">
        <f t="shared" si="51"/>
        <v>Positive</v>
      </c>
    </row>
    <row r="1638" spans="1:11" x14ac:dyDescent="0.2">
      <c r="A1638" t="s">
        <v>5226</v>
      </c>
      <c r="B1638" t="s">
        <v>5227</v>
      </c>
      <c r="C1638" t="s">
        <v>978</v>
      </c>
      <c r="D1638" t="s">
        <v>3137</v>
      </c>
      <c r="E1638" t="s">
        <v>4</v>
      </c>
      <c r="F1638">
        <v>353</v>
      </c>
      <c r="G1638">
        <v>189</v>
      </c>
      <c r="H1638" t="s">
        <v>13</v>
      </c>
      <c r="I1638" t="b">
        <v>0</v>
      </c>
      <c r="J1638">
        <f t="shared" si="50"/>
        <v>0</v>
      </c>
      <c r="K1638" t="str">
        <f t="shared" si="51"/>
        <v>Neutral</v>
      </c>
    </row>
    <row r="1639" spans="1:11" x14ac:dyDescent="0.2">
      <c r="A1639" t="s">
        <v>6762</v>
      </c>
      <c r="B1639" t="s">
        <v>6763</v>
      </c>
      <c r="C1639" t="s">
        <v>6764</v>
      </c>
      <c r="D1639" t="s">
        <v>326</v>
      </c>
      <c r="E1639" t="s">
        <v>4</v>
      </c>
      <c r="F1639">
        <v>227</v>
      </c>
      <c r="G1639">
        <v>1740</v>
      </c>
      <c r="H1639" t="s">
        <v>13</v>
      </c>
      <c r="I1639" t="b">
        <v>0</v>
      </c>
      <c r="J1639">
        <f t="shared" si="50"/>
        <v>0</v>
      </c>
      <c r="K1639" t="str">
        <f t="shared" si="51"/>
        <v>Neutral</v>
      </c>
    </row>
    <row r="1640" spans="1:11" x14ac:dyDescent="0.2">
      <c r="A1640" t="s">
        <v>5567</v>
      </c>
      <c r="B1640" t="s">
        <v>5568</v>
      </c>
      <c r="C1640" t="s">
        <v>468</v>
      </c>
      <c r="D1640" t="s">
        <v>469</v>
      </c>
      <c r="E1640" t="s">
        <v>4</v>
      </c>
      <c r="F1640">
        <v>5</v>
      </c>
      <c r="G1640">
        <v>13</v>
      </c>
      <c r="H1640" t="s">
        <v>13</v>
      </c>
      <c r="I1640" t="b">
        <v>0</v>
      </c>
      <c r="J1640">
        <f t="shared" si="50"/>
        <v>0</v>
      </c>
      <c r="K1640" t="str">
        <f t="shared" si="51"/>
        <v>Neutral</v>
      </c>
    </row>
    <row r="1641" spans="1:11" x14ac:dyDescent="0.2">
      <c r="A1641" t="s">
        <v>5198</v>
      </c>
      <c r="B1641" t="s">
        <v>5199</v>
      </c>
      <c r="C1641" t="s">
        <v>4520</v>
      </c>
      <c r="D1641" t="s">
        <v>5200</v>
      </c>
      <c r="E1641" t="s">
        <v>4</v>
      </c>
      <c r="F1641">
        <v>147</v>
      </c>
      <c r="G1641">
        <v>293</v>
      </c>
      <c r="H1641" t="s">
        <v>374</v>
      </c>
      <c r="I1641" t="b">
        <v>0</v>
      </c>
      <c r="J1641">
        <f t="shared" si="50"/>
        <v>0</v>
      </c>
      <c r="K1641" t="str">
        <f t="shared" si="51"/>
        <v>Neutral</v>
      </c>
    </row>
    <row r="1642" spans="1:11" x14ac:dyDescent="0.2">
      <c r="A1642" t="s">
        <v>1992</v>
      </c>
      <c r="B1642" t="s">
        <v>1993</v>
      </c>
      <c r="C1642" t="s">
        <v>1994</v>
      </c>
      <c r="D1642" t="s">
        <v>3</v>
      </c>
      <c r="E1642" t="s">
        <v>4</v>
      </c>
      <c r="F1642">
        <v>357</v>
      </c>
      <c r="G1642">
        <v>494</v>
      </c>
      <c r="H1642" t="s">
        <v>13</v>
      </c>
      <c r="I1642" t="b">
        <v>0</v>
      </c>
      <c r="J1642">
        <f t="shared" si="50"/>
        <v>10</v>
      </c>
      <c r="K1642" t="str">
        <f t="shared" si="51"/>
        <v>Positive</v>
      </c>
    </row>
    <row r="1643" spans="1:11" x14ac:dyDescent="0.2">
      <c r="A1643" t="s">
        <v>6046</v>
      </c>
      <c r="B1643" t="s">
        <v>6047</v>
      </c>
      <c r="C1643" t="s">
        <v>1572</v>
      </c>
      <c r="D1643" t="s">
        <v>6048</v>
      </c>
      <c r="E1643" t="s">
        <v>4</v>
      </c>
      <c r="F1643">
        <v>1105</v>
      </c>
      <c r="G1643">
        <v>510</v>
      </c>
      <c r="H1643" t="s">
        <v>13</v>
      </c>
      <c r="I1643" t="b">
        <v>0</v>
      </c>
      <c r="J1643">
        <f t="shared" si="50"/>
        <v>0</v>
      </c>
      <c r="K1643" t="str">
        <f t="shared" si="51"/>
        <v>Neutral</v>
      </c>
    </row>
    <row r="1644" spans="1:11" x14ac:dyDescent="0.2">
      <c r="A1644" t="s">
        <v>4130</v>
      </c>
      <c r="B1644" t="s">
        <v>4131</v>
      </c>
      <c r="C1644" t="s">
        <v>4132</v>
      </c>
      <c r="D1644" t="s">
        <v>4133</v>
      </c>
      <c r="E1644" t="s">
        <v>4</v>
      </c>
      <c r="F1644">
        <v>9385</v>
      </c>
      <c r="G1644">
        <v>118</v>
      </c>
      <c r="H1644" t="s">
        <v>13</v>
      </c>
      <c r="I1644" t="b">
        <v>0</v>
      </c>
      <c r="J1644">
        <f t="shared" si="50"/>
        <v>0</v>
      </c>
      <c r="K1644" t="str">
        <f t="shared" si="51"/>
        <v>Neutral</v>
      </c>
    </row>
    <row r="1645" spans="1:11" x14ac:dyDescent="0.2">
      <c r="A1645" t="s">
        <v>4552</v>
      </c>
      <c r="B1645" t="s">
        <v>4553</v>
      </c>
      <c r="C1645" t="s">
        <v>2520</v>
      </c>
      <c r="D1645" t="s">
        <v>3</v>
      </c>
      <c r="E1645" t="s">
        <v>4</v>
      </c>
      <c r="F1645">
        <v>143</v>
      </c>
      <c r="G1645">
        <v>166</v>
      </c>
      <c r="H1645" t="s">
        <v>645</v>
      </c>
      <c r="I1645" t="b">
        <v>0</v>
      </c>
      <c r="J1645">
        <f t="shared" si="50"/>
        <v>0</v>
      </c>
      <c r="K1645" t="str">
        <f t="shared" si="51"/>
        <v>Neutral</v>
      </c>
    </row>
    <row r="1646" spans="1:11" x14ac:dyDescent="0.2">
      <c r="A1646" t="s">
        <v>5205</v>
      </c>
      <c r="B1646" t="s">
        <v>5206</v>
      </c>
      <c r="C1646" t="s">
        <v>1090</v>
      </c>
      <c r="D1646" t="s">
        <v>705</v>
      </c>
      <c r="E1646" t="s">
        <v>4</v>
      </c>
      <c r="F1646">
        <v>16</v>
      </c>
      <c r="G1646">
        <v>37</v>
      </c>
      <c r="H1646" t="s">
        <v>13</v>
      </c>
      <c r="I1646" t="b">
        <v>0</v>
      </c>
      <c r="J1646">
        <f t="shared" si="50"/>
        <v>10</v>
      </c>
      <c r="K1646" t="str">
        <f t="shared" si="51"/>
        <v>Positive</v>
      </c>
    </row>
    <row r="1647" spans="1:11" x14ac:dyDescent="0.2">
      <c r="A1647" t="s">
        <v>3479</v>
      </c>
      <c r="B1647" t="s">
        <v>3480</v>
      </c>
      <c r="C1647" t="s">
        <v>3063</v>
      </c>
      <c r="D1647" t="s">
        <v>3481</v>
      </c>
      <c r="E1647" t="s">
        <v>4</v>
      </c>
      <c r="F1647">
        <v>5038</v>
      </c>
      <c r="G1647">
        <v>289</v>
      </c>
      <c r="H1647" t="s">
        <v>13</v>
      </c>
      <c r="I1647" t="b">
        <v>0</v>
      </c>
      <c r="J1647">
        <f t="shared" si="50"/>
        <v>0</v>
      </c>
      <c r="K1647" t="str">
        <f t="shared" si="51"/>
        <v>Neutral</v>
      </c>
    </row>
    <row r="1648" spans="1:11" x14ac:dyDescent="0.2">
      <c r="A1648" t="s">
        <v>4612</v>
      </c>
      <c r="B1648" t="s">
        <v>4613</v>
      </c>
      <c r="C1648" t="s">
        <v>197</v>
      </c>
      <c r="D1648" t="s">
        <v>4614</v>
      </c>
      <c r="E1648" t="s">
        <v>4</v>
      </c>
      <c r="F1648">
        <v>88</v>
      </c>
      <c r="G1648">
        <v>160</v>
      </c>
      <c r="H1648" t="s">
        <v>13</v>
      </c>
      <c r="I1648" t="b">
        <v>0</v>
      </c>
      <c r="J1648">
        <f t="shared" si="50"/>
        <v>10</v>
      </c>
      <c r="K1648" t="str">
        <f t="shared" si="51"/>
        <v>Positive</v>
      </c>
    </row>
    <row r="1649" spans="1:11" x14ac:dyDescent="0.2">
      <c r="A1649" t="s">
        <v>7087</v>
      </c>
      <c r="B1649" t="s">
        <v>7088</v>
      </c>
      <c r="C1649" t="s">
        <v>2733</v>
      </c>
      <c r="D1649" t="s">
        <v>7089</v>
      </c>
      <c r="E1649" t="s">
        <v>4</v>
      </c>
      <c r="F1649">
        <v>46</v>
      </c>
      <c r="G1649">
        <v>338</v>
      </c>
      <c r="H1649" t="s">
        <v>13</v>
      </c>
      <c r="I1649" t="b">
        <v>0</v>
      </c>
      <c r="J1649">
        <f t="shared" si="50"/>
        <v>0</v>
      </c>
      <c r="K1649" t="str">
        <f t="shared" si="51"/>
        <v>Neutral</v>
      </c>
    </row>
    <row r="1650" spans="1:11" x14ac:dyDescent="0.2">
      <c r="A1650" t="s">
        <v>1479</v>
      </c>
      <c r="B1650" t="s">
        <v>1480</v>
      </c>
      <c r="C1650" t="s">
        <v>1481</v>
      </c>
      <c r="D1650" t="s">
        <v>1482</v>
      </c>
      <c r="E1650" t="s">
        <v>4</v>
      </c>
      <c r="F1650">
        <v>4162</v>
      </c>
      <c r="G1650">
        <v>4148</v>
      </c>
      <c r="H1650" t="s">
        <v>13</v>
      </c>
      <c r="I1650" t="b">
        <v>0</v>
      </c>
      <c r="J1650">
        <f t="shared" si="50"/>
        <v>0</v>
      </c>
      <c r="K1650" t="str">
        <f t="shared" si="51"/>
        <v>Neutral</v>
      </c>
    </row>
    <row r="1651" spans="1:11" x14ac:dyDescent="0.2">
      <c r="A1651" t="s">
        <v>2095</v>
      </c>
      <c r="B1651" t="s">
        <v>2096</v>
      </c>
      <c r="C1651" t="s">
        <v>1906</v>
      </c>
      <c r="D1651" t="s">
        <v>1813</v>
      </c>
      <c r="E1651" t="s">
        <v>4</v>
      </c>
      <c r="F1651">
        <v>184</v>
      </c>
      <c r="G1651">
        <v>300</v>
      </c>
      <c r="H1651" t="s">
        <v>13</v>
      </c>
      <c r="I1651" t="b">
        <v>0</v>
      </c>
      <c r="J1651">
        <f t="shared" si="50"/>
        <v>0</v>
      </c>
      <c r="K1651" t="str">
        <f t="shared" si="51"/>
        <v>Neutral</v>
      </c>
    </row>
    <row r="1652" spans="1:11" x14ac:dyDescent="0.2">
      <c r="A1652" t="s">
        <v>3541</v>
      </c>
      <c r="B1652" t="s">
        <v>3542</v>
      </c>
      <c r="C1652" t="s">
        <v>41</v>
      </c>
      <c r="D1652" t="s">
        <v>3543</v>
      </c>
      <c r="E1652" t="s">
        <v>4</v>
      </c>
      <c r="F1652">
        <v>58</v>
      </c>
      <c r="G1652">
        <v>142</v>
      </c>
      <c r="H1652" t="s">
        <v>13</v>
      </c>
      <c r="I1652" t="b">
        <v>0</v>
      </c>
      <c r="J1652">
        <f t="shared" si="50"/>
        <v>10</v>
      </c>
      <c r="K1652" t="str">
        <f t="shared" si="51"/>
        <v>Positive</v>
      </c>
    </row>
    <row r="1653" spans="1:11" x14ac:dyDescent="0.2">
      <c r="A1653" t="s">
        <v>2283</v>
      </c>
      <c r="B1653" t="s">
        <v>2284</v>
      </c>
      <c r="C1653" t="s">
        <v>840</v>
      </c>
      <c r="D1653" t="s">
        <v>3</v>
      </c>
      <c r="E1653" t="s">
        <v>4</v>
      </c>
      <c r="F1653">
        <v>9</v>
      </c>
      <c r="G1653">
        <v>113</v>
      </c>
      <c r="H1653" t="s">
        <v>13</v>
      </c>
      <c r="I1653" t="b">
        <v>0</v>
      </c>
      <c r="J1653">
        <f t="shared" si="50"/>
        <v>10</v>
      </c>
      <c r="K1653" t="str">
        <f t="shared" si="51"/>
        <v>Positive</v>
      </c>
    </row>
    <row r="1654" spans="1:11" x14ac:dyDescent="0.2">
      <c r="A1654" t="s">
        <v>3242</v>
      </c>
      <c r="B1654" t="s">
        <v>3243</v>
      </c>
      <c r="C1654" t="s">
        <v>2002</v>
      </c>
      <c r="D1654" t="s">
        <v>3</v>
      </c>
      <c r="E1654" t="s">
        <v>4</v>
      </c>
      <c r="F1654">
        <v>30</v>
      </c>
      <c r="G1654">
        <v>33</v>
      </c>
      <c r="H1654" t="s">
        <v>13</v>
      </c>
      <c r="I1654" t="b">
        <v>0</v>
      </c>
      <c r="J1654">
        <f t="shared" si="50"/>
        <v>0</v>
      </c>
      <c r="K1654" t="str">
        <f t="shared" si="51"/>
        <v>Neutral</v>
      </c>
    </row>
    <row r="1655" spans="1:11" x14ac:dyDescent="0.2">
      <c r="A1655" t="s">
        <v>6075</v>
      </c>
      <c r="B1655" t="s">
        <v>6076</v>
      </c>
      <c r="C1655" t="s">
        <v>1012</v>
      </c>
      <c r="D1655" t="s">
        <v>1817</v>
      </c>
      <c r="E1655" t="s">
        <v>4</v>
      </c>
      <c r="F1655">
        <v>636</v>
      </c>
      <c r="G1655">
        <v>1186</v>
      </c>
      <c r="H1655" t="s">
        <v>13</v>
      </c>
      <c r="I1655" t="b">
        <v>0</v>
      </c>
      <c r="J1655">
        <f t="shared" si="50"/>
        <v>0</v>
      </c>
      <c r="K1655" t="str">
        <f t="shared" si="51"/>
        <v>Neutral</v>
      </c>
    </row>
    <row r="1656" spans="1:11" x14ac:dyDescent="0.2">
      <c r="A1656" t="s">
        <v>2507</v>
      </c>
      <c r="B1656" t="s">
        <v>2508</v>
      </c>
      <c r="C1656" t="s">
        <v>627</v>
      </c>
      <c r="D1656" t="s">
        <v>628</v>
      </c>
      <c r="E1656" t="s">
        <v>4</v>
      </c>
      <c r="F1656">
        <v>3565</v>
      </c>
      <c r="G1656">
        <v>88</v>
      </c>
      <c r="H1656" t="s">
        <v>13</v>
      </c>
      <c r="I1656" t="b">
        <v>0</v>
      </c>
      <c r="J1656">
        <f t="shared" si="50"/>
        <v>0</v>
      </c>
      <c r="K1656" t="str">
        <f t="shared" si="51"/>
        <v>Neutral</v>
      </c>
    </row>
    <row r="1657" spans="1:11" x14ac:dyDescent="0.2">
      <c r="A1657" t="s">
        <v>7075</v>
      </c>
      <c r="B1657" t="s">
        <v>7076</v>
      </c>
      <c r="C1657" t="s">
        <v>585</v>
      </c>
      <c r="D1657" t="s">
        <v>3</v>
      </c>
      <c r="E1657" t="s">
        <v>4</v>
      </c>
      <c r="F1657">
        <v>1930</v>
      </c>
      <c r="G1657">
        <v>186</v>
      </c>
      <c r="H1657" t="s">
        <v>374</v>
      </c>
      <c r="I1657" t="b">
        <v>0</v>
      </c>
      <c r="J1657">
        <f t="shared" si="50"/>
        <v>0</v>
      </c>
      <c r="K1657" t="str">
        <f t="shared" si="51"/>
        <v>Neutral</v>
      </c>
    </row>
    <row r="1658" spans="1:11" x14ac:dyDescent="0.2">
      <c r="A1658" t="s">
        <v>1450</v>
      </c>
      <c r="B1658" t="s">
        <v>1451</v>
      </c>
      <c r="C1658" t="s">
        <v>1452</v>
      </c>
      <c r="D1658" t="s">
        <v>1453</v>
      </c>
      <c r="E1658" t="s">
        <v>4</v>
      </c>
      <c r="F1658">
        <v>1100</v>
      </c>
      <c r="G1658">
        <v>512</v>
      </c>
      <c r="H1658" t="s">
        <v>13</v>
      </c>
      <c r="I1658" t="b">
        <v>0</v>
      </c>
      <c r="J1658">
        <f t="shared" si="50"/>
        <v>10</v>
      </c>
      <c r="K1658" t="str">
        <f t="shared" si="51"/>
        <v>Positive</v>
      </c>
    </row>
    <row r="1659" spans="1:11" x14ac:dyDescent="0.2">
      <c r="A1659" t="s">
        <v>43</v>
      </c>
      <c r="B1659" t="s">
        <v>44</v>
      </c>
      <c r="C1659" t="s">
        <v>45</v>
      </c>
      <c r="D1659" t="s">
        <v>3</v>
      </c>
      <c r="E1659" t="s">
        <v>4</v>
      </c>
      <c r="F1659">
        <v>1134</v>
      </c>
      <c r="G1659">
        <v>821</v>
      </c>
      <c r="H1659" t="s">
        <v>13</v>
      </c>
      <c r="I1659" t="b">
        <v>0</v>
      </c>
      <c r="J1659">
        <f t="shared" si="50"/>
        <v>0</v>
      </c>
      <c r="K1659" t="str">
        <f t="shared" si="51"/>
        <v>Neutral</v>
      </c>
    </row>
    <row r="1660" spans="1:11" x14ac:dyDescent="0.2">
      <c r="A1660" t="s">
        <v>1829</v>
      </c>
      <c r="B1660" t="s">
        <v>1830</v>
      </c>
      <c r="C1660" t="s">
        <v>377</v>
      </c>
      <c r="D1660" t="s">
        <v>1831</v>
      </c>
      <c r="E1660" t="s">
        <v>4</v>
      </c>
      <c r="F1660">
        <v>111</v>
      </c>
      <c r="G1660">
        <v>294</v>
      </c>
      <c r="H1660" t="s">
        <v>13</v>
      </c>
      <c r="I1660" t="b">
        <v>0</v>
      </c>
      <c r="J1660">
        <f t="shared" si="50"/>
        <v>0</v>
      </c>
      <c r="K1660" t="str">
        <f t="shared" si="51"/>
        <v>Neutral</v>
      </c>
    </row>
    <row r="1661" spans="1:11" x14ac:dyDescent="0.2">
      <c r="A1661" t="s">
        <v>1046</v>
      </c>
      <c r="B1661" t="s">
        <v>1047</v>
      </c>
      <c r="C1661" t="s">
        <v>1048</v>
      </c>
      <c r="D1661" t="s">
        <v>1049</v>
      </c>
      <c r="E1661" t="s">
        <v>4</v>
      </c>
      <c r="F1661">
        <v>389</v>
      </c>
      <c r="G1661">
        <v>3145</v>
      </c>
      <c r="H1661" t="s">
        <v>13</v>
      </c>
      <c r="I1661" t="b">
        <v>0</v>
      </c>
      <c r="J1661">
        <f t="shared" si="50"/>
        <v>0</v>
      </c>
      <c r="K1661" t="str">
        <f t="shared" si="51"/>
        <v>Neutral</v>
      </c>
    </row>
    <row r="1662" spans="1:11" x14ac:dyDescent="0.2">
      <c r="A1662" t="s">
        <v>2266</v>
      </c>
      <c r="B1662" t="s">
        <v>2267</v>
      </c>
      <c r="C1662" t="s">
        <v>2173</v>
      </c>
      <c r="D1662" t="s">
        <v>2174</v>
      </c>
      <c r="E1662" t="s">
        <v>4</v>
      </c>
      <c r="F1662">
        <v>62084</v>
      </c>
      <c r="G1662">
        <v>346</v>
      </c>
      <c r="H1662" t="s">
        <v>86</v>
      </c>
      <c r="I1662" t="b">
        <v>0</v>
      </c>
      <c r="J1662">
        <f t="shared" si="50"/>
        <v>0</v>
      </c>
      <c r="K1662" t="str">
        <f t="shared" si="51"/>
        <v>Neutral</v>
      </c>
    </row>
    <row r="1663" spans="1:11" x14ac:dyDescent="0.2">
      <c r="A1663" t="s">
        <v>2153</v>
      </c>
      <c r="B1663" t="s">
        <v>2154</v>
      </c>
      <c r="C1663" t="s">
        <v>2155</v>
      </c>
      <c r="D1663" t="s">
        <v>3</v>
      </c>
      <c r="E1663" t="s">
        <v>4</v>
      </c>
      <c r="F1663">
        <v>10</v>
      </c>
      <c r="G1663">
        <v>1</v>
      </c>
      <c r="H1663" t="s">
        <v>13</v>
      </c>
      <c r="I1663" t="b">
        <v>0</v>
      </c>
      <c r="J1663">
        <f t="shared" si="50"/>
        <v>10</v>
      </c>
      <c r="K1663" t="str">
        <f t="shared" si="51"/>
        <v>Positive</v>
      </c>
    </row>
    <row r="1664" spans="1:11" x14ac:dyDescent="0.2">
      <c r="A1664" t="s">
        <v>1610</v>
      </c>
      <c r="B1664" t="s">
        <v>1611</v>
      </c>
      <c r="C1664" t="s">
        <v>309</v>
      </c>
      <c r="D1664" t="s">
        <v>1612</v>
      </c>
      <c r="E1664" t="s">
        <v>4</v>
      </c>
      <c r="F1664">
        <v>53</v>
      </c>
      <c r="G1664">
        <v>210</v>
      </c>
      <c r="H1664" t="s">
        <v>13</v>
      </c>
      <c r="I1664" t="b">
        <v>0</v>
      </c>
      <c r="J1664">
        <f t="shared" si="50"/>
        <v>0</v>
      </c>
      <c r="K1664" t="str">
        <f t="shared" si="51"/>
        <v>Neutral</v>
      </c>
    </row>
    <row r="1665" spans="1:11" x14ac:dyDescent="0.2">
      <c r="A1665" t="s">
        <v>448</v>
      </c>
      <c r="B1665" t="s">
        <v>449</v>
      </c>
      <c r="C1665" t="s">
        <v>450</v>
      </c>
      <c r="D1665" t="s">
        <v>3</v>
      </c>
      <c r="E1665" t="s">
        <v>4</v>
      </c>
      <c r="F1665">
        <v>98</v>
      </c>
      <c r="G1665">
        <v>564</v>
      </c>
      <c r="H1665" t="s">
        <v>86</v>
      </c>
      <c r="I1665" t="b">
        <v>0</v>
      </c>
      <c r="J1665">
        <f t="shared" si="50"/>
        <v>10</v>
      </c>
      <c r="K1665" t="str">
        <f t="shared" si="51"/>
        <v>Positive</v>
      </c>
    </row>
    <row r="1666" spans="1:11" x14ac:dyDescent="0.2">
      <c r="A1666" t="s">
        <v>5414</v>
      </c>
      <c r="B1666" t="s">
        <v>5415</v>
      </c>
      <c r="C1666" t="s">
        <v>588</v>
      </c>
      <c r="D1666" t="s">
        <v>4545</v>
      </c>
      <c r="E1666" t="s">
        <v>4</v>
      </c>
      <c r="F1666">
        <v>13</v>
      </c>
      <c r="G1666">
        <v>58</v>
      </c>
      <c r="H1666" t="s">
        <v>13</v>
      </c>
      <c r="I1666" t="b">
        <v>0</v>
      </c>
      <c r="J1666">
        <f t="shared" si="50"/>
        <v>-10</v>
      </c>
      <c r="K1666" t="str">
        <f t="shared" si="51"/>
        <v>Negative</v>
      </c>
    </row>
    <row r="1667" spans="1:11" x14ac:dyDescent="0.2">
      <c r="A1667" t="s">
        <v>2650</v>
      </c>
      <c r="B1667" t="s">
        <v>2651</v>
      </c>
      <c r="C1667" t="s">
        <v>79</v>
      </c>
      <c r="D1667" t="s">
        <v>2652</v>
      </c>
      <c r="E1667" t="s">
        <v>4</v>
      </c>
      <c r="F1667">
        <v>8737</v>
      </c>
      <c r="G1667">
        <v>784</v>
      </c>
      <c r="H1667" t="s">
        <v>13</v>
      </c>
      <c r="I1667" t="b">
        <v>0</v>
      </c>
      <c r="J1667">
        <f t="shared" ref="J1667:J1730" si="52">sentimentCalc(B1667)</f>
        <v>0</v>
      </c>
      <c r="K1667" t="str">
        <f t="shared" ref="K1667:K1730" si="53">sentimentCategory(J1667)</f>
        <v>Neutral</v>
      </c>
    </row>
    <row r="1668" spans="1:11" x14ac:dyDescent="0.2">
      <c r="A1668" t="s">
        <v>681</v>
      </c>
      <c r="B1668" t="s">
        <v>682</v>
      </c>
      <c r="C1668" t="s">
        <v>683</v>
      </c>
      <c r="D1668" t="s">
        <v>491</v>
      </c>
      <c r="E1668" t="s">
        <v>4</v>
      </c>
      <c r="F1668">
        <v>1784</v>
      </c>
      <c r="G1668">
        <v>914</v>
      </c>
      <c r="H1668" t="s">
        <v>13</v>
      </c>
      <c r="I1668" t="b">
        <v>0</v>
      </c>
      <c r="J1668">
        <f t="shared" si="52"/>
        <v>0</v>
      </c>
      <c r="K1668" t="str">
        <f t="shared" si="53"/>
        <v>Neutral</v>
      </c>
    </row>
    <row r="1669" spans="1:11" x14ac:dyDescent="0.2">
      <c r="A1669" t="s">
        <v>5233</v>
      </c>
      <c r="B1669" t="s">
        <v>5234</v>
      </c>
      <c r="C1669" t="s">
        <v>414</v>
      </c>
      <c r="D1669" t="s">
        <v>3</v>
      </c>
      <c r="E1669" t="s">
        <v>4</v>
      </c>
      <c r="F1669">
        <v>637</v>
      </c>
      <c r="G1669">
        <v>862</v>
      </c>
      <c r="H1669" t="s">
        <v>13</v>
      </c>
      <c r="I1669" t="b">
        <v>0</v>
      </c>
      <c r="J1669">
        <f t="shared" si="52"/>
        <v>0</v>
      </c>
      <c r="K1669" t="str">
        <f t="shared" si="53"/>
        <v>Neutral</v>
      </c>
    </row>
    <row r="1670" spans="1:11" x14ac:dyDescent="0.2">
      <c r="A1670" t="s">
        <v>6582</v>
      </c>
      <c r="B1670" t="s">
        <v>6583</v>
      </c>
      <c r="C1670" t="s">
        <v>517</v>
      </c>
      <c r="D1670" t="s">
        <v>3</v>
      </c>
      <c r="E1670" t="s">
        <v>4</v>
      </c>
      <c r="F1670">
        <v>13</v>
      </c>
      <c r="G1670">
        <v>15</v>
      </c>
      <c r="H1670" t="s">
        <v>13</v>
      </c>
      <c r="I1670" t="b">
        <v>0</v>
      </c>
      <c r="J1670">
        <f t="shared" si="52"/>
        <v>0</v>
      </c>
      <c r="K1670" t="str">
        <f t="shared" si="53"/>
        <v>Neutral</v>
      </c>
    </row>
    <row r="1671" spans="1:11" x14ac:dyDescent="0.2">
      <c r="A1671" t="s">
        <v>6126</v>
      </c>
      <c r="B1671" t="s">
        <v>6127</v>
      </c>
      <c r="C1671" t="s">
        <v>6082</v>
      </c>
      <c r="D1671" t="s">
        <v>6083</v>
      </c>
      <c r="E1671" t="s">
        <v>4</v>
      </c>
      <c r="F1671">
        <v>6979</v>
      </c>
      <c r="G1671">
        <v>6188</v>
      </c>
      <c r="H1671" t="s">
        <v>13</v>
      </c>
      <c r="I1671" t="b">
        <v>0</v>
      </c>
      <c r="J1671">
        <f t="shared" si="52"/>
        <v>0</v>
      </c>
      <c r="K1671" t="str">
        <f t="shared" si="53"/>
        <v>Neutral</v>
      </c>
    </row>
    <row r="1672" spans="1:11" x14ac:dyDescent="0.2">
      <c r="A1672" t="s">
        <v>2431</v>
      </c>
      <c r="B1672" t="s">
        <v>2432</v>
      </c>
      <c r="C1672" t="s">
        <v>2433</v>
      </c>
      <c r="D1672" t="s">
        <v>2434</v>
      </c>
      <c r="E1672" t="s">
        <v>4</v>
      </c>
      <c r="F1672">
        <v>776</v>
      </c>
      <c r="G1672">
        <v>517</v>
      </c>
      <c r="H1672" t="s">
        <v>13</v>
      </c>
      <c r="I1672" t="b">
        <v>0</v>
      </c>
      <c r="J1672">
        <f t="shared" si="52"/>
        <v>0</v>
      </c>
      <c r="K1672" t="str">
        <f t="shared" si="53"/>
        <v>Neutral</v>
      </c>
    </row>
    <row r="1673" spans="1:11" x14ac:dyDescent="0.2">
      <c r="A1673" t="s">
        <v>291</v>
      </c>
      <c r="B1673" t="s">
        <v>292</v>
      </c>
      <c r="C1673" t="s">
        <v>293</v>
      </c>
      <c r="D1673" t="s">
        <v>3</v>
      </c>
      <c r="E1673" t="s">
        <v>4</v>
      </c>
      <c r="F1673">
        <v>3633</v>
      </c>
      <c r="G1673">
        <v>3728</v>
      </c>
      <c r="H1673" t="s">
        <v>13</v>
      </c>
      <c r="I1673" t="b">
        <v>0</v>
      </c>
      <c r="J1673">
        <f t="shared" si="52"/>
        <v>0</v>
      </c>
      <c r="K1673" t="str">
        <f t="shared" si="53"/>
        <v>Neutral</v>
      </c>
    </row>
    <row r="1674" spans="1:11" x14ac:dyDescent="0.2">
      <c r="A1674" t="s">
        <v>6913</v>
      </c>
      <c r="B1674" t="s">
        <v>6914</v>
      </c>
      <c r="C1674" t="s">
        <v>6915</v>
      </c>
      <c r="D1674" t="s">
        <v>3</v>
      </c>
      <c r="E1674" t="s">
        <v>4</v>
      </c>
      <c r="F1674">
        <v>2374</v>
      </c>
      <c r="G1674">
        <v>75</v>
      </c>
      <c r="H1674" t="s">
        <v>13</v>
      </c>
      <c r="I1674" t="b">
        <v>0</v>
      </c>
      <c r="J1674">
        <f t="shared" si="52"/>
        <v>10</v>
      </c>
      <c r="K1674" t="str">
        <f t="shared" si="53"/>
        <v>Positive</v>
      </c>
    </row>
    <row r="1675" spans="1:11" x14ac:dyDescent="0.2">
      <c r="A1675" t="s">
        <v>6520</v>
      </c>
      <c r="B1675" t="s">
        <v>6521</v>
      </c>
      <c r="C1675" t="s">
        <v>1572</v>
      </c>
      <c r="D1675" t="s">
        <v>3</v>
      </c>
      <c r="E1675" t="s">
        <v>4</v>
      </c>
      <c r="F1675">
        <v>162</v>
      </c>
      <c r="G1675">
        <v>58</v>
      </c>
      <c r="H1675" t="s">
        <v>50</v>
      </c>
      <c r="I1675" t="b">
        <v>0</v>
      </c>
      <c r="J1675">
        <f t="shared" si="52"/>
        <v>-10</v>
      </c>
      <c r="K1675" t="str">
        <f t="shared" si="53"/>
        <v>Negative</v>
      </c>
    </row>
    <row r="1676" spans="1:11" x14ac:dyDescent="0.2">
      <c r="A1676" t="s">
        <v>1286</v>
      </c>
      <c r="B1676" t="s">
        <v>1287</v>
      </c>
      <c r="C1676" t="s">
        <v>171</v>
      </c>
      <c r="D1676" t="s">
        <v>1288</v>
      </c>
      <c r="E1676" t="s">
        <v>4</v>
      </c>
      <c r="F1676">
        <v>3794</v>
      </c>
      <c r="G1676">
        <v>186</v>
      </c>
      <c r="H1676" t="s">
        <v>13</v>
      </c>
      <c r="I1676" t="b">
        <v>0</v>
      </c>
      <c r="J1676">
        <f t="shared" si="52"/>
        <v>0</v>
      </c>
      <c r="K1676" t="str">
        <f t="shared" si="53"/>
        <v>Neutral</v>
      </c>
    </row>
    <row r="1677" spans="1:11" x14ac:dyDescent="0.2">
      <c r="A1677" t="s">
        <v>381</v>
      </c>
      <c r="B1677" t="s">
        <v>382</v>
      </c>
      <c r="C1677" t="s">
        <v>383</v>
      </c>
      <c r="D1677" t="s">
        <v>384</v>
      </c>
      <c r="E1677" t="s">
        <v>4</v>
      </c>
      <c r="F1677">
        <v>1060</v>
      </c>
      <c r="G1677">
        <v>362</v>
      </c>
      <c r="H1677" t="s">
        <v>13</v>
      </c>
      <c r="I1677" t="b">
        <v>0</v>
      </c>
      <c r="J1677">
        <f t="shared" si="52"/>
        <v>0</v>
      </c>
      <c r="K1677" t="str">
        <f t="shared" si="53"/>
        <v>Neutral</v>
      </c>
    </row>
    <row r="1678" spans="1:11" x14ac:dyDescent="0.2">
      <c r="A1678" t="s">
        <v>5188</v>
      </c>
      <c r="B1678" t="s">
        <v>5189</v>
      </c>
      <c r="C1678" t="s">
        <v>530</v>
      </c>
      <c r="D1678" t="s">
        <v>3</v>
      </c>
      <c r="E1678" t="s">
        <v>4</v>
      </c>
      <c r="F1678">
        <v>184</v>
      </c>
      <c r="G1678">
        <v>210</v>
      </c>
      <c r="H1678" t="s">
        <v>13</v>
      </c>
      <c r="I1678" t="b">
        <v>0</v>
      </c>
      <c r="J1678">
        <f t="shared" si="52"/>
        <v>0</v>
      </c>
      <c r="K1678" t="str">
        <f t="shared" si="53"/>
        <v>Neutral</v>
      </c>
    </row>
    <row r="1679" spans="1:11" x14ac:dyDescent="0.2">
      <c r="A1679" t="s">
        <v>6383</v>
      </c>
      <c r="B1679" t="s">
        <v>6384</v>
      </c>
      <c r="C1679" t="s">
        <v>2259</v>
      </c>
      <c r="D1679" t="s">
        <v>6385</v>
      </c>
      <c r="E1679" t="s">
        <v>4</v>
      </c>
      <c r="F1679">
        <v>4291</v>
      </c>
      <c r="G1679">
        <v>39</v>
      </c>
      <c r="H1679" t="s">
        <v>13</v>
      </c>
      <c r="I1679" t="b">
        <v>0</v>
      </c>
      <c r="J1679">
        <f t="shared" si="52"/>
        <v>0</v>
      </c>
      <c r="K1679" t="str">
        <f t="shared" si="53"/>
        <v>Neutral</v>
      </c>
    </row>
    <row r="1680" spans="1:11" x14ac:dyDescent="0.2">
      <c r="A1680" t="s">
        <v>1344</v>
      </c>
      <c r="B1680" t="s">
        <v>1345</v>
      </c>
      <c r="C1680" t="s">
        <v>1346</v>
      </c>
      <c r="D1680" t="s">
        <v>1347</v>
      </c>
      <c r="E1680" t="s">
        <v>4</v>
      </c>
      <c r="F1680">
        <v>4352</v>
      </c>
      <c r="G1680">
        <v>349</v>
      </c>
      <c r="H1680" t="s">
        <v>13</v>
      </c>
      <c r="I1680" t="b">
        <v>0</v>
      </c>
      <c r="J1680">
        <f t="shared" si="52"/>
        <v>0</v>
      </c>
      <c r="K1680" t="str">
        <f t="shared" si="53"/>
        <v>Neutral</v>
      </c>
    </row>
    <row r="1681" spans="1:11" x14ac:dyDescent="0.2">
      <c r="A1681" t="s">
        <v>3456</v>
      </c>
      <c r="B1681" t="s">
        <v>3457</v>
      </c>
      <c r="C1681" t="s">
        <v>414</v>
      </c>
      <c r="D1681" t="s">
        <v>3458</v>
      </c>
      <c r="E1681" t="s">
        <v>4</v>
      </c>
      <c r="F1681">
        <v>813</v>
      </c>
      <c r="G1681">
        <v>789</v>
      </c>
      <c r="H1681" t="s">
        <v>13</v>
      </c>
      <c r="I1681" t="b">
        <v>0</v>
      </c>
      <c r="J1681">
        <f t="shared" si="52"/>
        <v>10</v>
      </c>
      <c r="K1681" t="str">
        <f t="shared" si="53"/>
        <v>Positive</v>
      </c>
    </row>
    <row r="1682" spans="1:11" x14ac:dyDescent="0.2">
      <c r="A1682" t="s">
        <v>2289</v>
      </c>
      <c r="B1682" t="s">
        <v>2290</v>
      </c>
      <c r="C1682" t="s">
        <v>2291</v>
      </c>
      <c r="D1682" t="s">
        <v>3</v>
      </c>
      <c r="E1682" t="s">
        <v>4</v>
      </c>
      <c r="F1682">
        <v>1014</v>
      </c>
      <c r="G1682">
        <v>1404</v>
      </c>
      <c r="H1682" t="s">
        <v>13</v>
      </c>
      <c r="I1682" t="b">
        <v>0</v>
      </c>
      <c r="J1682">
        <f t="shared" si="52"/>
        <v>0</v>
      </c>
      <c r="K1682" t="str">
        <f t="shared" si="53"/>
        <v>Neutral</v>
      </c>
    </row>
    <row r="1683" spans="1:11" x14ac:dyDescent="0.2">
      <c r="A1683" t="s">
        <v>4750</v>
      </c>
      <c r="B1683" t="s">
        <v>4751</v>
      </c>
      <c r="C1683" t="s">
        <v>293</v>
      </c>
      <c r="D1683" t="s">
        <v>3</v>
      </c>
      <c r="E1683" t="s">
        <v>4</v>
      </c>
      <c r="F1683">
        <v>3634</v>
      </c>
      <c r="G1683">
        <v>3732</v>
      </c>
      <c r="H1683" t="s">
        <v>13</v>
      </c>
      <c r="I1683" t="b">
        <v>0</v>
      </c>
      <c r="J1683">
        <f t="shared" si="52"/>
        <v>0</v>
      </c>
      <c r="K1683" t="str">
        <f t="shared" si="53"/>
        <v>Neutral</v>
      </c>
    </row>
    <row r="1684" spans="1:11" x14ac:dyDescent="0.2">
      <c r="A1684" t="s">
        <v>1508</v>
      </c>
      <c r="B1684" t="s">
        <v>1509</v>
      </c>
      <c r="C1684" t="s">
        <v>1510</v>
      </c>
      <c r="D1684" t="s">
        <v>1511</v>
      </c>
      <c r="E1684" t="s">
        <v>4</v>
      </c>
      <c r="F1684">
        <v>682</v>
      </c>
      <c r="G1684">
        <v>1430</v>
      </c>
      <c r="H1684" t="s">
        <v>13</v>
      </c>
      <c r="I1684" t="b">
        <v>0</v>
      </c>
      <c r="J1684">
        <f t="shared" si="52"/>
        <v>0</v>
      </c>
      <c r="K1684" t="str">
        <f t="shared" si="53"/>
        <v>Neutral</v>
      </c>
    </row>
    <row r="1685" spans="1:11" x14ac:dyDescent="0.2">
      <c r="A1685" t="s">
        <v>1239</v>
      </c>
      <c r="B1685" t="s">
        <v>1240</v>
      </c>
      <c r="C1685" t="s">
        <v>1241</v>
      </c>
      <c r="D1685" t="s">
        <v>1242</v>
      </c>
      <c r="E1685" t="s">
        <v>4</v>
      </c>
      <c r="F1685">
        <v>17</v>
      </c>
      <c r="G1685">
        <v>439</v>
      </c>
      <c r="H1685" t="s">
        <v>13</v>
      </c>
      <c r="I1685" t="b">
        <v>0</v>
      </c>
      <c r="J1685">
        <f t="shared" si="52"/>
        <v>0</v>
      </c>
      <c r="K1685" t="str">
        <f t="shared" si="53"/>
        <v>Neutral</v>
      </c>
    </row>
    <row r="1686" spans="1:11" x14ac:dyDescent="0.2">
      <c r="A1686" t="s">
        <v>1235</v>
      </c>
      <c r="B1686" t="s">
        <v>1236</v>
      </c>
      <c r="C1686" t="s">
        <v>1230</v>
      </c>
      <c r="D1686" t="s">
        <v>1231</v>
      </c>
      <c r="E1686" t="s">
        <v>4</v>
      </c>
      <c r="F1686">
        <v>425</v>
      </c>
      <c r="G1686">
        <v>768</v>
      </c>
      <c r="H1686" t="s">
        <v>13</v>
      </c>
      <c r="I1686" t="b">
        <v>0</v>
      </c>
      <c r="J1686">
        <f t="shared" si="52"/>
        <v>0</v>
      </c>
      <c r="K1686" t="str">
        <f t="shared" si="53"/>
        <v>Neutral</v>
      </c>
    </row>
    <row r="1687" spans="1:11" x14ac:dyDescent="0.2">
      <c r="A1687" t="s">
        <v>2635</v>
      </c>
      <c r="B1687" t="s">
        <v>2636</v>
      </c>
      <c r="C1687" t="s">
        <v>2637</v>
      </c>
      <c r="D1687" t="s">
        <v>2638</v>
      </c>
      <c r="E1687" t="s">
        <v>4</v>
      </c>
      <c r="F1687">
        <v>1118</v>
      </c>
      <c r="G1687">
        <v>1528</v>
      </c>
      <c r="H1687" t="s">
        <v>5</v>
      </c>
      <c r="I1687" t="b">
        <v>0</v>
      </c>
      <c r="J1687">
        <f t="shared" si="52"/>
        <v>0</v>
      </c>
      <c r="K1687" t="str">
        <f t="shared" si="53"/>
        <v>Neutral</v>
      </c>
    </row>
    <row r="1688" spans="1:11" x14ac:dyDescent="0.2">
      <c r="A1688" t="s">
        <v>613</v>
      </c>
      <c r="B1688" t="s">
        <v>614</v>
      </c>
      <c r="C1688" t="s">
        <v>615</v>
      </c>
      <c r="D1688" t="s">
        <v>616</v>
      </c>
      <c r="E1688" t="s">
        <v>4</v>
      </c>
      <c r="F1688">
        <v>14</v>
      </c>
      <c r="G1688">
        <v>27</v>
      </c>
      <c r="H1688" t="s">
        <v>50</v>
      </c>
      <c r="I1688" t="b">
        <v>0</v>
      </c>
      <c r="J1688">
        <f t="shared" si="52"/>
        <v>20</v>
      </c>
      <c r="K1688" t="str">
        <f t="shared" si="53"/>
        <v>Positive</v>
      </c>
    </row>
    <row r="1689" spans="1:11" x14ac:dyDescent="0.2">
      <c r="A1689" t="s">
        <v>6926</v>
      </c>
      <c r="B1689" t="s">
        <v>6927</v>
      </c>
      <c r="C1689" t="s">
        <v>6928</v>
      </c>
      <c r="D1689" t="s">
        <v>3</v>
      </c>
      <c r="E1689" t="s">
        <v>4</v>
      </c>
      <c r="F1689">
        <v>242</v>
      </c>
      <c r="G1689">
        <v>102</v>
      </c>
      <c r="H1689" t="s">
        <v>13</v>
      </c>
      <c r="I1689" t="b">
        <v>0</v>
      </c>
      <c r="J1689">
        <f t="shared" si="52"/>
        <v>0</v>
      </c>
      <c r="K1689" t="str">
        <f t="shared" si="53"/>
        <v>Neutral</v>
      </c>
    </row>
    <row r="1690" spans="1:11" x14ac:dyDescent="0.2">
      <c r="A1690" t="s">
        <v>6143</v>
      </c>
      <c r="B1690" t="s">
        <v>6144</v>
      </c>
      <c r="C1690" t="s">
        <v>2429</v>
      </c>
      <c r="D1690" t="s">
        <v>6145</v>
      </c>
      <c r="E1690" t="s">
        <v>4</v>
      </c>
      <c r="F1690">
        <v>21</v>
      </c>
      <c r="G1690">
        <v>171</v>
      </c>
      <c r="H1690" t="s">
        <v>13</v>
      </c>
      <c r="I1690" t="b">
        <v>0</v>
      </c>
      <c r="J1690">
        <f t="shared" si="52"/>
        <v>0</v>
      </c>
      <c r="K1690" t="str">
        <f t="shared" si="53"/>
        <v>Neutral</v>
      </c>
    </row>
    <row r="1691" spans="1:11" x14ac:dyDescent="0.2">
      <c r="A1691" t="s">
        <v>1726</v>
      </c>
      <c r="B1691" t="s">
        <v>1727</v>
      </c>
      <c r="C1691" t="s">
        <v>1728</v>
      </c>
      <c r="D1691" t="s">
        <v>1729</v>
      </c>
      <c r="E1691" t="s">
        <v>4</v>
      </c>
      <c r="F1691">
        <v>169</v>
      </c>
      <c r="G1691">
        <v>280</v>
      </c>
      <c r="H1691" t="s">
        <v>13</v>
      </c>
      <c r="I1691" t="b">
        <v>0</v>
      </c>
      <c r="J1691">
        <f t="shared" si="52"/>
        <v>-10</v>
      </c>
      <c r="K1691" t="str">
        <f t="shared" si="53"/>
        <v>Negative</v>
      </c>
    </row>
    <row r="1692" spans="1:11" x14ac:dyDescent="0.2">
      <c r="A1692" t="s">
        <v>3228</v>
      </c>
      <c r="B1692" t="s">
        <v>3229</v>
      </c>
      <c r="C1692" t="s">
        <v>3230</v>
      </c>
      <c r="D1692" t="s">
        <v>3</v>
      </c>
      <c r="E1692" t="s">
        <v>4</v>
      </c>
      <c r="F1692">
        <v>30001</v>
      </c>
      <c r="G1692">
        <v>629</v>
      </c>
      <c r="H1692" t="s">
        <v>13</v>
      </c>
      <c r="I1692" t="b">
        <v>0</v>
      </c>
      <c r="J1692">
        <f t="shared" si="52"/>
        <v>0</v>
      </c>
      <c r="K1692" t="str">
        <f t="shared" si="53"/>
        <v>Neutral</v>
      </c>
    </row>
    <row r="1693" spans="1:11" x14ac:dyDescent="0.2">
      <c r="A1693" t="s">
        <v>6985</v>
      </c>
      <c r="B1693" t="s">
        <v>6986</v>
      </c>
      <c r="C1693" t="s">
        <v>6243</v>
      </c>
      <c r="D1693" t="s">
        <v>6987</v>
      </c>
      <c r="E1693" t="s">
        <v>4</v>
      </c>
      <c r="F1693">
        <v>89</v>
      </c>
      <c r="G1693">
        <v>166</v>
      </c>
      <c r="H1693" t="s">
        <v>13</v>
      </c>
      <c r="I1693" t="b">
        <v>0</v>
      </c>
      <c r="J1693">
        <f t="shared" si="52"/>
        <v>20</v>
      </c>
      <c r="K1693" t="str">
        <f t="shared" si="53"/>
        <v>Positive</v>
      </c>
    </row>
    <row r="1694" spans="1:11" x14ac:dyDescent="0.2">
      <c r="A1694" t="s">
        <v>5151</v>
      </c>
      <c r="B1694" t="s">
        <v>5152</v>
      </c>
      <c r="C1694" t="s">
        <v>5141</v>
      </c>
      <c r="D1694" t="s">
        <v>3</v>
      </c>
      <c r="E1694" t="s">
        <v>4</v>
      </c>
      <c r="F1694">
        <v>27</v>
      </c>
      <c r="G1694">
        <v>28</v>
      </c>
      <c r="H1694" t="s">
        <v>13</v>
      </c>
      <c r="I1694" t="b">
        <v>0</v>
      </c>
      <c r="J1694">
        <f t="shared" si="52"/>
        <v>0</v>
      </c>
      <c r="K1694" t="str">
        <f t="shared" si="53"/>
        <v>Neutral</v>
      </c>
    </row>
    <row r="1695" spans="1:11" x14ac:dyDescent="0.2">
      <c r="A1695" t="s">
        <v>4385</v>
      </c>
      <c r="B1695" t="s">
        <v>4386</v>
      </c>
      <c r="C1695" t="s">
        <v>3265</v>
      </c>
      <c r="D1695" t="s">
        <v>4387</v>
      </c>
      <c r="E1695" t="s">
        <v>4</v>
      </c>
      <c r="F1695">
        <v>532</v>
      </c>
      <c r="G1695">
        <v>371</v>
      </c>
      <c r="H1695" t="s">
        <v>13</v>
      </c>
      <c r="I1695" t="b">
        <v>0</v>
      </c>
      <c r="J1695">
        <f t="shared" si="52"/>
        <v>0</v>
      </c>
      <c r="K1695" t="str">
        <f t="shared" si="53"/>
        <v>Neutral</v>
      </c>
    </row>
    <row r="1696" spans="1:11" x14ac:dyDescent="0.2">
      <c r="A1696" t="s">
        <v>7028</v>
      </c>
      <c r="B1696" t="s">
        <v>7029</v>
      </c>
      <c r="C1696" t="s">
        <v>2425</v>
      </c>
      <c r="D1696" t="s">
        <v>6055</v>
      </c>
      <c r="E1696" t="s">
        <v>4</v>
      </c>
      <c r="F1696">
        <v>1055</v>
      </c>
      <c r="G1696">
        <v>1475</v>
      </c>
      <c r="H1696" t="s">
        <v>13</v>
      </c>
      <c r="I1696" t="b">
        <v>0</v>
      </c>
      <c r="J1696">
        <f t="shared" si="52"/>
        <v>0</v>
      </c>
      <c r="K1696" t="str">
        <f t="shared" si="53"/>
        <v>Neutral</v>
      </c>
    </row>
    <row r="1697" spans="1:11" x14ac:dyDescent="0.2">
      <c r="A1697" t="s">
        <v>4291</v>
      </c>
      <c r="B1697" t="s">
        <v>4292</v>
      </c>
      <c r="C1697" t="s">
        <v>197</v>
      </c>
      <c r="D1697" t="s">
        <v>326</v>
      </c>
      <c r="E1697" t="s">
        <v>4</v>
      </c>
      <c r="F1697">
        <v>15</v>
      </c>
      <c r="G1697">
        <v>59</v>
      </c>
      <c r="H1697" t="s">
        <v>13</v>
      </c>
      <c r="I1697" t="b">
        <v>0</v>
      </c>
      <c r="J1697">
        <f t="shared" si="52"/>
        <v>0</v>
      </c>
      <c r="K1697" t="str">
        <f t="shared" si="53"/>
        <v>Neutral</v>
      </c>
    </row>
    <row r="1698" spans="1:11" x14ac:dyDescent="0.2">
      <c r="A1698" t="s">
        <v>7026</v>
      </c>
      <c r="B1698" t="s">
        <v>7027</v>
      </c>
      <c r="C1698" t="s">
        <v>161</v>
      </c>
      <c r="D1698" t="s">
        <v>162</v>
      </c>
      <c r="E1698" t="s">
        <v>4</v>
      </c>
      <c r="F1698">
        <v>132</v>
      </c>
      <c r="G1698">
        <v>57</v>
      </c>
      <c r="H1698" t="s">
        <v>13</v>
      </c>
      <c r="I1698" t="b">
        <v>0</v>
      </c>
      <c r="J1698">
        <f t="shared" si="52"/>
        <v>0</v>
      </c>
      <c r="K1698" t="str">
        <f t="shared" si="53"/>
        <v>Neutral</v>
      </c>
    </row>
    <row r="1699" spans="1:11" x14ac:dyDescent="0.2">
      <c r="A1699" t="s">
        <v>1107</v>
      </c>
      <c r="B1699" t="s">
        <v>1108</v>
      </c>
      <c r="C1699" t="s">
        <v>349</v>
      </c>
      <c r="D1699" t="s">
        <v>1109</v>
      </c>
      <c r="E1699" t="s">
        <v>4</v>
      </c>
      <c r="F1699">
        <v>414</v>
      </c>
      <c r="G1699">
        <v>206</v>
      </c>
      <c r="H1699" t="s">
        <v>13</v>
      </c>
      <c r="I1699" t="b">
        <v>0</v>
      </c>
      <c r="J1699">
        <f t="shared" si="52"/>
        <v>0</v>
      </c>
      <c r="K1699" t="str">
        <f t="shared" si="53"/>
        <v>Neutral</v>
      </c>
    </row>
    <row r="1700" spans="1:11" x14ac:dyDescent="0.2">
      <c r="A1700" t="s">
        <v>6214</v>
      </c>
      <c r="B1700" t="s">
        <v>6215</v>
      </c>
      <c r="C1700" t="s">
        <v>6216</v>
      </c>
      <c r="D1700" t="s">
        <v>6217</v>
      </c>
      <c r="E1700" t="s">
        <v>4</v>
      </c>
      <c r="F1700">
        <v>5123</v>
      </c>
      <c r="G1700">
        <v>5586</v>
      </c>
      <c r="H1700" t="s">
        <v>13</v>
      </c>
      <c r="I1700" t="b">
        <v>0</v>
      </c>
      <c r="J1700">
        <f t="shared" si="52"/>
        <v>0</v>
      </c>
      <c r="K1700" t="str">
        <f t="shared" si="53"/>
        <v>Neutral</v>
      </c>
    </row>
    <row r="1701" spans="1:11" x14ac:dyDescent="0.2">
      <c r="A1701" t="s">
        <v>5098</v>
      </c>
      <c r="B1701" t="s">
        <v>5100</v>
      </c>
      <c r="C1701" t="s">
        <v>5101</v>
      </c>
      <c r="D1701" t="s">
        <v>5102</v>
      </c>
      <c r="E1701" t="s">
        <v>4</v>
      </c>
      <c r="F1701">
        <v>488</v>
      </c>
      <c r="G1701">
        <v>540</v>
      </c>
      <c r="H1701" t="s">
        <v>13</v>
      </c>
      <c r="I1701" t="b">
        <v>0</v>
      </c>
      <c r="J1701">
        <f t="shared" si="52"/>
        <v>0</v>
      </c>
      <c r="K1701" t="str">
        <f t="shared" si="53"/>
        <v>Neutral</v>
      </c>
    </row>
    <row r="1702" spans="1:11" x14ac:dyDescent="0.2">
      <c r="A1702" t="s">
        <v>4071</v>
      </c>
      <c r="B1702" t="s">
        <v>4072</v>
      </c>
      <c r="C1702" t="s">
        <v>476</v>
      </c>
      <c r="D1702" t="s">
        <v>3</v>
      </c>
      <c r="E1702" t="s">
        <v>4</v>
      </c>
      <c r="F1702">
        <v>190</v>
      </c>
      <c r="G1702">
        <v>92</v>
      </c>
      <c r="H1702" t="s">
        <v>13</v>
      </c>
      <c r="I1702" t="b">
        <v>0</v>
      </c>
      <c r="J1702">
        <f t="shared" si="52"/>
        <v>10</v>
      </c>
      <c r="K1702" t="str">
        <f t="shared" si="53"/>
        <v>Positive</v>
      </c>
    </row>
    <row r="1703" spans="1:11" x14ac:dyDescent="0.2">
      <c r="A1703" t="s">
        <v>6343</v>
      </c>
      <c r="B1703" t="s">
        <v>6344</v>
      </c>
      <c r="C1703" t="s">
        <v>1241</v>
      </c>
      <c r="D1703" t="s">
        <v>6345</v>
      </c>
      <c r="E1703" t="s">
        <v>4</v>
      </c>
      <c r="F1703">
        <v>8301</v>
      </c>
      <c r="G1703">
        <v>510</v>
      </c>
      <c r="H1703" t="s">
        <v>374</v>
      </c>
      <c r="I1703" t="b">
        <v>0</v>
      </c>
      <c r="J1703">
        <f t="shared" si="52"/>
        <v>0</v>
      </c>
      <c r="K1703" t="str">
        <f t="shared" si="53"/>
        <v>Neutral</v>
      </c>
    </row>
    <row r="1704" spans="1:11" x14ac:dyDescent="0.2">
      <c r="A1704" t="s">
        <v>1536</v>
      </c>
      <c r="B1704" t="s">
        <v>1537</v>
      </c>
      <c r="C1704" t="s">
        <v>226</v>
      </c>
      <c r="D1704" t="s">
        <v>227</v>
      </c>
      <c r="E1704" t="s">
        <v>4</v>
      </c>
      <c r="F1704">
        <v>9227</v>
      </c>
      <c r="G1704">
        <v>7170</v>
      </c>
      <c r="H1704" t="s">
        <v>13</v>
      </c>
      <c r="I1704" t="b">
        <v>0</v>
      </c>
      <c r="J1704">
        <f t="shared" si="52"/>
        <v>0</v>
      </c>
      <c r="K1704" t="str">
        <f t="shared" si="53"/>
        <v>Neutral</v>
      </c>
    </row>
    <row r="1705" spans="1:11" x14ac:dyDescent="0.2">
      <c r="A1705" t="s">
        <v>656</v>
      </c>
      <c r="B1705" t="s">
        <v>657</v>
      </c>
      <c r="C1705" t="s">
        <v>658</v>
      </c>
      <c r="D1705" t="s">
        <v>659</v>
      </c>
      <c r="E1705" t="s">
        <v>4</v>
      </c>
      <c r="F1705">
        <v>6</v>
      </c>
      <c r="G1705">
        <v>62</v>
      </c>
      <c r="H1705" t="s">
        <v>645</v>
      </c>
      <c r="I1705" t="b">
        <v>0</v>
      </c>
      <c r="J1705">
        <f t="shared" si="52"/>
        <v>0</v>
      </c>
      <c r="K1705" t="str">
        <f t="shared" si="53"/>
        <v>Neutral</v>
      </c>
    </row>
    <row r="1706" spans="1:11" x14ac:dyDescent="0.2">
      <c r="A1706" t="s">
        <v>4313</v>
      </c>
      <c r="B1706" t="s">
        <v>4314</v>
      </c>
      <c r="C1706" t="s">
        <v>2977</v>
      </c>
      <c r="D1706" t="s">
        <v>4315</v>
      </c>
      <c r="E1706" t="s">
        <v>4</v>
      </c>
      <c r="F1706">
        <v>5593</v>
      </c>
      <c r="G1706">
        <v>203</v>
      </c>
      <c r="H1706" t="s">
        <v>13</v>
      </c>
      <c r="I1706" t="b">
        <v>0</v>
      </c>
      <c r="J1706">
        <f t="shared" si="52"/>
        <v>-10</v>
      </c>
      <c r="K1706" t="str">
        <f t="shared" si="53"/>
        <v>Negative</v>
      </c>
    </row>
    <row r="1707" spans="1:11" x14ac:dyDescent="0.2">
      <c r="A1707" t="s">
        <v>4067</v>
      </c>
      <c r="B1707" t="s">
        <v>4068</v>
      </c>
      <c r="C1707" t="s">
        <v>1423</v>
      </c>
      <c r="D1707" t="s">
        <v>2877</v>
      </c>
      <c r="E1707" t="s">
        <v>4</v>
      </c>
      <c r="F1707">
        <v>2264</v>
      </c>
      <c r="G1707">
        <v>2352</v>
      </c>
      <c r="H1707" t="s">
        <v>13</v>
      </c>
      <c r="I1707" t="b">
        <v>0</v>
      </c>
      <c r="J1707">
        <f t="shared" si="52"/>
        <v>0</v>
      </c>
      <c r="K1707" t="str">
        <f t="shared" si="53"/>
        <v>Neutral</v>
      </c>
    </row>
    <row r="1708" spans="1:11" x14ac:dyDescent="0.2">
      <c r="A1708" t="s">
        <v>5689</v>
      </c>
      <c r="B1708" t="s">
        <v>5690</v>
      </c>
      <c r="C1708" t="s">
        <v>234</v>
      </c>
      <c r="D1708" t="s">
        <v>3</v>
      </c>
      <c r="E1708" t="s">
        <v>4</v>
      </c>
      <c r="F1708">
        <v>10</v>
      </c>
      <c r="G1708">
        <v>125</v>
      </c>
      <c r="H1708" t="s">
        <v>13</v>
      </c>
      <c r="I1708" t="b">
        <v>0</v>
      </c>
      <c r="J1708">
        <f t="shared" si="52"/>
        <v>0</v>
      </c>
      <c r="K1708" t="str">
        <f t="shared" si="53"/>
        <v>Neutral</v>
      </c>
    </row>
    <row r="1709" spans="1:11" x14ac:dyDescent="0.2">
      <c r="A1709" t="s">
        <v>2883</v>
      </c>
      <c r="B1709" t="s">
        <v>2884</v>
      </c>
      <c r="C1709" t="s">
        <v>2885</v>
      </c>
      <c r="D1709" t="s">
        <v>2886</v>
      </c>
      <c r="E1709" t="s">
        <v>4</v>
      </c>
      <c r="F1709">
        <v>107</v>
      </c>
      <c r="G1709">
        <v>127</v>
      </c>
      <c r="H1709" t="s">
        <v>13</v>
      </c>
      <c r="I1709" t="b">
        <v>0</v>
      </c>
      <c r="J1709">
        <f t="shared" si="52"/>
        <v>0</v>
      </c>
      <c r="K1709" t="str">
        <f t="shared" si="53"/>
        <v>Neutral</v>
      </c>
    </row>
    <row r="1710" spans="1:11" x14ac:dyDescent="0.2">
      <c r="A1710" t="s">
        <v>6046</v>
      </c>
      <c r="B1710" t="s">
        <v>6049</v>
      </c>
      <c r="C1710" t="s">
        <v>6050</v>
      </c>
      <c r="D1710" t="s">
        <v>3</v>
      </c>
      <c r="E1710" t="s">
        <v>4</v>
      </c>
      <c r="F1710">
        <v>15</v>
      </c>
      <c r="G1710">
        <v>24</v>
      </c>
      <c r="H1710" t="s">
        <v>13</v>
      </c>
      <c r="I1710" t="b">
        <v>0</v>
      </c>
      <c r="J1710">
        <f t="shared" si="52"/>
        <v>10</v>
      </c>
      <c r="K1710" t="str">
        <f t="shared" si="53"/>
        <v>Positive</v>
      </c>
    </row>
    <row r="1711" spans="1:11" x14ac:dyDescent="0.2">
      <c r="A1711" t="s">
        <v>3523</v>
      </c>
      <c r="B1711" t="s">
        <v>3524</v>
      </c>
      <c r="C1711" t="s">
        <v>3525</v>
      </c>
      <c r="D1711" t="s">
        <v>3</v>
      </c>
      <c r="E1711" t="s">
        <v>4</v>
      </c>
      <c r="F1711">
        <v>0</v>
      </c>
      <c r="G1711">
        <v>17</v>
      </c>
      <c r="H1711" t="s">
        <v>13</v>
      </c>
      <c r="I1711" t="b">
        <v>0</v>
      </c>
      <c r="J1711">
        <f t="shared" si="52"/>
        <v>0</v>
      </c>
      <c r="K1711" t="str">
        <f t="shared" si="53"/>
        <v>Neutral</v>
      </c>
    </row>
    <row r="1712" spans="1:11" x14ac:dyDescent="0.2">
      <c r="A1712" t="s">
        <v>4821</v>
      </c>
      <c r="B1712" t="s">
        <v>4822</v>
      </c>
      <c r="C1712" t="s">
        <v>568</v>
      </c>
      <c r="D1712" t="s">
        <v>4669</v>
      </c>
      <c r="E1712" t="s">
        <v>4</v>
      </c>
      <c r="F1712">
        <v>174</v>
      </c>
      <c r="G1712">
        <v>240</v>
      </c>
      <c r="H1712" t="s">
        <v>13</v>
      </c>
      <c r="I1712" t="b">
        <v>0</v>
      </c>
      <c r="J1712">
        <f t="shared" si="52"/>
        <v>0</v>
      </c>
      <c r="K1712" t="str">
        <f t="shared" si="53"/>
        <v>Neutral</v>
      </c>
    </row>
    <row r="1713" spans="1:11" x14ac:dyDescent="0.2">
      <c r="A1713" t="s">
        <v>3395</v>
      </c>
      <c r="B1713" t="s">
        <v>3396</v>
      </c>
      <c r="C1713" t="s">
        <v>1423</v>
      </c>
      <c r="D1713" t="s">
        <v>3</v>
      </c>
      <c r="E1713" t="s">
        <v>4</v>
      </c>
      <c r="F1713">
        <v>38</v>
      </c>
      <c r="G1713">
        <v>116</v>
      </c>
      <c r="H1713" t="s">
        <v>13</v>
      </c>
      <c r="I1713" t="b">
        <v>0</v>
      </c>
      <c r="J1713">
        <f t="shared" si="52"/>
        <v>10</v>
      </c>
      <c r="K1713" t="str">
        <f t="shared" si="53"/>
        <v>Positive</v>
      </c>
    </row>
    <row r="1714" spans="1:11" x14ac:dyDescent="0.2">
      <c r="A1714" t="s">
        <v>5486</v>
      </c>
      <c r="B1714" t="s">
        <v>5487</v>
      </c>
      <c r="C1714" t="s">
        <v>5488</v>
      </c>
      <c r="D1714" t="s">
        <v>3</v>
      </c>
      <c r="E1714" t="s">
        <v>4</v>
      </c>
      <c r="F1714">
        <v>25</v>
      </c>
      <c r="G1714">
        <v>115</v>
      </c>
      <c r="H1714" t="s">
        <v>13</v>
      </c>
      <c r="I1714" t="b">
        <v>0</v>
      </c>
      <c r="J1714">
        <f t="shared" si="52"/>
        <v>0</v>
      </c>
      <c r="K1714" t="str">
        <f t="shared" si="53"/>
        <v>Neutral</v>
      </c>
    </row>
    <row r="1715" spans="1:11" x14ac:dyDescent="0.2">
      <c r="A1715" t="s">
        <v>3195</v>
      </c>
      <c r="B1715" t="s">
        <v>3196</v>
      </c>
      <c r="C1715" t="s">
        <v>3197</v>
      </c>
      <c r="D1715" t="s">
        <v>3</v>
      </c>
      <c r="E1715" t="s">
        <v>4</v>
      </c>
      <c r="F1715">
        <v>360</v>
      </c>
      <c r="G1715">
        <v>27</v>
      </c>
      <c r="H1715" t="s">
        <v>13</v>
      </c>
      <c r="I1715" t="b">
        <v>0</v>
      </c>
      <c r="J1715">
        <f t="shared" si="52"/>
        <v>0</v>
      </c>
      <c r="K1715" t="str">
        <f t="shared" si="53"/>
        <v>Neutral</v>
      </c>
    </row>
    <row r="1716" spans="1:11" x14ac:dyDescent="0.2">
      <c r="A1716" t="s">
        <v>2535</v>
      </c>
      <c r="B1716" t="s">
        <v>2536</v>
      </c>
      <c r="C1716" t="s">
        <v>2537</v>
      </c>
      <c r="D1716" t="s">
        <v>1347</v>
      </c>
      <c r="E1716" t="s">
        <v>4</v>
      </c>
      <c r="F1716">
        <v>9</v>
      </c>
      <c r="G1716">
        <v>30</v>
      </c>
      <c r="H1716" t="s">
        <v>13</v>
      </c>
      <c r="I1716" t="b">
        <v>0</v>
      </c>
      <c r="J1716">
        <f t="shared" si="52"/>
        <v>0</v>
      </c>
      <c r="K1716" t="str">
        <f t="shared" si="53"/>
        <v>Neutral</v>
      </c>
    </row>
    <row r="1717" spans="1:11" x14ac:dyDescent="0.2">
      <c r="A1717" t="s">
        <v>4243</v>
      </c>
      <c r="B1717" t="s">
        <v>4244</v>
      </c>
      <c r="C1717" t="s">
        <v>1267</v>
      </c>
      <c r="D1717" t="s">
        <v>4245</v>
      </c>
      <c r="E1717" t="s">
        <v>4</v>
      </c>
      <c r="F1717">
        <v>899</v>
      </c>
      <c r="G1717">
        <v>382</v>
      </c>
      <c r="H1717" t="s">
        <v>13</v>
      </c>
      <c r="I1717" t="b">
        <v>0</v>
      </c>
      <c r="J1717">
        <f t="shared" si="52"/>
        <v>0</v>
      </c>
      <c r="K1717" t="str">
        <f t="shared" si="53"/>
        <v>Neutral</v>
      </c>
    </row>
    <row r="1718" spans="1:11" x14ac:dyDescent="0.2">
      <c r="A1718" t="s">
        <v>4348</v>
      </c>
      <c r="B1718" t="s">
        <v>4349</v>
      </c>
      <c r="C1718" t="s">
        <v>3461</v>
      </c>
      <c r="D1718" t="s">
        <v>4350</v>
      </c>
      <c r="E1718" t="s">
        <v>4</v>
      </c>
      <c r="F1718">
        <v>3155</v>
      </c>
      <c r="G1718">
        <v>372</v>
      </c>
      <c r="H1718" t="s">
        <v>13</v>
      </c>
      <c r="I1718" t="b">
        <v>0</v>
      </c>
      <c r="J1718">
        <f t="shared" si="52"/>
        <v>0</v>
      </c>
      <c r="K1718" t="str">
        <f t="shared" si="53"/>
        <v>Neutral</v>
      </c>
    </row>
    <row r="1719" spans="1:11" x14ac:dyDescent="0.2">
      <c r="A1719" t="s">
        <v>2924</v>
      </c>
      <c r="B1719" t="s">
        <v>2925</v>
      </c>
      <c r="C1719" t="s">
        <v>2926</v>
      </c>
      <c r="D1719" t="s">
        <v>2927</v>
      </c>
      <c r="E1719" t="s">
        <v>4</v>
      </c>
      <c r="F1719">
        <v>562</v>
      </c>
      <c r="G1719">
        <v>288</v>
      </c>
      <c r="H1719" t="s">
        <v>50</v>
      </c>
      <c r="I1719" t="b">
        <v>0</v>
      </c>
      <c r="J1719">
        <f t="shared" si="52"/>
        <v>0</v>
      </c>
      <c r="K1719" t="str">
        <f t="shared" si="53"/>
        <v>Neutral</v>
      </c>
    </row>
    <row r="1720" spans="1:11" x14ac:dyDescent="0.2">
      <c r="A1720" t="s">
        <v>5874</v>
      </c>
      <c r="B1720" t="s">
        <v>5875</v>
      </c>
      <c r="C1720" t="s">
        <v>568</v>
      </c>
      <c r="D1720" t="s">
        <v>5876</v>
      </c>
      <c r="E1720" t="s">
        <v>4</v>
      </c>
      <c r="F1720">
        <v>1037</v>
      </c>
      <c r="G1720">
        <v>381</v>
      </c>
      <c r="H1720" t="s">
        <v>13</v>
      </c>
      <c r="I1720" t="b">
        <v>0</v>
      </c>
      <c r="J1720">
        <f t="shared" si="52"/>
        <v>0</v>
      </c>
      <c r="K1720" t="str">
        <f t="shared" si="53"/>
        <v>Neutral</v>
      </c>
    </row>
    <row r="1721" spans="1:11" x14ac:dyDescent="0.2">
      <c r="A1721" t="s">
        <v>6795</v>
      </c>
      <c r="B1721" t="s">
        <v>6796</v>
      </c>
      <c r="C1721" t="s">
        <v>480</v>
      </c>
      <c r="D1721" t="s">
        <v>6797</v>
      </c>
      <c r="E1721" t="s">
        <v>4</v>
      </c>
      <c r="F1721">
        <v>112</v>
      </c>
      <c r="G1721">
        <v>162</v>
      </c>
      <c r="H1721" t="s">
        <v>13</v>
      </c>
      <c r="I1721" t="b">
        <v>0</v>
      </c>
      <c r="J1721">
        <f t="shared" si="52"/>
        <v>0</v>
      </c>
      <c r="K1721" t="str">
        <f t="shared" si="53"/>
        <v>Neutral</v>
      </c>
    </row>
    <row r="1722" spans="1:11" x14ac:dyDescent="0.2">
      <c r="A1722" t="s">
        <v>327</v>
      </c>
      <c r="B1722" t="s">
        <v>328</v>
      </c>
      <c r="C1722" t="s">
        <v>329</v>
      </c>
      <c r="D1722" t="s">
        <v>3</v>
      </c>
      <c r="E1722" t="s">
        <v>4</v>
      </c>
      <c r="F1722">
        <v>156</v>
      </c>
      <c r="G1722">
        <v>960</v>
      </c>
      <c r="H1722" t="s">
        <v>13</v>
      </c>
      <c r="I1722" t="b">
        <v>0</v>
      </c>
      <c r="J1722">
        <f t="shared" si="52"/>
        <v>0</v>
      </c>
      <c r="K1722" t="str">
        <f t="shared" si="53"/>
        <v>Neutral</v>
      </c>
    </row>
    <row r="1723" spans="1:11" x14ac:dyDescent="0.2">
      <c r="A1723" t="s">
        <v>5113</v>
      </c>
      <c r="B1723" t="s">
        <v>5114</v>
      </c>
      <c r="C1723" t="s">
        <v>1346</v>
      </c>
      <c r="D1723" t="s">
        <v>1268</v>
      </c>
      <c r="E1723" t="s">
        <v>4</v>
      </c>
      <c r="F1723">
        <v>10594</v>
      </c>
      <c r="G1723">
        <v>158</v>
      </c>
      <c r="H1723" t="s">
        <v>363</v>
      </c>
      <c r="I1723" t="b">
        <v>0</v>
      </c>
      <c r="J1723">
        <f t="shared" si="52"/>
        <v>-10</v>
      </c>
      <c r="K1723" t="str">
        <f t="shared" si="53"/>
        <v>Negative</v>
      </c>
    </row>
    <row r="1724" spans="1:11" x14ac:dyDescent="0.2">
      <c r="A1724" t="s">
        <v>3095</v>
      </c>
      <c r="B1724" t="s">
        <v>3096</v>
      </c>
      <c r="C1724" t="s">
        <v>1103</v>
      </c>
      <c r="D1724" t="s">
        <v>3</v>
      </c>
      <c r="E1724" t="s">
        <v>4</v>
      </c>
      <c r="F1724">
        <v>1</v>
      </c>
      <c r="G1724">
        <v>0</v>
      </c>
      <c r="H1724" t="s">
        <v>13</v>
      </c>
      <c r="I1724" t="b">
        <v>0</v>
      </c>
      <c r="J1724">
        <f t="shared" si="52"/>
        <v>0</v>
      </c>
      <c r="K1724" t="str">
        <f t="shared" si="53"/>
        <v>Neutral</v>
      </c>
    </row>
    <row r="1725" spans="1:11" x14ac:dyDescent="0.2">
      <c r="A1725" t="s">
        <v>6792</v>
      </c>
      <c r="B1725" t="s">
        <v>6793</v>
      </c>
      <c r="C1725" t="s">
        <v>806</v>
      </c>
      <c r="D1725" t="s">
        <v>6794</v>
      </c>
      <c r="E1725" t="s">
        <v>4</v>
      </c>
      <c r="F1725">
        <v>452</v>
      </c>
      <c r="G1725">
        <v>694</v>
      </c>
      <c r="H1725" t="s">
        <v>13</v>
      </c>
      <c r="I1725" t="b">
        <v>0</v>
      </c>
      <c r="J1725">
        <f t="shared" si="52"/>
        <v>0</v>
      </c>
      <c r="K1725" t="str">
        <f t="shared" si="53"/>
        <v>Neutral</v>
      </c>
    </row>
    <row r="1726" spans="1:11" x14ac:dyDescent="0.2">
      <c r="A1726" t="s">
        <v>4655</v>
      </c>
      <c r="B1726" t="s">
        <v>4656</v>
      </c>
      <c r="C1726" t="s">
        <v>4593</v>
      </c>
      <c r="D1726" t="s">
        <v>4594</v>
      </c>
      <c r="E1726" t="s">
        <v>4</v>
      </c>
      <c r="F1726">
        <v>94</v>
      </c>
      <c r="G1726">
        <v>54</v>
      </c>
      <c r="H1726" t="s">
        <v>13</v>
      </c>
      <c r="I1726" t="b">
        <v>0</v>
      </c>
      <c r="J1726">
        <f t="shared" si="52"/>
        <v>0</v>
      </c>
      <c r="K1726" t="str">
        <f t="shared" si="53"/>
        <v>Neutral</v>
      </c>
    </row>
    <row r="1727" spans="1:11" x14ac:dyDescent="0.2">
      <c r="A1727" t="s">
        <v>5555</v>
      </c>
      <c r="B1727" t="s">
        <v>5556</v>
      </c>
      <c r="C1727" t="s">
        <v>773</v>
      </c>
      <c r="D1727" t="s">
        <v>3</v>
      </c>
      <c r="E1727" t="s">
        <v>4</v>
      </c>
      <c r="F1727">
        <v>4</v>
      </c>
      <c r="G1727">
        <v>0</v>
      </c>
      <c r="H1727" t="s">
        <v>13</v>
      </c>
      <c r="I1727" t="b">
        <v>0</v>
      </c>
      <c r="J1727">
        <f t="shared" si="52"/>
        <v>-20</v>
      </c>
      <c r="K1727" t="str">
        <f t="shared" si="53"/>
        <v>Negative</v>
      </c>
    </row>
    <row r="1728" spans="1:11" x14ac:dyDescent="0.2">
      <c r="A1728" t="s">
        <v>6760</v>
      </c>
      <c r="B1728" t="s">
        <v>6761</v>
      </c>
      <c r="C1728" t="s">
        <v>279</v>
      </c>
      <c r="D1728" t="s">
        <v>569</v>
      </c>
      <c r="E1728" t="s">
        <v>4</v>
      </c>
      <c r="F1728">
        <v>299</v>
      </c>
      <c r="G1728">
        <v>310</v>
      </c>
      <c r="H1728" t="s">
        <v>13</v>
      </c>
      <c r="I1728" t="b">
        <v>0</v>
      </c>
      <c r="J1728">
        <f t="shared" si="52"/>
        <v>-10</v>
      </c>
      <c r="K1728" t="str">
        <f t="shared" si="53"/>
        <v>Negative</v>
      </c>
    </row>
    <row r="1729" spans="1:11" x14ac:dyDescent="0.2">
      <c r="A1729" t="s">
        <v>1543</v>
      </c>
      <c r="B1729" t="s">
        <v>1544</v>
      </c>
      <c r="C1729" t="s">
        <v>1545</v>
      </c>
      <c r="D1729" t="s">
        <v>3</v>
      </c>
      <c r="E1729" t="s">
        <v>4</v>
      </c>
      <c r="F1729">
        <v>15</v>
      </c>
      <c r="G1729">
        <v>196</v>
      </c>
      <c r="H1729" t="s">
        <v>13</v>
      </c>
      <c r="I1729" t="b">
        <v>0</v>
      </c>
      <c r="J1729">
        <f t="shared" si="52"/>
        <v>0</v>
      </c>
      <c r="K1729" t="str">
        <f t="shared" si="53"/>
        <v>Neutral</v>
      </c>
    </row>
    <row r="1730" spans="1:11" x14ac:dyDescent="0.2">
      <c r="A1730" t="s">
        <v>3169</v>
      </c>
      <c r="B1730" t="s">
        <v>3170</v>
      </c>
      <c r="C1730" t="s">
        <v>3171</v>
      </c>
      <c r="D1730" t="s">
        <v>3</v>
      </c>
      <c r="E1730" t="s">
        <v>4</v>
      </c>
      <c r="F1730">
        <v>88</v>
      </c>
      <c r="G1730">
        <v>72</v>
      </c>
      <c r="H1730" t="s">
        <v>13</v>
      </c>
      <c r="I1730" t="b">
        <v>0</v>
      </c>
      <c r="J1730">
        <f t="shared" si="52"/>
        <v>0</v>
      </c>
      <c r="K1730" t="str">
        <f t="shared" si="53"/>
        <v>Neutral</v>
      </c>
    </row>
    <row r="1731" spans="1:11" x14ac:dyDescent="0.2">
      <c r="A1731" t="s">
        <v>2144</v>
      </c>
      <c r="B1731" t="s">
        <v>2145</v>
      </c>
      <c r="C1731" t="s">
        <v>2146</v>
      </c>
      <c r="D1731" t="s">
        <v>3</v>
      </c>
      <c r="E1731" t="s">
        <v>4</v>
      </c>
      <c r="F1731">
        <v>217</v>
      </c>
      <c r="G1731">
        <v>369</v>
      </c>
      <c r="H1731" t="s">
        <v>13</v>
      </c>
      <c r="I1731" t="b">
        <v>0</v>
      </c>
      <c r="J1731">
        <f t="shared" ref="J1731:J1794" si="54">sentimentCalc(B1731)</f>
        <v>0</v>
      </c>
      <c r="K1731" t="str">
        <f t="shared" ref="K1731:K1794" si="55">sentimentCategory(J1731)</f>
        <v>Neutral</v>
      </c>
    </row>
    <row r="1732" spans="1:11" x14ac:dyDescent="0.2">
      <c r="A1732" t="s">
        <v>957</v>
      </c>
      <c r="B1732" t="s">
        <v>958</v>
      </c>
      <c r="C1732" t="s">
        <v>959</v>
      </c>
      <c r="D1732" t="s">
        <v>3</v>
      </c>
      <c r="E1732" t="s">
        <v>4</v>
      </c>
      <c r="F1732">
        <v>13</v>
      </c>
      <c r="G1732">
        <v>213</v>
      </c>
      <c r="H1732" t="s">
        <v>13</v>
      </c>
      <c r="I1732" t="b">
        <v>0</v>
      </c>
      <c r="J1732">
        <f t="shared" si="54"/>
        <v>0</v>
      </c>
      <c r="K1732" t="str">
        <f t="shared" si="55"/>
        <v>Neutral</v>
      </c>
    </row>
    <row r="1733" spans="1:11" x14ac:dyDescent="0.2">
      <c r="A1733" t="s">
        <v>3142</v>
      </c>
      <c r="B1733" t="s">
        <v>3143</v>
      </c>
      <c r="C1733" t="s">
        <v>3144</v>
      </c>
      <c r="D1733" t="s">
        <v>3</v>
      </c>
      <c r="E1733" t="s">
        <v>4</v>
      </c>
      <c r="F1733">
        <v>38</v>
      </c>
      <c r="G1733">
        <v>196</v>
      </c>
      <c r="H1733" t="s">
        <v>13</v>
      </c>
      <c r="I1733" t="b">
        <v>0</v>
      </c>
      <c r="J1733">
        <f t="shared" si="54"/>
        <v>-10</v>
      </c>
      <c r="K1733" t="str">
        <f t="shared" si="55"/>
        <v>Negative</v>
      </c>
    </row>
    <row r="1734" spans="1:11" x14ac:dyDescent="0.2">
      <c r="A1734" t="s">
        <v>1662</v>
      </c>
      <c r="B1734" t="s">
        <v>1663</v>
      </c>
      <c r="C1734" t="s">
        <v>545</v>
      </c>
      <c r="D1734" t="s">
        <v>546</v>
      </c>
      <c r="E1734" t="s">
        <v>4</v>
      </c>
      <c r="F1734">
        <v>213</v>
      </c>
      <c r="G1734">
        <v>343</v>
      </c>
      <c r="H1734" t="s">
        <v>126</v>
      </c>
      <c r="I1734" t="b">
        <v>0</v>
      </c>
      <c r="J1734">
        <f t="shared" si="54"/>
        <v>-10</v>
      </c>
      <c r="K1734" t="str">
        <f t="shared" si="55"/>
        <v>Negative</v>
      </c>
    </row>
    <row r="1735" spans="1:11" x14ac:dyDescent="0.2">
      <c r="A1735" t="s">
        <v>3347</v>
      </c>
      <c r="B1735" t="s">
        <v>3348</v>
      </c>
      <c r="C1735" t="s">
        <v>3349</v>
      </c>
      <c r="D1735" t="s">
        <v>829</v>
      </c>
      <c r="E1735" t="s">
        <v>4</v>
      </c>
      <c r="F1735">
        <v>15</v>
      </c>
      <c r="G1735">
        <v>40</v>
      </c>
      <c r="H1735" t="s">
        <v>13</v>
      </c>
      <c r="I1735" t="b">
        <v>0</v>
      </c>
      <c r="J1735">
        <f t="shared" si="54"/>
        <v>10</v>
      </c>
      <c r="K1735" t="str">
        <f t="shared" si="55"/>
        <v>Positive</v>
      </c>
    </row>
    <row r="1736" spans="1:11" x14ac:dyDescent="0.2">
      <c r="A1736" t="s">
        <v>845</v>
      </c>
      <c r="B1736" t="s">
        <v>846</v>
      </c>
      <c r="C1736" t="s">
        <v>847</v>
      </c>
      <c r="D1736" t="s">
        <v>848</v>
      </c>
      <c r="E1736" t="s">
        <v>4</v>
      </c>
      <c r="F1736">
        <v>416</v>
      </c>
      <c r="G1736">
        <v>1259</v>
      </c>
      <c r="H1736" t="s">
        <v>13</v>
      </c>
      <c r="I1736" t="b">
        <v>0</v>
      </c>
      <c r="J1736">
        <f t="shared" si="54"/>
        <v>0</v>
      </c>
      <c r="K1736" t="str">
        <f t="shared" si="55"/>
        <v>Neutral</v>
      </c>
    </row>
    <row r="1737" spans="1:11" x14ac:dyDescent="0.2">
      <c r="A1737" t="s">
        <v>6042</v>
      </c>
      <c r="B1737" t="s">
        <v>6043</v>
      </c>
      <c r="C1737" t="s">
        <v>1572</v>
      </c>
      <c r="D1737" t="s">
        <v>3</v>
      </c>
      <c r="E1737" t="s">
        <v>4</v>
      </c>
      <c r="F1737">
        <v>70</v>
      </c>
      <c r="G1737">
        <v>176</v>
      </c>
      <c r="H1737" t="s">
        <v>13</v>
      </c>
      <c r="I1737" t="b">
        <v>0</v>
      </c>
      <c r="J1737">
        <f t="shared" si="54"/>
        <v>0</v>
      </c>
      <c r="K1737" t="str">
        <f t="shared" si="55"/>
        <v>Neutral</v>
      </c>
    </row>
    <row r="1738" spans="1:11" x14ac:dyDescent="0.2">
      <c r="A1738" t="s">
        <v>2387</v>
      </c>
      <c r="B1738" t="s">
        <v>2388</v>
      </c>
      <c r="C1738" t="s">
        <v>93</v>
      </c>
      <c r="D1738" t="s">
        <v>3</v>
      </c>
      <c r="E1738" t="s">
        <v>4</v>
      </c>
      <c r="F1738">
        <v>157</v>
      </c>
      <c r="G1738">
        <v>12</v>
      </c>
      <c r="H1738" t="s">
        <v>13</v>
      </c>
      <c r="I1738" t="b">
        <v>0</v>
      </c>
      <c r="J1738">
        <f t="shared" si="54"/>
        <v>0</v>
      </c>
      <c r="K1738" t="str">
        <f t="shared" si="55"/>
        <v>Neutral</v>
      </c>
    </row>
    <row r="1739" spans="1:11" x14ac:dyDescent="0.2">
      <c r="A1739" t="s">
        <v>541</v>
      </c>
      <c r="B1739" t="s">
        <v>542</v>
      </c>
      <c r="C1739" t="s">
        <v>468</v>
      </c>
      <c r="D1739" t="s">
        <v>469</v>
      </c>
      <c r="E1739" t="s">
        <v>4</v>
      </c>
      <c r="F1739">
        <v>3</v>
      </c>
      <c r="G1739">
        <v>13</v>
      </c>
      <c r="H1739" t="s">
        <v>13</v>
      </c>
      <c r="I1739" t="b">
        <v>0</v>
      </c>
      <c r="J1739">
        <f t="shared" si="54"/>
        <v>-10</v>
      </c>
      <c r="K1739" t="str">
        <f t="shared" si="55"/>
        <v>Negative</v>
      </c>
    </row>
    <row r="1740" spans="1:11" x14ac:dyDescent="0.2">
      <c r="A1740" t="s">
        <v>5943</v>
      </c>
      <c r="B1740" t="s">
        <v>5944</v>
      </c>
      <c r="C1740" t="s">
        <v>3106</v>
      </c>
      <c r="D1740" t="s">
        <v>2565</v>
      </c>
      <c r="E1740" t="s">
        <v>4</v>
      </c>
      <c r="F1740">
        <v>243</v>
      </c>
      <c r="G1740">
        <v>341</v>
      </c>
      <c r="H1740" t="s">
        <v>13</v>
      </c>
      <c r="I1740" t="b">
        <v>0</v>
      </c>
      <c r="J1740">
        <f t="shared" si="54"/>
        <v>0</v>
      </c>
      <c r="K1740" t="str">
        <f t="shared" si="55"/>
        <v>Neutral</v>
      </c>
    </row>
    <row r="1741" spans="1:11" x14ac:dyDescent="0.2">
      <c r="A1741" t="s">
        <v>6256</v>
      </c>
      <c r="B1741" t="s">
        <v>6257</v>
      </c>
      <c r="C1741" t="s">
        <v>104</v>
      </c>
      <c r="D1741" t="s">
        <v>182</v>
      </c>
      <c r="E1741" t="s">
        <v>4</v>
      </c>
      <c r="F1741">
        <v>686</v>
      </c>
      <c r="G1741">
        <v>416</v>
      </c>
      <c r="H1741" t="s">
        <v>13</v>
      </c>
      <c r="I1741" t="b">
        <v>0</v>
      </c>
      <c r="J1741">
        <f t="shared" si="54"/>
        <v>0</v>
      </c>
      <c r="K1741" t="str">
        <f t="shared" si="55"/>
        <v>Neutral</v>
      </c>
    </row>
    <row r="1742" spans="1:11" x14ac:dyDescent="0.2">
      <c r="A1742" t="s">
        <v>2940</v>
      </c>
      <c r="B1742" t="s">
        <v>2941</v>
      </c>
      <c r="C1742" t="s">
        <v>2942</v>
      </c>
      <c r="D1742" t="s">
        <v>1372</v>
      </c>
      <c r="E1742" t="s">
        <v>4</v>
      </c>
      <c r="F1742">
        <v>83</v>
      </c>
      <c r="G1742">
        <v>476</v>
      </c>
      <c r="H1742" t="s">
        <v>13</v>
      </c>
      <c r="I1742" t="b">
        <v>0</v>
      </c>
      <c r="J1742">
        <f t="shared" si="54"/>
        <v>0</v>
      </c>
      <c r="K1742" t="str">
        <f t="shared" si="55"/>
        <v>Neutral</v>
      </c>
    </row>
    <row r="1743" spans="1:11" x14ac:dyDescent="0.2">
      <c r="A1743" t="s">
        <v>3350</v>
      </c>
      <c r="B1743" t="s">
        <v>3351</v>
      </c>
      <c r="C1743" t="s">
        <v>185</v>
      </c>
      <c r="D1743" t="s">
        <v>3352</v>
      </c>
      <c r="E1743" t="s">
        <v>4</v>
      </c>
      <c r="F1743">
        <v>187</v>
      </c>
      <c r="G1743">
        <v>1130</v>
      </c>
      <c r="H1743" t="s">
        <v>374</v>
      </c>
      <c r="I1743" t="b">
        <v>0</v>
      </c>
      <c r="J1743">
        <f t="shared" si="54"/>
        <v>0</v>
      </c>
      <c r="K1743" t="str">
        <f t="shared" si="55"/>
        <v>Neutral</v>
      </c>
    </row>
    <row r="1744" spans="1:11" x14ac:dyDescent="0.2">
      <c r="A1744" t="s">
        <v>6838</v>
      </c>
      <c r="B1744" t="s">
        <v>6839</v>
      </c>
      <c r="C1744" t="s">
        <v>2984</v>
      </c>
      <c r="D1744" t="s">
        <v>3</v>
      </c>
      <c r="E1744" t="s">
        <v>4</v>
      </c>
      <c r="F1744">
        <v>1</v>
      </c>
      <c r="G1744">
        <v>28</v>
      </c>
      <c r="H1744" t="s">
        <v>5</v>
      </c>
      <c r="I1744" t="b">
        <v>0</v>
      </c>
      <c r="J1744">
        <f t="shared" si="54"/>
        <v>0</v>
      </c>
      <c r="K1744" t="str">
        <f t="shared" si="55"/>
        <v>Neutral</v>
      </c>
    </row>
    <row r="1745" spans="1:11" x14ac:dyDescent="0.2">
      <c r="A1745" t="s">
        <v>5185</v>
      </c>
      <c r="B1745" t="s">
        <v>5186</v>
      </c>
      <c r="C1745" t="s">
        <v>591</v>
      </c>
      <c r="D1745" t="s">
        <v>5187</v>
      </c>
      <c r="E1745" t="s">
        <v>4</v>
      </c>
      <c r="F1745">
        <v>184</v>
      </c>
      <c r="G1745">
        <v>536</v>
      </c>
      <c r="H1745" t="s">
        <v>13</v>
      </c>
      <c r="I1745" t="b">
        <v>0</v>
      </c>
      <c r="J1745">
        <f t="shared" si="54"/>
        <v>0</v>
      </c>
      <c r="K1745" t="str">
        <f t="shared" si="55"/>
        <v>Neutral</v>
      </c>
    </row>
    <row r="1746" spans="1:11" x14ac:dyDescent="0.2">
      <c r="A1746" t="s">
        <v>5250</v>
      </c>
      <c r="B1746" t="s">
        <v>5251</v>
      </c>
      <c r="C1746" t="s">
        <v>621</v>
      </c>
      <c r="D1746" t="s">
        <v>5252</v>
      </c>
      <c r="E1746" t="s">
        <v>4</v>
      </c>
      <c r="F1746">
        <v>329</v>
      </c>
      <c r="G1746">
        <v>294</v>
      </c>
      <c r="H1746" t="s">
        <v>114</v>
      </c>
      <c r="I1746" t="b">
        <v>0</v>
      </c>
      <c r="J1746">
        <f t="shared" si="54"/>
        <v>0</v>
      </c>
      <c r="K1746" t="str">
        <f t="shared" si="55"/>
        <v>Neutral</v>
      </c>
    </row>
    <row r="1747" spans="1:11" x14ac:dyDescent="0.2">
      <c r="A1747" t="s">
        <v>4458</v>
      </c>
      <c r="B1747" t="s">
        <v>4459</v>
      </c>
      <c r="C1747" t="s">
        <v>4460</v>
      </c>
      <c r="D1747" t="s">
        <v>3</v>
      </c>
      <c r="E1747" t="s">
        <v>4</v>
      </c>
      <c r="F1747">
        <v>31</v>
      </c>
      <c r="G1747">
        <v>271</v>
      </c>
      <c r="H1747" t="s">
        <v>13</v>
      </c>
      <c r="I1747" t="b">
        <v>0</v>
      </c>
      <c r="J1747">
        <f t="shared" si="54"/>
        <v>10</v>
      </c>
      <c r="K1747" t="str">
        <f t="shared" si="55"/>
        <v>Positive</v>
      </c>
    </row>
    <row r="1748" spans="1:11" x14ac:dyDescent="0.2">
      <c r="A1748" t="s">
        <v>5155</v>
      </c>
      <c r="B1748" t="s">
        <v>5156</v>
      </c>
      <c r="C1748" t="s">
        <v>1016</v>
      </c>
      <c r="D1748" t="s">
        <v>5157</v>
      </c>
      <c r="E1748" t="s">
        <v>4</v>
      </c>
      <c r="F1748">
        <v>115</v>
      </c>
      <c r="G1748">
        <v>389</v>
      </c>
      <c r="H1748" t="s">
        <v>13</v>
      </c>
      <c r="I1748" t="b">
        <v>0</v>
      </c>
      <c r="J1748">
        <f t="shared" si="54"/>
        <v>10</v>
      </c>
      <c r="K1748" t="str">
        <f t="shared" si="55"/>
        <v>Positive</v>
      </c>
    </row>
    <row r="1749" spans="1:11" x14ac:dyDescent="0.2">
      <c r="A1749" t="s">
        <v>2938</v>
      </c>
      <c r="B1749" t="s">
        <v>2939</v>
      </c>
      <c r="C1749" t="s">
        <v>258</v>
      </c>
      <c r="D1749" t="s">
        <v>3</v>
      </c>
      <c r="E1749" t="s">
        <v>4</v>
      </c>
      <c r="F1749">
        <v>17</v>
      </c>
      <c r="G1749">
        <v>123</v>
      </c>
      <c r="H1749" t="s">
        <v>645</v>
      </c>
      <c r="I1749" t="b">
        <v>0</v>
      </c>
      <c r="J1749">
        <f t="shared" si="54"/>
        <v>0</v>
      </c>
      <c r="K1749" t="str">
        <f t="shared" si="55"/>
        <v>Neutral</v>
      </c>
    </row>
    <row r="1750" spans="1:11" x14ac:dyDescent="0.2">
      <c r="A1750" t="s">
        <v>4812</v>
      </c>
      <c r="B1750" t="s">
        <v>4813</v>
      </c>
      <c r="C1750" t="s">
        <v>4814</v>
      </c>
      <c r="D1750" t="s">
        <v>3949</v>
      </c>
      <c r="E1750" t="s">
        <v>4</v>
      </c>
      <c r="F1750">
        <v>62</v>
      </c>
      <c r="G1750">
        <v>231</v>
      </c>
      <c r="H1750" t="s">
        <v>13</v>
      </c>
      <c r="I1750" t="b">
        <v>0</v>
      </c>
      <c r="J1750">
        <f t="shared" si="54"/>
        <v>0</v>
      </c>
      <c r="K1750" t="str">
        <f t="shared" si="55"/>
        <v>Neutral</v>
      </c>
    </row>
    <row r="1751" spans="1:11" x14ac:dyDescent="0.2">
      <c r="A1751" t="s">
        <v>893</v>
      </c>
      <c r="B1751" t="s">
        <v>894</v>
      </c>
      <c r="C1751" t="s">
        <v>895</v>
      </c>
      <c r="D1751" t="s">
        <v>3</v>
      </c>
      <c r="E1751" t="s">
        <v>4</v>
      </c>
      <c r="F1751">
        <v>1564</v>
      </c>
      <c r="G1751">
        <v>5000</v>
      </c>
      <c r="H1751" t="s">
        <v>13</v>
      </c>
      <c r="I1751" t="b">
        <v>0</v>
      </c>
      <c r="J1751">
        <f t="shared" si="54"/>
        <v>-10</v>
      </c>
      <c r="K1751" t="str">
        <f t="shared" si="55"/>
        <v>Negative</v>
      </c>
    </row>
    <row r="1752" spans="1:11" x14ac:dyDescent="0.2">
      <c r="A1752" t="s">
        <v>5707</v>
      </c>
      <c r="B1752" t="s">
        <v>5708</v>
      </c>
      <c r="C1752" t="s">
        <v>468</v>
      </c>
      <c r="D1752" t="s">
        <v>469</v>
      </c>
      <c r="E1752" t="s">
        <v>4</v>
      </c>
      <c r="F1752">
        <v>5</v>
      </c>
      <c r="G1752">
        <v>13</v>
      </c>
      <c r="H1752" t="s">
        <v>13</v>
      </c>
      <c r="I1752" t="b">
        <v>0</v>
      </c>
      <c r="J1752">
        <f t="shared" si="54"/>
        <v>0</v>
      </c>
      <c r="K1752" t="str">
        <f t="shared" si="55"/>
        <v>Neutral</v>
      </c>
    </row>
    <row r="1753" spans="1:11" x14ac:dyDescent="0.2">
      <c r="A1753" t="s">
        <v>4931</v>
      </c>
      <c r="B1753" t="s">
        <v>4932</v>
      </c>
      <c r="C1753" t="s">
        <v>1534</v>
      </c>
      <c r="D1753" t="s">
        <v>2276</v>
      </c>
      <c r="E1753" t="s">
        <v>4</v>
      </c>
      <c r="F1753">
        <v>312</v>
      </c>
      <c r="G1753">
        <v>79</v>
      </c>
      <c r="H1753" t="s">
        <v>13</v>
      </c>
      <c r="I1753" t="b">
        <v>0</v>
      </c>
      <c r="J1753">
        <f t="shared" si="54"/>
        <v>0</v>
      </c>
      <c r="K1753" t="str">
        <f t="shared" si="55"/>
        <v>Neutral</v>
      </c>
    </row>
    <row r="1754" spans="1:11" x14ac:dyDescent="0.2">
      <c r="A1754" t="s">
        <v>1512</v>
      </c>
      <c r="B1754" t="s">
        <v>1513</v>
      </c>
      <c r="C1754" t="s">
        <v>1514</v>
      </c>
      <c r="D1754" t="s">
        <v>3</v>
      </c>
      <c r="E1754" t="s">
        <v>4</v>
      </c>
      <c r="F1754">
        <v>284</v>
      </c>
      <c r="G1754">
        <v>152</v>
      </c>
      <c r="H1754" t="s">
        <v>13</v>
      </c>
      <c r="I1754" t="b">
        <v>0</v>
      </c>
      <c r="J1754">
        <f t="shared" si="54"/>
        <v>10</v>
      </c>
      <c r="K1754" t="str">
        <f t="shared" si="55"/>
        <v>Positive</v>
      </c>
    </row>
    <row r="1755" spans="1:11" x14ac:dyDescent="0.2">
      <c r="A1755" t="s">
        <v>1208</v>
      </c>
      <c r="B1755" t="s">
        <v>1209</v>
      </c>
      <c r="C1755" t="s">
        <v>1210</v>
      </c>
      <c r="D1755" t="s">
        <v>1211</v>
      </c>
      <c r="E1755" t="s">
        <v>4</v>
      </c>
      <c r="F1755">
        <v>8612</v>
      </c>
      <c r="G1755">
        <v>6558</v>
      </c>
      <c r="H1755" t="s">
        <v>13</v>
      </c>
      <c r="I1755" t="b">
        <v>0</v>
      </c>
      <c r="J1755">
        <f t="shared" si="54"/>
        <v>0</v>
      </c>
      <c r="K1755" t="str">
        <f t="shared" si="55"/>
        <v>Neutral</v>
      </c>
    </row>
    <row r="1756" spans="1:11" x14ac:dyDescent="0.2">
      <c r="A1756" t="s">
        <v>6270</v>
      </c>
      <c r="B1756" t="s">
        <v>6271</v>
      </c>
      <c r="C1756" t="s">
        <v>185</v>
      </c>
      <c r="D1756" t="s">
        <v>6234</v>
      </c>
      <c r="E1756" t="s">
        <v>4</v>
      </c>
      <c r="F1756">
        <v>15</v>
      </c>
      <c r="G1756">
        <v>109</v>
      </c>
      <c r="H1756" t="s">
        <v>13</v>
      </c>
      <c r="I1756" t="b">
        <v>0</v>
      </c>
      <c r="J1756">
        <f t="shared" si="54"/>
        <v>0</v>
      </c>
      <c r="K1756" t="str">
        <f t="shared" si="55"/>
        <v>Neutral</v>
      </c>
    </row>
    <row r="1757" spans="1:11" x14ac:dyDescent="0.2">
      <c r="A1757" t="s">
        <v>4043</v>
      </c>
      <c r="B1757" t="s">
        <v>4044</v>
      </c>
      <c r="C1757" t="s">
        <v>4045</v>
      </c>
      <c r="D1757" t="s">
        <v>2957</v>
      </c>
      <c r="E1757" t="s">
        <v>4</v>
      </c>
      <c r="F1757">
        <v>236</v>
      </c>
      <c r="G1757">
        <v>438</v>
      </c>
      <c r="H1757" t="s">
        <v>13</v>
      </c>
      <c r="I1757" t="b">
        <v>0</v>
      </c>
      <c r="J1757">
        <f t="shared" si="54"/>
        <v>0</v>
      </c>
      <c r="K1757" t="str">
        <f t="shared" si="55"/>
        <v>Neutral</v>
      </c>
    </row>
    <row r="1758" spans="1:11" x14ac:dyDescent="0.2">
      <c r="A1758" t="s">
        <v>830</v>
      </c>
      <c r="B1758" t="s">
        <v>831</v>
      </c>
      <c r="C1758" t="s">
        <v>832</v>
      </c>
      <c r="D1758" t="s">
        <v>833</v>
      </c>
      <c r="E1758" t="s">
        <v>4</v>
      </c>
      <c r="F1758">
        <v>2233</v>
      </c>
      <c r="G1758">
        <v>1415</v>
      </c>
      <c r="H1758" t="s">
        <v>13</v>
      </c>
      <c r="I1758" t="b">
        <v>0</v>
      </c>
      <c r="J1758">
        <f t="shared" si="54"/>
        <v>0</v>
      </c>
      <c r="K1758" t="str">
        <f t="shared" si="55"/>
        <v>Neutral</v>
      </c>
    </row>
    <row r="1759" spans="1:11" x14ac:dyDescent="0.2">
      <c r="A1759" t="s">
        <v>4823</v>
      </c>
      <c r="B1759" t="s">
        <v>4824</v>
      </c>
      <c r="C1759" t="s">
        <v>1947</v>
      </c>
      <c r="D1759" t="s">
        <v>4825</v>
      </c>
      <c r="E1759" t="s">
        <v>4</v>
      </c>
      <c r="F1759">
        <v>516</v>
      </c>
      <c r="G1759">
        <v>367</v>
      </c>
      <c r="H1759" t="s">
        <v>374</v>
      </c>
      <c r="I1759" t="b">
        <v>0</v>
      </c>
      <c r="J1759">
        <f t="shared" si="54"/>
        <v>0</v>
      </c>
      <c r="K1759" t="str">
        <f t="shared" si="55"/>
        <v>Neutral</v>
      </c>
    </row>
    <row r="1760" spans="1:11" x14ac:dyDescent="0.2">
      <c r="A1760" t="s">
        <v>1024</v>
      </c>
      <c r="B1760" t="s">
        <v>1025</v>
      </c>
      <c r="C1760" t="s">
        <v>1026</v>
      </c>
      <c r="D1760" t="s">
        <v>1027</v>
      </c>
      <c r="E1760" t="s">
        <v>4</v>
      </c>
      <c r="F1760">
        <v>27</v>
      </c>
      <c r="G1760">
        <v>188</v>
      </c>
      <c r="H1760" t="s">
        <v>13</v>
      </c>
      <c r="I1760" t="b">
        <v>0</v>
      </c>
      <c r="J1760">
        <f t="shared" si="54"/>
        <v>20</v>
      </c>
      <c r="K1760" t="str">
        <f t="shared" si="55"/>
        <v>Positive</v>
      </c>
    </row>
    <row r="1761" spans="1:11" x14ac:dyDescent="0.2">
      <c r="A1761" t="s">
        <v>1217</v>
      </c>
      <c r="B1761" t="s">
        <v>1218</v>
      </c>
      <c r="C1761" t="s">
        <v>323</v>
      </c>
      <c r="D1761" t="s">
        <v>1045</v>
      </c>
      <c r="E1761" t="s">
        <v>4</v>
      </c>
      <c r="F1761">
        <v>2639</v>
      </c>
      <c r="G1761">
        <v>428</v>
      </c>
      <c r="H1761" t="s">
        <v>13</v>
      </c>
      <c r="I1761" t="b">
        <v>0</v>
      </c>
      <c r="J1761">
        <f t="shared" si="54"/>
        <v>10</v>
      </c>
      <c r="K1761" t="str">
        <f t="shared" si="55"/>
        <v>Positive</v>
      </c>
    </row>
    <row r="1762" spans="1:11" x14ac:dyDescent="0.2">
      <c r="A1762" t="s">
        <v>3664</v>
      </c>
      <c r="B1762" t="s">
        <v>3666</v>
      </c>
      <c r="C1762" t="s">
        <v>1838</v>
      </c>
      <c r="D1762" t="s">
        <v>3</v>
      </c>
      <c r="E1762" t="s">
        <v>4</v>
      </c>
      <c r="F1762">
        <v>423</v>
      </c>
      <c r="G1762">
        <v>241</v>
      </c>
      <c r="H1762" t="s">
        <v>13</v>
      </c>
      <c r="I1762" t="b">
        <v>0</v>
      </c>
      <c r="J1762">
        <f t="shared" si="54"/>
        <v>10</v>
      </c>
      <c r="K1762" t="str">
        <f t="shared" si="55"/>
        <v>Positive</v>
      </c>
    </row>
    <row r="1763" spans="1:11" x14ac:dyDescent="0.2">
      <c r="A1763" t="s">
        <v>1799</v>
      </c>
      <c r="B1763" t="s">
        <v>1800</v>
      </c>
      <c r="C1763" t="s">
        <v>1801</v>
      </c>
      <c r="D1763" t="s">
        <v>3</v>
      </c>
      <c r="E1763" t="s">
        <v>4</v>
      </c>
      <c r="F1763">
        <v>56</v>
      </c>
      <c r="G1763">
        <v>36</v>
      </c>
      <c r="H1763" t="s">
        <v>13</v>
      </c>
      <c r="I1763" t="b">
        <v>0</v>
      </c>
      <c r="J1763">
        <f t="shared" si="54"/>
        <v>0</v>
      </c>
      <c r="K1763" t="str">
        <f t="shared" si="55"/>
        <v>Neutral</v>
      </c>
    </row>
    <row r="1764" spans="1:11" x14ac:dyDescent="0.2">
      <c r="A1764" t="s">
        <v>6748</v>
      </c>
      <c r="B1764" t="s">
        <v>6749</v>
      </c>
      <c r="C1764" t="s">
        <v>1413</v>
      </c>
      <c r="D1764" t="s">
        <v>3</v>
      </c>
      <c r="E1764" t="s">
        <v>4</v>
      </c>
      <c r="F1764">
        <v>133</v>
      </c>
      <c r="G1764">
        <v>176</v>
      </c>
      <c r="H1764" t="s">
        <v>13</v>
      </c>
      <c r="I1764" t="b">
        <v>0</v>
      </c>
      <c r="J1764">
        <f t="shared" si="54"/>
        <v>-10</v>
      </c>
      <c r="K1764" t="str">
        <f t="shared" si="55"/>
        <v>Negative</v>
      </c>
    </row>
    <row r="1765" spans="1:11" x14ac:dyDescent="0.2">
      <c r="A1765" t="s">
        <v>1818</v>
      </c>
      <c r="B1765" t="s">
        <v>1819</v>
      </c>
      <c r="C1765" t="s">
        <v>1820</v>
      </c>
      <c r="D1765" t="s">
        <v>3</v>
      </c>
      <c r="E1765" t="s">
        <v>4</v>
      </c>
      <c r="F1765">
        <v>9</v>
      </c>
      <c r="G1765">
        <v>169</v>
      </c>
      <c r="H1765" t="s">
        <v>13</v>
      </c>
      <c r="I1765" t="b">
        <v>0</v>
      </c>
      <c r="J1765">
        <f t="shared" si="54"/>
        <v>0</v>
      </c>
      <c r="K1765" t="str">
        <f t="shared" si="55"/>
        <v>Neutral</v>
      </c>
    </row>
    <row r="1766" spans="1:11" x14ac:dyDescent="0.2">
      <c r="A1766" t="s">
        <v>7092</v>
      </c>
      <c r="B1766" t="s">
        <v>7093</v>
      </c>
      <c r="C1766" t="s">
        <v>7094</v>
      </c>
      <c r="D1766" t="s">
        <v>7095</v>
      </c>
      <c r="E1766" t="s">
        <v>4</v>
      </c>
      <c r="F1766">
        <v>65</v>
      </c>
      <c r="G1766">
        <v>49</v>
      </c>
      <c r="H1766" t="s">
        <v>50</v>
      </c>
      <c r="I1766" t="b">
        <v>0</v>
      </c>
      <c r="J1766">
        <f t="shared" si="54"/>
        <v>10</v>
      </c>
      <c r="K1766" t="str">
        <f t="shared" si="55"/>
        <v>Positive</v>
      </c>
    </row>
    <row r="1767" spans="1:11" x14ac:dyDescent="0.2">
      <c r="A1767" t="s">
        <v>3773</v>
      </c>
      <c r="B1767" t="s">
        <v>3774</v>
      </c>
      <c r="C1767" t="s">
        <v>1469</v>
      </c>
      <c r="D1767" t="s">
        <v>3775</v>
      </c>
      <c r="E1767" t="s">
        <v>4</v>
      </c>
      <c r="F1767">
        <v>33</v>
      </c>
      <c r="G1767">
        <v>69</v>
      </c>
      <c r="H1767" t="s">
        <v>13</v>
      </c>
      <c r="I1767" t="b">
        <v>0</v>
      </c>
      <c r="J1767">
        <f t="shared" si="54"/>
        <v>0</v>
      </c>
      <c r="K1767" t="str">
        <f t="shared" si="55"/>
        <v>Neutral</v>
      </c>
    </row>
    <row r="1768" spans="1:11" x14ac:dyDescent="0.2">
      <c r="A1768" t="s">
        <v>4372</v>
      </c>
      <c r="B1768" t="s">
        <v>4373</v>
      </c>
      <c r="C1768" t="s">
        <v>1249</v>
      </c>
      <c r="D1768" t="s">
        <v>3</v>
      </c>
      <c r="E1768" t="s">
        <v>4</v>
      </c>
      <c r="F1768">
        <v>251</v>
      </c>
      <c r="G1768">
        <v>9</v>
      </c>
      <c r="H1768" t="s">
        <v>13</v>
      </c>
      <c r="I1768" t="b">
        <v>0</v>
      </c>
      <c r="J1768">
        <f t="shared" si="54"/>
        <v>0</v>
      </c>
      <c r="K1768" t="str">
        <f t="shared" si="55"/>
        <v>Neutral</v>
      </c>
    </row>
    <row r="1769" spans="1:11" x14ac:dyDescent="0.2">
      <c r="A1769" t="s">
        <v>6858</v>
      </c>
      <c r="B1769" t="s">
        <v>6859</v>
      </c>
      <c r="C1769" t="s">
        <v>3669</v>
      </c>
      <c r="D1769" t="s">
        <v>6844</v>
      </c>
      <c r="E1769" t="s">
        <v>4</v>
      </c>
      <c r="F1769">
        <v>872</v>
      </c>
      <c r="G1769">
        <v>542</v>
      </c>
      <c r="H1769" t="s">
        <v>13</v>
      </c>
      <c r="I1769" t="b">
        <v>0</v>
      </c>
      <c r="J1769">
        <f t="shared" si="54"/>
        <v>0</v>
      </c>
      <c r="K1769" t="str">
        <f t="shared" si="55"/>
        <v>Neutral</v>
      </c>
    </row>
    <row r="1770" spans="1:11" x14ac:dyDescent="0.2">
      <c r="A1770" t="s">
        <v>7260</v>
      </c>
      <c r="B1770" t="s">
        <v>7261</v>
      </c>
      <c r="C1770" t="s">
        <v>3063</v>
      </c>
      <c r="D1770" t="s">
        <v>3481</v>
      </c>
      <c r="E1770" t="s">
        <v>4</v>
      </c>
      <c r="F1770">
        <v>5047</v>
      </c>
      <c r="G1770">
        <v>289</v>
      </c>
      <c r="H1770" t="s">
        <v>13</v>
      </c>
      <c r="I1770" t="b">
        <v>0</v>
      </c>
      <c r="J1770">
        <f t="shared" si="54"/>
        <v>0</v>
      </c>
      <c r="K1770" t="str">
        <f t="shared" si="55"/>
        <v>Neutral</v>
      </c>
    </row>
    <row r="1771" spans="1:11" x14ac:dyDescent="0.2">
      <c r="A1771" t="s">
        <v>1337</v>
      </c>
      <c r="B1771" t="s">
        <v>1338</v>
      </c>
      <c r="C1771" t="s">
        <v>171</v>
      </c>
      <c r="D1771" t="s">
        <v>1297</v>
      </c>
      <c r="E1771" t="s">
        <v>4</v>
      </c>
      <c r="F1771">
        <v>222</v>
      </c>
      <c r="G1771">
        <v>250</v>
      </c>
      <c r="H1771" t="s">
        <v>13</v>
      </c>
      <c r="I1771" t="b">
        <v>0</v>
      </c>
      <c r="J1771">
        <f t="shared" si="54"/>
        <v>0</v>
      </c>
      <c r="K1771" t="str">
        <f t="shared" si="55"/>
        <v>Neutral</v>
      </c>
    </row>
    <row r="1772" spans="1:11" x14ac:dyDescent="0.2">
      <c r="A1772" t="s">
        <v>7040</v>
      </c>
      <c r="B1772" t="s">
        <v>7041</v>
      </c>
      <c r="C1772" t="s">
        <v>7042</v>
      </c>
      <c r="D1772" t="s">
        <v>3</v>
      </c>
      <c r="E1772" t="s">
        <v>4</v>
      </c>
      <c r="F1772">
        <v>1007</v>
      </c>
      <c r="G1772">
        <v>530</v>
      </c>
      <c r="H1772" t="s">
        <v>13</v>
      </c>
      <c r="I1772" t="b">
        <v>0</v>
      </c>
      <c r="J1772">
        <f t="shared" si="54"/>
        <v>0</v>
      </c>
      <c r="K1772" t="str">
        <f t="shared" si="55"/>
        <v>Neutral</v>
      </c>
    </row>
    <row r="1773" spans="1:11" x14ac:dyDescent="0.2">
      <c r="A1773" t="s">
        <v>1976</v>
      </c>
      <c r="B1773" t="s">
        <v>1977</v>
      </c>
      <c r="C1773" t="s">
        <v>1317</v>
      </c>
      <c r="D1773" t="s">
        <v>1978</v>
      </c>
      <c r="E1773" t="s">
        <v>4</v>
      </c>
      <c r="F1773">
        <v>492</v>
      </c>
      <c r="G1773">
        <v>584</v>
      </c>
      <c r="H1773" t="s">
        <v>114</v>
      </c>
      <c r="I1773" t="b">
        <v>0</v>
      </c>
      <c r="J1773">
        <f t="shared" si="54"/>
        <v>0</v>
      </c>
      <c r="K1773" t="str">
        <f t="shared" si="55"/>
        <v>Neutral</v>
      </c>
    </row>
    <row r="1774" spans="1:11" x14ac:dyDescent="0.2">
      <c r="A1774" t="s">
        <v>543</v>
      </c>
      <c r="B1774" t="s">
        <v>544</v>
      </c>
      <c r="C1774" t="s">
        <v>545</v>
      </c>
      <c r="D1774" t="s">
        <v>546</v>
      </c>
      <c r="E1774" t="s">
        <v>4</v>
      </c>
      <c r="F1774">
        <v>212</v>
      </c>
      <c r="G1774">
        <v>342</v>
      </c>
      <c r="H1774" t="s">
        <v>126</v>
      </c>
      <c r="I1774" t="b">
        <v>0</v>
      </c>
      <c r="J1774">
        <f t="shared" si="54"/>
        <v>-10</v>
      </c>
      <c r="K1774" t="str">
        <f t="shared" si="55"/>
        <v>Negative</v>
      </c>
    </row>
    <row r="1775" spans="1:11" x14ac:dyDescent="0.2">
      <c r="A1775" t="s">
        <v>1080</v>
      </c>
      <c r="B1775" t="s">
        <v>1081</v>
      </c>
      <c r="C1775" t="s">
        <v>1082</v>
      </c>
      <c r="D1775" t="s">
        <v>1083</v>
      </c>
      <c r="E1775" t="s">
        <v>4</v>
      </c>
      <c r="F1775">
        <v>402</v>
      </c>
      <c r="G1775">
        <v>125</v>
      </c>
      <c r="H1775" t="s">
        <v>13</v>
      </c>
      <c r="I1775" t="b">
        <v>0</v>
      </c>
      <c r="J1775">
        <f t="shared" si="54"/>
        <v>0</v>
      </c>
      <c r="K1775" t="str">
        <f t="shared" si="55"/>
        <v>Neutral</v>
      </c>
    </row>
    <row r="1776" spans="1:11" x14ac:dyDescent="0.2">
      <c r="A1776" t="s">
        <v>6780</v>
      </c>
      <c r="B1776" t="s">
        <v>6783</v>
      </c>
      <c r="C1776" t="s">
        <v>1402</v>
      </c>
      <c r="D1776" t="s">
        <v>64</v>
      </c>
      <c r="E1776" t="s">
        <v>4</v>
      </c>
      <c r="F1776">
        <v>1078</v>
      </c>
      <c r="G1776">
        <v>93</v>
      </c>
      <c r="H1776" t="s">
        <v>13</v>
      </c>
      <c r="I1776" t="b">
        <v>0</v>
      </c>
      <c r="J1776">
        <f t="shared" si="54"/>
        <v>0</v>
      </c>
      <c r="K1776" t="str">
        <f t="shared" si="55"/>
        <v>Neutral</v>
      </c>
    </row>
    <row r="1777" spans="1:11" x14ac:dyDescent="0.2">
      <c r="A1777" t="s">
        <v>2124</v>
      </c>
      <c r="B1777" t="s">
        <v>2125</v>
      </c>
      <c r="C1777" t="s">
        <v>2126</v>
      </c>
      <c r="D1777" t="s">
        <v>3</v>
      </c>
      <c r="E1777" t="s">
        <v>4</v>
      </c>
      <c r="F1777">
        <v>89</v>
      </c>
      <c r="G1777">
        <v>977</v>
      </c>
      <c r="H1777" t="s">
        <v>13</v>
      </c>
      <c r="I1777" t="b">
        <v>0</v>
      </c>
      <c r="J1777">
        <f t="shared" si="54"/>
        <v>0</v>
      </c>
      <c r="K1777" t="str">
        <f t="shared" si="55"/>
        <v>Neutral</v>
      </c>
    </row>
    <row r="1778" spans="1:11" x14ac:dyDescent="0.2">
      <c r="A1778" t="s">
        <v>802</v>
      </c>
      <c r="B1778" t="s">
        <v>803</v>
      </c>
      <c r="C1778" t="s">
        <v>791</v>
      </c>
      <c r="D1778" t="s">
        <v>98</v>
      </c>
      <c r="E1778" t="s">
        <v>4</v>
      </c>
      <c r="F1778">
        <v>288</v>
      </c>
      <c r="G1778">
        <v>880</v>
      </c>
      <c r="H1778" t="s">
        <v>13</v>
      </c>
      <c r="I1778" t="b">
        <v>0</v>
      </c>
      <c r="J1778">
        <f t="shared" si="54"/>
        <v>0</v>
      </c>
      <c r="K1778" t="str">
        <f t="shared" si="55"/>
        <v>Neutral</v>
      </c>
    </row>
    <row r="1779" spans="1:11" x14ac:dyDescent="0.2">
      <c r="A1779" t="s">
        <v>6000</v>
      </c>
      <c r="B1779" t="s">
        <v>6001</v>
      </c>
      <c r="C1779" t="s">
        <v>1510</v>
      </c>
      <c r="D1779" t="s">
        <v>3</v>
      </c>
      <c r="E1779" t="s">
        <v>4</v>
      </c>
      <c r="F1779">
        <v>13104</v>
      </c>
      <c r="G1779">
        <v>51</v>
      </c>
      <c r="H1779" t="s">
        <v>13</v>
      </c>
      <c r="I1779" t="b">
        <v>0</v>
      </c>
      <c r="J1779">
        <f t="shared" si="54"/>
        <v>0</v>
      </c>
      <c r="K1779" t="str">
        <f t="shared" si="55"/>
        <v>Neutral</v>
      </c>
    </row>
    <row r="1780" spans="1:11" x14ac:dyDescent="0.2">
      <c r="A1780" t="s">
        <v>1070</v>
      </c>
      <c r="B1780" t="s">
        <v>1071</v>
      </c>
      <c r="C1780" t="s">
        <v>241</v>
      </c>
      <c r="D1780" t="s">
        <v>1072</v>
      </c>
      <c r="E1780" t="s">
        <v>4</v>
      </c>
      <c r="F1780">
        <v>97</v>
      </c>
      <c r="G1780">
        <v>270</v>
      </c>
      <c r="H1780" t="s">
        <v>13</v>
      </c>
      <c r="I1780" t="b">
        <v>0</v>
      </c>
      <c r="J1780">
        <f t="shared" si="54"/>
        <v>10</v>
      </c>
      <c r="K1780" t="str">
        <f t="shared" si="55"/>
        <v>Positive</v>
      </c>
    </row>
    <row r="1781" spans="1:11" x14ac:dyDescent="0.2">
      <c r="A1781" t="s">
        <v>2849</v>
      </c>
      <c r="B1781" t="s">
        <v>2850</v>
      </c>
      <c r="C1781" t="s">
        <v>2851</v>
      </c>
      <c r="D1781" t="s">
        <v>3</v>
      </c>
      <c r="E1781" t="s">
        <v>4</v>
      </c>
      <c r="F1781">
        <v>13</v>
      </c>
      <c r="G1781">
        <v>18</v>
      </c>
      <c r="H1781" t="s">
        <v>13</v>
      </c>
      <c r="I1781" t="b">
        <v>0</v>
      </c>
      <c r="J1781">
        <f t="shared" si="54"/>
        <v>0</v>
      </c>
      <c r="K1781" t="str">
        <f t="shared" si="55"/>
        <v>Neutral</v>
      </c>
    </row>
    <row r="1782" spans="1:11" x14ac:dyDescent="0.2">
      <c r="A1782" t="s">
        <v>5282</v>
      </c>
      <c r="B1782" t="s">
        <v>5283</v>
      </c>
      <c r="C1782" t="s">
        <v>3635</v>
      </c>
      <c r="D1782" t="s">
        <v>3574</v>
      </c>
      <c r="E1782" t="s">
        <v>4</v>
      </c>
      <c r="F1782">
        <v>17</v>
      </c>
      <c r="G1782">
        <v>56</v>
      </c>
      <c r="H1782" t="s">
        <v>13</v>
      </c>
      <c r="I1782" t="b">
        <v>0</v>
      </c>
      <c r="J1782">
        <f t="shared" si="54"/>
        <v>0</v>
      </c>
      <c r="K1782" t="str">
        <f t="shared" si="55"/>
        <v>Neutral</v>
      </c>
    </row>
    <row r="1783" spans="1:11" x14ac:dyDescent="0.2">
      <c r="A1783" t="s">
        <v>5576</v>
      </c>
      <c r="B1783" t="s">
        <v>5577</v>
      </c>
      <c r="C1783" t="s">
        <v>3710</v>
      </c>
      <c r="D1783" t="s">
        <v>592</v>
      </c>
      <c r="E1783" t="s">
        <v>4</v>
      </c>
      <c r="F1783">
        <v>3454</v>
      </c>
      <c r="G1783">
        <v>2616</v>
      </c>
      <c r="H1783" t="s">
        <v>13</v>
      </c>
      <c r="I1783" t="b">
        <v>0</v>
      </c>
      <c r="J1783">
        <f t="shared" si="54"/>
        <v>0</v>
      </c>
      <c r="K1783" t="str">
        <f t="shared" si="55"/>
        <v>Neutral</v>
      </c>
    </row>
    <row r="1784" spans="1:11" x14ac:dyDescent="0.2">
      <c r="A1784" t="s">
        <v>4236</v>
      </c>
      <c r="B1784" t="s">
        <v>4237</v>
      </c>
      <c r="C1784" t="s">
        <v>181</v>
      </c>
      <c r="D1784" t="s">
        <v>4238</v>
      </c>
      <c r="E1784" t="s">
        <v>4</v>
      </c>
      <c r="F1784">
        <v>190</v>
      </c>
      <c r="G1784">
        <v>437</v>
      </c>
      <c r="H1784" t="s">
        <v>13</v>
      </c>
      <c r="I1784" t="b">
        <v>0</v>
      </c>
      <c r="J1784">
        <f t="shared" si="54"/>
        <v>0</v>
      </c>
      <c r="K1784" t="str">
        <f t="shared" si="55"/>
        <v>Neutral</v>
      </c>
    </row>
    <row r="1785" spans="1:11" x14ac:dyDescent="0.2">
      <c r="A1785" t="s">
        <v>6626</v>
      </c>
      <c r="B1785" t="s">
        <v>6627</v>
      </c>
      <c r="C1785" t="s">
        <v>1481</v>
      </c>
      <c r="D1785" t="s">
        <v>6628</v>
      </c>
      <c r="E1785" t="s">
        <v>4</v>
      </c>
      <c r="F1785">
        <v>1405</v>
      </c>
      <c r="G1785">
        <v>946</v>
      </c>
      <c r="H1785" t="s">
        <v>13</v>
      </c>
      <c r="I1785" t="b">
        <v>0</v>
      </c>
      <c r="J1785">
        <f t="shared" si="54"/>
        <v>0</v>
      </c>
      <c r="K1785" t="str">
        <f t="shared" si="55"/>
        <v>Neutral</v>
      </c>
    </row>
    <row r="1786" spans="1:11" x14ac:dyDescent="0.2">
      <c r="A1786" t="s">
        <v>5652</v>
      </c>
      <c r="B1786" t="s">
        <v>5653</v>
      </c>
      <c r="C1786" t="s">
        <v>3305</v>
      </c>
      <c r="D1786" t="s">
        <v>5421</v>
      </c>
      <c r="E1786" t="s">
        <v>4</v>
      </c>
      <c r="F1786">
        <v>1494</v>
      </c>
      <c r="G1786">
        <v>2307</v>
      </c>
      <c r="H1786" t="s">
        <v>13</v>
      </c>
      <c r="I1786" t="b">
        <v>0</v>
      </c>
      <c r="J1786">
        <f t="shared" si="54"/>
        <v>-10</v>
      </c>
      <c r="K1786" t="str">
        <f t="shared" si="55"/>
        <v>Negative</v>
      </c>
    </row>
    <row r="1787" spans="1:11" x14ac:dyDescent="0.2">
      <c r="A1787" t="s">
        <v>5734</v>
      </c>
      <c r="B1787" t="s">
        <v>5735</v>
      </c>
      <c r="C1787" t="s">
        <v>1095</v>
      </c>
      <c r="D1787" t="s">
        <v>491</v>
      </c>
      <c r="E1787" t="s">
        <v>4</v>
      </c>
      <c r="F1787">
        <v>1242</v>
      </c>
      <c r="G1787">
        <v>661</v>
      </c>
      <c r="H1787" t="s">
        <v>13</v>
      </c>
      <c r="I1787" t="b">
        <v>0</v>
      </c>
      <c r="J1787">
        <f t="shared" si="54"/>
        <v>0</v>
      </c>
      <c r="K1787" t="str">
        <f t="shared" si="55"/>
        <v>Neutral</v>
      </c>
    </row>
    <row r="1788" spans="1:11" x14ac:dyDescent="0.2">
      <c r="A1788" t="s">
        <v>6897</v>
      </c>
      <c r="B1788" t="s">
        <v>6898</v>
      </c>
      <c r="C1788" t="s">
        <v>406</v>
      </c>
      <c r="D1788" t="s">
        <v>5356</v>
      </c>
      <c r="E1788" t="s">
        <v>4</v>
      </c>
      <c r="F1788">
        <v>374</v>
      </c>
      <c r="G1788">
        <v>410</v>
      </c>
      <c r="H1788" t="s">
        <v>13</v>
      </c>
      <c r="I1788" t="b">
        <v>0</v>
      </c>
      <c r="J1788">
        <f t="shared" si="54"/>
        <v>0</v>
      </c>
      <c r="K1788" t="str">
        <f t="shared" si="55"/>
        <v>Neutral</v>
      </c>
    </row>
    <row r="1789" spans="1:11" x14ac:dyDescent="0.2">
      <c r="A1789" t="s">
        <v>4214</v>
      </c>
      <c r="B1789" t="s">
        <v>4215</v>
      </c>
      <c r="C1789" t="s">
        <v>3299</v>
      </c>
      <c r="D1789" t="s">
        <v>1813</v>
      </c>
      <c r="E1789" t="s">
        <v>4</v>
      </c>
      <c r="F1789">
        <v>156</v>
      </c>
      <c r="G1789">
        <v>511</v>
      </c>
      <c r="H1789" t="s">
        <v>13</v>
      </c>
      <c r="I1789" t="b">
        <v>0</v>
      </c>
      <c r="J1789">
        <f t="shared" si="54"/>
        <v>0</v>
      </c>
      <c r="K1789" t="str">
        <f t="shared" si="55"/>
        <v>Neutral</v>
      </c>
    </row>
    <row r="1790" spans="1:11" x14ac:dyDescent="0.2">
      <c r="A1790" t="s">
        <v>6328</v>
      </c>
      <c r="B1790" t="s">
        <v>6329</v>
      </c>
      <c r="C1790" t="s">
        <v>4297</v>
      </c>
      <c r="D1790" t="s">
        <v>3</v>
      </c>
      <c r="E1790" t="s">
        <v>4</v>
      </c>
      <c r="F1790">
        <v>33</v>
      </c>
      <c r="G1790">
        <v>63</v>
      </c>
      <c r="H1790" t="s">
        <v>13</v>
      </c>
      <c r="I1790" t="b">
        <v>0</v>
      </c>
      <c r="J1790">
        <f t="shared" si="54"/>
        <v>10</v>
      </c>
      <c r="K1790" t="str">
        <f t="shared" si="55"/>
        <v>Positive</v>
      </c>
    </row>
    <row r="1791" spans="1:11" x14ac:dyDescent="0.2">
      <c r="A1791" t="s">
        <v>1277</v>
      </c>
      <c r="B1791" t="s">
        <v>1278</v>
      </c>
      <c r="C1791" t="s">
        <v>1279</v>
      </c>
      <c r="D1791" t="s">
        <v>1280</v>
      </c>
      <c r="E1791" t="s">
        <v>4</v>
      </c>
      <c r="F1791">
        <v>9326</v>
      </c>
      <c r="G1791">
        <v>1976</v>
      </c>
      <c r="H1791" t="s">
        <v>13</v>
      </c>
      <c r="I1791" t="b">
        <v>0</v>
      </c>
      <c r="J1791">
        <f t="shared" si="54"/>
        <v>0</v>
      </c>
      <c r="K1791" t="str">
        <f t="shared" si="55"/>
        <v>Neutral</v>
      </c>
    </row>
    <row r="1792" spans="1:11" x14ac:dyDescent="0.2">
      <c r="A1792" t="s">
        <v>5493</v>
      </c>
      <c r="B1792" t="s">
        <v>5494</v>
      </c>
      <c r="C1792" t="s">
        <v>767</v>
      </c>
      <c r="D1792" t="s">
        <v>4238</v>
      </c>
      <c r="E1792" t="s">
        <v>4</v>
      </c>
      <c r="F1792">
        <v>207</v>
      </c>
      <c r="G1792">
        <v>699</v>
      </c>
      <c r="H1792" t="s">
        <v>13</v>
      </c>
      <c r="I1792" t="b">
        <v>0</v>
      </c>
      <c r="J1792">
        <f t="shared" si="54"/>
        <v>0</v>
      </c>
      <c r="K1792" t="str">
        <f t="shared" si="55"/>
        <v>Neutral</v>
      </c>
    </row>
    <row r="1793" spans="1:11" x14ac:dyDescent="0.2">
      <c r="A1793" t="s">
        <v>1148</v>
      </c>
      <c r="B1793" t="s">
        <v>1149</v>
      </c>
      <c r="C1793" t="s">
        <v>579</v>
      </c>
      <c r="D1793" t="s">
        <v>64</v>
      </c>
      <c r="E1793" t="s">
        <v>4</v>
      </c>
      <c r="F1793">
        <v>30</v>
      </c>
      <c r="G1793">
        <v>61</v>
      </c>
      <c r="H1793" t="s">
        <v>13</v>
      </c>
      <c r="I1793" t="b">
        <v>0</v>
      </c>
      <c r="J1793">
        <f t="shared" si="54"/>
        <v>10</v>
      </c>
      <c r="K1793" t="str">
        <f t="shared" si="55"/>
        <v>Positive</v>
      </c>
    </row>
    <row r="1794" spans="1:11" x14ac:dyDescent="0.2">
      <c r="A1794" t="s">
        <v>6412</v>
      </c>
      <c r="B1794" t="s">
        <v>6413</v>
      </c>
      <c r="C1794" t="s">
        <v>468</v>
      </c>
      <c r="D1794" t="s">
        <v>6414</v>
      </c>
      <c r="E1794" t="s">
        <v>4</v>
      </c>
      <c r="F1794">
        <v>2</v>
      </c>
      <c r="G1794">
        <v>26</v>
      </c>
      <c r="H1794" t="s">
        <v>13</v>
      </c>
      <c r="I1794" t="b">
        <v>0</v>
      </c>
      <c r="J1794">
        <f t="shared" si="54"/>
        <v>0</v>
      </c>
      <c r="K1794" t="str">
        <f t="shared" si="55"/>
        <v>Neutral</v>
      </c>
    </row>
    <row r="1795" spans="1:11" x14ac:dyDescent="0.2">
      <c r="A1795" t="s">
        <v>149</v>
      </c>
      <c r="B1795" t="s">
        <v>150</v>
      </c>
      <c r="C1795" t="s">
        <v>151</v>
      </c>
      <c r="D1795" t="s">
        <v>152</v>
      </c>
      <c r="E1795" t="s">
        <v>4</v>
      </c>
      <c r="F1795">
        <v>76</v>
      </c>
      <c r="G1795">
        <v>163</v>
      </c>
      <c r="H1795" t="s">
        <v>13</v>
      </c>
      <c r="I1795" t="b">
        <v>0</v>
      </c>
      <c r="J1795">
        <f t="shared" ref="J1795:J1858" si="56">sentimentCalc(B1795)</f>
        <v>20</v>
      </c>
      <c r="K1795" t="str">
        <f t="shared" ref="K1795:K1858" si="57">sentimentCategory(J1795)</f>
        <v>Positive</v>
      </c>
    </row>
    <row r="1796" spans="1:11" x14ac:dyDescent="0.2">
      <c r="A1796" t="s">
        <v>1904</v>
      </c>
      <c r="B1796" t="s">
        <v>1905</v>
      </c>
      <c r="C1796" t="s">
        <v>1906</v>
      </c>
      <c r="D1796" t="s">
        <v>3</v>
      </c>
      <c r="E1796" t="s">
        <v>4</v>
      </c>
      <c r="F1796">
        <v>802</v>
      </c>
      <c r="G1796">
        <v>551</v>
      </c>
      <c r="H1796" t="s">
        <v>76</v>
      </c>
      <c r="I1796" t="b">
        <v>0</v>
      </c>
      <c r="J1796">
        <f t="shared" si="56"/>
        <v>0</v>
      </c>
      <c r="K1796" t="str">
        <f t="shared" si="57"/>
        <v>Neutral</v>
      </c>
    </row>
    <row r="1797" spans="1:11" x14ac:dyDescent="0.2">
      <c r="A1797" t="s">
        <v>6588</v>
      </c>
      <c r="B1797" t="s">
        <v>6589</v>
      </c>
      <c r="C1797" t="s">
        <v>6590</v>
      </c>
      <c r="D1797" t="s">
        <v>64</v>
      </c>
      <c r="E1797" t="s">
        <v>4</v>
      </c>
      <c r="F1797">
        <v>161</v>
      </c>
      <c r="G1797">
        <v>487</v>
      </c>
      <c r="H1797" t="s">
        <v>13</v>
      </c>
      <c r="I1797" t="b">
        <v>0</v>
      </c>
      <c r="J1797">
        <f t="shared" si="56"/>
        <v>0</v>
      </c>
      <c r="K1797" t="str">
        <f t="shared" si="57"/>
        <v>Neutral</v>
      </c>
    </row>
    <row r="1798" spans="1:11" x14ac:dyDescent="0.2">
      <c r="A1798" t="s">
        <v>3211</v>
      </c>
      <c r="B1798" t="s">
        <v>3212</v>
      </c>
      <c r="C1798" t="s">
        <v>3213</v>
      </c>
      <c r="D1798" t="s">
        <v>3</v>
      </c>
      <c r="E1798" t="s">
        <v>4</v>
      </c>
      <c r="F1798">
        <v>1863</v>
      </c>
      <c r="G1798">
        <v>2267</v>
      </c>
      <c r="H1798" t="s">
        <v>13</v>
      </c>
      <c r="I1798" t="b">
        <v>0</v>
      </c>
      <c r="J1798">
        <f t="shared" si="56"/>
        <v>0</v>
      </c>
      <c r="K1798" t="str">
        <f t="shared" si="57"/>
        <v>Neutral</v>
      </c>
    </row>
    <row r="1799" spans="1:11" x14ac:dyDescent="0.2">
      <c r="A1799" t="s">
        <v>1826</v>
      </c>
      <c r="B1799" t="s">
        <v>1827</v>
      </c>
      <c r="C1799" t="s">
        <v>1828</v>
      </c>
      <c r="D1799" t="s">
        <v>64</v>
      </c>
      <c r="E1799" t="s">
        <v>4</v>
      </c>
      <c r="F1799">
        <v>141</v>
      </c>
      <c r="G1799">
        <v>312</v>
      </c>
      <c r="H1799" t="s">
        <v>13</v>
      </c>
      <c r="I1799" t="b">
        <v>0</v>
      </c>
      <c r="J1799">
        <f t="shared" si="56"/>
        <v>10</v>
      </c>
      <c r="K1799" t="str">
        <f t="shared" si="57"/>
        <v>Positive</v>
      </c>
    </row>
    <row r="1800" spans="1:11" x14ac:dyDescent="0.2">
      <c r="A1800" t="s">
        <v>4797</v>
      </c>
      <c r="B1800" t="s">
        <v>4798</v>
      </c>
      <c r="C1800" t="s">
        <v>4799</v>
      </c>
      <c r="D1800" t="s">
        <v>3</v>
      </c>
      <c r="E1800" t="s">
        <v>4</v>
      </c>
      <c r="F1800">
        <v>2503</v>
      </c>
      <c r="G1800">
        <v>988</v>
      </c>
      <c r="H1800" t="s">
        <v>13</v>
      </c>
      <c r="I1800" t="b">
        <v>0</v>
      </c>
      <c r="J1800">
        <f t="shared" si="56"/>
        <v>0</v>
      </c>
      <c r="K1800" t="str">
        <f t="shared" si="57"/>
        <v>Neutral</v>
      </c>
    </row>
    <row r="1801" spans="1:11" x14ac:dyDescent="0.2">
      <c r="A1801" t="s">
        <v>6854</v>
      </c>
      <c r="B1801" t="s">
        <v>6855</v>
      </c>
      <c r="C1801" t="s">
        <v>4911</v>
      </c>
      <c r="D1801" t="s">
        <v>3137</v>
      </c>
      <c r="E1801" t="s">
        <v>4</v>
      </c>
      <c r="F1801">
        <v>924</v>
      </c>
      <c r="G1801">
        <v>808</v>
      </c>
      <c r="H1801" t="s">
        <v>13</v>
      </c>
      <c r="I1801" t="b">
        <v>0</v>
      </c>
      <c r="J1801">
        <f t="shared" si="56"/>
        <v>10</v>
      </c>
      <c r="K1801" t="str">
        <f t="shared" si="57"/>
        <v>Positive</v>
      </c>
    </row>
    <row r="1802" spans="1:11" x14ac:dyDescent="0.2">
      <c r="A1802" t="s">
        <v>6307</v>
      </c>
      <c r="B1802" t="s">
        <v>6308</v>
      </c>
      <c r="C1802" t="s">
        <v>6309</v>
      </c>
      <c r="D1802" t="s">
        <v>6310</v>
      </c>
      <c r="E1802" t="s">
        <v>4</v>
      </c>
      <c r="F1802">
        <v>8472</v>
      </c>
      <c r="G1802">
        <v>9075</v>
      </c>
      <c r="H1802" t="s">
        <v>13</v>
      </c>
      <c r="I1802" t="b">
        <v>0</v>
      </c>
      <c r="J1802">
        <f t="shared" si="56"/>
        <v>0</v>
      </c>
      <c r="K1802" t="str">
        <f t="shared" si="57"/>
        <v>Neutral</v>
      </c>
    </row>
    <row r="1803" spans="1:11" x14ac:dyDescent="0.2">
      <c r="A1803" t="s">
        <v>5064</v>
      </c>
      <c r="B1803" t="s">
        <v>5065</v>
      </c>
      <c r="C1803" t="s">
        <v>459</v>
      </c>
      <c r="D1803" t="s">
        <v>216</v>
      </c>
      <c r="E1803" t="s">
        <v>4</v>
      </c>
      <c r="F1803">
        <v>178</v>
      </c>
      <c r="G1803">
        <v>135</v>
      </c>
      <c r="H1803" t="s">
        <v>13</v>
      </c>
      <c r="I1803" t="b">
        <v>0</v>
      </c>
      <c r="J1803">
        <f t="shared" si="56"/>
        <v>10</v>
      </c>
      <c r="K1803" t="str">
        <f t="shared" si="57"/>
        <v>Positive</v>
      </c>
    </row>
    <row r="1804" spans="1:11" x14ac:dyDescent="0.2">
      <c r="A1804" t="s">
        <v>4073</v>
      </c>
      <c r="B1804" t="s">
        <v>4074</v>
      </c>
      <c r="C1804" t="s">
        <v>2871</v>
      </c>
      <c r="D1804" t="s">
        <v>4075</v>
      </c>
      <c r="E1804" t="s">
        <v>4</v>
      </c>
      <c r="F1804">
        <v>501</v>
      </c>
      <c r="G1804">
        <v>742</v>
      </c>
      <c r="H1804" t="s">
        <v>114</v>
      </c>
      <c r="I1804" t="b">
        <v>0</v>
      </c>
      <c r="J1804">
        <f t="shared" si="56"/>
        <v>0</v>
      </c>
      <c r="K1804" t="str">
        <f t="shared" si="57"/>
        <v>Neutral</v>
      </c>
    </row>
    <row r="1805" spans="1:11" x14ac:dyDescent="0.2">
      <c r="A1805" t="s">
        <v>7176</v>
      </c>
      <c r="B1805" t="s">
        <v>7177</v>
      </c>
      <c r="C1805" t="s">
        <v>6742</v>
      </c>
      <c r="D1805" t="s">
        <v>7178</v>
      </c>
      <c r="E1805" t="s">
        <v>4</v>
      </c>
      <c r="F1805">
        <v>60</v>
      </c>
      <c r="G1805">
        <v>97</v>
      </c>
      <c r="H1805" t="s">
        <v>13</v>
      </c>
      <c r="I1805" t="b">
        <v>0</v>
      </c>
      <c r="J1805">
        <f t="shared" si="56"/>
        <v>0</v>
      </c>
      <c r="K1805" t="str">
        <f t="shared" si="57"/>
        <v>Neutral</v>
      </c>
    </row>
    <row r="1806" spans="1:11" x14ac:dyDescent="0.2">
      <c r="A1806" t="s">
        <v>5569</v>
      </c>
      <c r="B1806" t="s">
        <v>5570</v>
      </c>
      <c r="C1806" t="s">
        <v>190</v>
      </c>
      <c r="D1806" t="s">
        <v>5571</v>
      </c>
      <c r="E1806" t="s">
        <v>4</v>
      </c>
      <c r="F1806">
        <v>117</v>
      </c>
      <c r="G1806">
        <v>455</v>
      </c>
      <c r="H1806" t="s">
        <v>13</v>
      </c>
      <c r="I1806" t="b">
        <v>0</v>
      </c>
      <c r="J1806">
        <f t="shared" si="56"/>
        <v>0</v>
      </c>
      <c r="K1806" t="str">
        <f t="shared" si="57"/>
        <v>Neutral</v>
      </c>
    </row>
    <row r="1807" spans="1:11" x14ac:dyDescent="0.2">
      <c r="A1807" t="s">
        <v>6165</v>
      </c>
      <c r="B1807" t="s">
        <v>6166</v>
      </c>
      <c r="C1807" t="s">
        <v>6167</v>
      </c>
      <c r="D1807" t="s">
        <v>6168</v>
      </c>
      <c r="E1807" t="s">
        <v>4</v>
      </c>
      <c r="F1807">
        <v>225</v>
      </c>
      <c r="G1807">
        <v>795</v>
      </c>
      <c r="H1807" t="s">
        <v>13</v>
      </c>
      <c r="I1807" t="b">
        <v>0</v>
      </c>
      <c r="J1807">
        <f t="shared" si="56"/>
        <v>10</v>
      </c>
      <c r="K1807" t="str">
        <f t="shared" si="57"/>
        <v>Positive</v>
      </c>
    </row>
    <row r="1808" spans="1:11" x14ac:dyDescent="0.2">
      <c r="A1808" t="s">
        <v>6716</v>
      </c>
      <c r="B1808" t="s">
        <v>6717</v>
      </c>
      <c r="C1808" t="s">
        <v>6718</v>
      </c>
      <c r="D1808" t="s">
        <v>3</v>
      </c>
      <c r="E1808" t="s">
        <v>4</v>
      </c>
      <c r="F1808">
        <v>943</v>
      </c>
      <c r="G1808">
        <v>611</v>
      </c>
      <c r="H1808" t="s">
        <v>13</v>
      </c>
      <c r="I1808" t="b">
        <v>0</v>
      </c>
      <c r="J1808">
        <f t="shared" si="56"/>
        <v>0</v>
      </c>
      <c r="K1808" t="str">
        <f t="shared" si="57"/>
        <v>Neutral</v>
      </c>
    </row>
    <row r="1809" spans="1:11" x14ac:dyDescent="0.2">
      <c r="A1809" t="s">
        <v>2572</v>
      </c>
      <c r="B1809" t="s">
        <v>2573</v>
      </c>
      <c r="C1809" t="s">
        <v>2574</v>
      </c>
      <c r="D1809" t="s">
        <v>3</v>
      </c>
      <c r="E1809" t="s">
        <v>4</v>
      </c>
      <c r="F1809">
        <v>6</v>
      </c>
      <c r="G1809">
        <v>73</v>
      </c>
      <c r="H1809" t="s">
        <v>50</v>
      </c>
      <c r="I1809" t="b">
        <v>0</v>
      </c>
      <c r="J1809">
        <f t="shared" si="56"/>
        <v>10</v>
      </c>
      <c r="K1809" t="str">
        <f t="shared" si="57"/>
        <v>Positive</v>
      </c>
    </row>
    <row r="1810" spans="1:11" x14ac:dyDescent="0.2">
      <c r="A1810" t="s">
        <v>6969</v>
      </c>
      <c r="B1810" t="s">
        <v>6970</v>
      </c>
      <c r="C1810" t="s">
        <v>6971</v>
      </c>
      <c r="D1810" t="s">
        <v>3</v>
      </c>
      <c r="E1810" t="s">
        <v>4</v>
      </c>
      <c r="F1810">
        <v>25</v>
      </c>
      <c r="G1810">
        <v>0</v>
      </c>
      <c r="H1810" t="s">
        <v>13</v>
      </c>
      <c r="I1810" t="b">
        <v>0</v>
      </c>
      <c r="J1810">
        <f t="shared" si="56"/>
        <v>0</v>
      </c>
      <c r="K1810" t="str">
        <f t="shared" si="57"/>
        <v>Neutral</v>
      </c>
    </row>
    <row r="1811" spans="1:11" x14ac:dyDescent="0.2">
      <c r="A1811" t="s">
        <v>4863</v>
      </c>
      <c r="B1811" t="s">
        <v>4864</v>
      </c>
      <c r="C1811" t="s">
        <v>4865</v>
      </c>
      <c r="D1811" t="s">
        <v>3</v>
      </c>
      <c r="E1811" t="s">
        <v>4</v>
      </c>
      <c r="F1811">
        <v>413</v>
      </c>
      <c r="G1811">
        <v>355</v>
      </c>
      <c r="H1811" t="s">
        <v>13</v>
      </c>
      <c r="I1811" t="b">
        <v>0</v>
      </c>
      <c r="J1811">
        <f t="shared" si="56"/>
        <v>0</v>
      </c>
      <c r="K1811" t="str">
        <f t="shared" si="57"/>
        <v>Neutral</v>
      </c>
    </row>
    <row r="1812" spans="1:11" x14ac:dyDescent="0.2">
      <c r="A1812" t="s">
        <v>7015</v>
      </c>
      <c r="B1812" t="s">
        <v>7016</v>
      </c>
      <c r="C1812" t="s">
        <v>1317</v>
      </c>
      <c r="D1812" t="s">
        <v>7017</v>
      </c>
      <c r="E1812" t="s">
        <v>4</v>
      </c>
      <c r="F1812">
        <v>244</v>
      </c>
      <c r="G1812">
        <v>318</v>
      </c>
      <c r="H1812" t="s">
        <v>13</v>
      </c>
      <c r="I1812" t="b">
        <v>0</v>
      </c>
      <c r="J1812">
        <f t="shared" si="56"/>
        <v>-10</v>
      </c>
      <c r="K1812" t="str">
        <f t="shared" si="57"/>
        <v>Negative</v>
      </c>
    </row>
    <row r="1813" spans="1:11" x14ac:dyDescent="0.2">
      <c r="A1813" t="s">
        <v>5406</v>
      </c>
      <c r="B1813" t="s">
        <v>5408</v>
      </c>
      <c r="C1813" t="s">
        <v>204</v>
      </c>
      <c r="D1813" t="s">
        <v>5409</v>
      </c>
      <c r="E1813" t="s">
        <v>4</v>
      </c>
      <c r="F1813">
        <v>2282</v>
      </c>
      <c r="G1813">
        <v>4648</v>
      </c>
      <c r="H1813" t="s">
        <v>13</v>
      </c>
      <c r="I1813" t="b">
        <v>0</v>
      </c>
      <c r="J1813">
        <f t="shared" si="56"/>
        <v>0</v>
      </c>
      <c r="K1813" t="str">
        <f t="shared" si="57"/>
        <v>Neutral</v>
      </c>
    </row>
    <row r="1814" spans="1:11" x14ac:dyDescent="0.2">
      <c r="A1814" t="s">
        <v>2803</v>
      </c>
      <c r="B1814" t="s">
        <v>2804</v>
      </c>
      <c r="C1814" t="s">
        <v>2710</v>
      </c>
      <c r="D1814" t="s">
        <v>3</v>
      </c>
      <c r="E1814" t="s">
        <v>4</v>
      </c>
      <c r="F1814">
        <v>17</v>
      </c>
      <c r="G1814">
        <v>78</v>
      </c>
      <c r="H1814" t="s">
        <v>13</v>
      </c>
      <c r="I1814" t="b">
        <v>0</v>
      </c>
      <c r="J1814">
        <f t="shared" si="56"/>
        <v>0</v>
      </c>
      <c r="K1814" t="str">
        <f t="shared" si="57"/>
        <v>Neutral</v>
      </c>
    </row>
    <row r="1815" spans="1:11" x14ac:dyDescent="0.2">
      <c r="A1815" t="s">
        <v>5643</v>
      </c>
      <c r="B1815" t="s">
        <v>5644</v>
      </c>
      <c r="C1815" t="s">
        <v>5645</v>
      </c>
      <c r="D1815" t="s">
        <v>5646</v>
      </c>
      <c r="E1815" t="s">
        <v>4</v>
      </c>
      <c r="F1815">
        <v>75</v>
      </c>
      <c r="G1815">
        <v>512</v>
      </c>
      <c r="H1815" t="s">
        <v>50</v>
      </c>
      <c r="I1815" t="b">
        <v>0</v>
      </c>
      <c r="J1815">
        <f t="shared" si="56"/>
        <v>0</v>
      </c>
      <c r="K1815" t="str">
        <f t="shared" si="57"/>
        <v>Neutral</v>
      </c>
    </row>
    <row r="1816" spans="1:11" x14ac:dyDescent="0.2">
      <c r="A1816" t="s">
        <v>2502</v>
      </c>
      <c r="B1816" t="s">
        <v>2503</v>
      </c>
      <c r="C1816" t="s">
        <v>1166</v>
      </c>
      <c r="D1816" t="s">
        <v>2504</v>
      </c>
      <c r="E1816" t="s">
        <v>4</v>
      </c>
      <c r="F1816">
        <v>1425</v>
      </c>
      <c r="G1816">
        <v>1265</v>
      </c>
      <c r="H1816" t="s">
        <v>2184</v>
      </c>
      <c r="I1816" t="b">
        <v>0</v>
      </c>
      <c r="J1816">
        <f t="shared" si="56"/>
        <v>0</v>
      </c>
      <c r="K1816" t="str">
        <f t="shared" si="57"/>
        <v>Neutral</v>
      </c>
    </row>
    <row r="1817" spans="1:11" x14ac:dyDescent="0.2">
      <c r="A1817" t="s">
        <v>7225</v>
      </c>
      <c r="B1817" t="s">
        <v>7226</v>
      </c>
      <c r="C1817" t="s">
        <v>7227</v>
      </c>
      <c r="D1817" t="s">
        <v>3</v>
      </c>
      <c r="E1817" t="s">
        <v>4</v>
      </c>
      <c r="F1817">
        <v>806</v>
      </c>
      <c r="G1817">
        <v>697</v>
      </c>
      <c r="H1817" t="s">
        <v>13</v>
      </c>
      <c r="I1817" t="b">
        <v>0</v>
      </c>
      <c r="J1817">
        <f t="shared" si="56"/>
        <v>10</v>
      </c>
      <c r="K1817" t="str">
        <f t="shared" si="57"/>
        <v>Positive</v>
      </c>
    </row>
    <row r="1818" spans="1:11" x14ac:dyDescent="0.2">
      <c r="A1818" t="s">
        <v>3160</v>
      </c>
      <c r="B1818" t="s">
        <v>3161</v>
      </c>
      <c r="C1818" t="s">
        <v>683</v>
      </c>
      <c r="D1818" t="s">
        <v>3</v>
      </c>
      <c r="E1818" t="s">
        <v>4</v>
      </c>
      <c r="F1818">
        <v>177</v>
      </c>
      <c r="G1818">
        <v>402</v>
      </c>
      <c r="H1818" t="s">
        <v>13</v>
      </c>
      <c r="I1818" t="b">
        <v>0</v>
      </c>
      <c r="J1818">
        <f t="shared" si="56"/>
        <v>10</v>
      </c>
      <c r="K1818" t="str">
        <f t="shared" si="57"/>
        <v>Positive</v>
      </c>
    </row>
    <row r="1819" spans="1:11" x14ac:dyDescent="0.2">
      <c r="A1819" t="s">
        <v>7120</v>
      </c>
      <c r="B1819" t="s">
        <v>7121</v>
      </c>
      <c r="C1819" t="s">
        <v>251</v>
      </c>
      <c r="D1819" t="s">
        <v>2403</v>
      </c>
      <c r="E1819" t="s">
        <v>4</v>
      </c>
      <c r="F1819">
        <v>395</v>
      </c>
      <c r="G1819">
        <v>831</v>
      </c>
      <c r="H1819" t="s">
        <v>13</v>
      </c>
      <c r="I1819" t="b">
        <v>0</v>
      </c>
      <c r="J1819">
        <f t="shared" si="56"/>
        <v>10</v>
      </c>
      <c r="K1819" t="str">
        <f t="shared" si="57"/>
        <v>Positive</v>
      </c>
    </row>
    <row r="1820" spans="1:11" x14ac:dyDescent="0.2">
      <c r="A1820" t="s">
        <v>3638</v>
      </c>
      <c r="B1820" t="s">
        <v>3639</v>
      </c>
      <c r="C1820" t="s">
        <v>31</v>
      </c>
      <c r="D1820" t="s">
        <v>101</v>
      </c>
      <c r="E1820" t="s">
        <v>4</v>
      </c>
      <c r="F1820">
        <v>526</v>
      </c>
      <c r="G1820">
        <v>558</v>
      </c>
      <c r="H1820" t="s">
        <v>33</v>
      </c>
      <c r="I1820" t="b">
        <v>0</v>
      </c>
      <c r="J1820">
        <f t="shared" si="56"/>
        <v>0</v>
      </c>
      <c r="K1820" t="str">
        <f t="shared" si="57"/>
        <v>Neutral</v>
      </c>
    </row>
    <row r="1821" spans="1:11" x14ac:dyDescent="0.2">
      <c r="A1821" t="s">
        <v>6817</v>
      </c>
      <c r="B1821" t="s">
        <v>6818</v>
      </c>
      <c r="C1821" t="s">
        <v>85</v>
      </c>
      <c r="D1821" t="s">
        <v>3</v>
      </c>
      <c r="E1821" t="s">
        <v>4</v>
      </c>
      <c r="F1821">
        <v>774</v>
      </c>
      <c r="G1821">
        <v>927</v>
      </c>
      <c r="H1821" t="s">
        <v>13</v>
      </c>
      <c r="I1821" t="b">
        <v>0</v>
      </c>
      <c r="J1821">
        <f t="shared" si="56"/>
        <v>0</v>
      </c>
      <c r="K1821" t="str">
        <f t="shared" si="57"/>
        <v>Neutral</v>
      </c>
    </row>
    <row r="1822" spans="1:11" x14ac:dyDescent="0.2">
      <c r="A1822" t="s">
        <v>2715</v>
      </c>
      <c r="B1822" t="s">
        <v>2716</v>
      </c>
      <c r="C1822" t="s">
        <v>1572</v>
      </c>
      <c r="D1822" t="s">
        <v>2717</v>
      </c>
      <c r="E1822" t="s">
        <v>4</v>
      </c>
      <c r="F1822">
        <v>271</v>
      </c>
      <c r="G1822">
        <v>39</v>
      </c>
      <c r="H1822" t="s">
        <v>13</v>
      </c>
      <c r="I1822" t="b">
        <v>0</v>
      </c>
      <c r="J1822">
        <f t="shared" si="56"/>
        <v>20</v>
      </c>
      <c r="K1822" t="str">
        <f t="shared" si="57"/>
        <v>Positive</v>
      </c>
    </row>
    <row r="1823" spans="1:11" x14ac:dyDescent="0.2">
      <c r="A1823" t="s">
        <v>6293</v>
      </c>
      <c r="B1823" t="s">
        <v>6294</v>
      </c>
      <c r="C1823" t="s">
        <v>786</v>
      </c>
      <c r="D1823" t="s">
        <v>3</v>
      </c>
      <c r="E1823" t="s">
        <v>4</v>
      </c>
      <c r="F1823">
        <v>81</v>
      </c>
      <c r="G1823">
        <v>138</v>
      </c>
      <c r="H1823" t="s">
        <v>13</v>
      </c>
      <c r="I1823" t="b">
        <v>0</v>
      </c>
      <c r="J1823">
        <f t="shared" si="56"/>
        <v>10</v>
      </c>
      <c r="K1823" t="str">
        <f t="shared" si="57"/>
        <v>Positive</v>
      </c>
    </row>
    <row r="1824" spans="1:11" x14ac:dyDescent="0.2">
      <c r="A1824" t="s">
        <v>7023</v>
      </c>
      <c r="B1824" t="s">
        <v>7024</v>
      </c>
      <c r="C1824" t="s">
        <v>2954</v>
      </c>
      <c r="D1824" t="s">
        <v>7025</v>
      </c>
      <c r="E1824" t="s">
        <v>4</v>
      </c>
      <c r="F1824">
        <v>4032</v>
      </c>
      <c r="G1824">
        <v>2361</v>
      </c>
      <c r="H1824" t="s">
        <v>13</v>
      </c>
      <c r="I1824" t="b">
        <v>0</v>
      </c>
      <c r="J1824">
        <f t="shared" si="56"/>
        <v>0</v>
      </c>
      <c r="K1824" t="str">
        <f t="shared" si="57"/>
        <v>Neutral</v>
      </c>
    </row>
    <row r="1825" spans="1:11" x14ac:dyDescent="0.2">
      <c r="A1825" t="s">
        <v>474</v>
      </c>
      <c r="B1825" t="s">
        <v>475</v>
      </c>
      <c r="C1825" t="s">
        <v>476</v>
      </c>
      <c r="D1825" t="s">
        <v>477</v>
      </c>
      <c r="E1825" t="s">
        <v>4</v>
      </c>
      <c r="F1825">
        <v>292</v>
      </c>
      <c r="G1825">
        <v>0</v>
      </c>
      <c r="H1825" t="s">
        <v>114</v>
      </c>
      <c r="I1825" t="b">
        <v>0</v>
      </c>
      <c r="J1825">
        <f t="shared" si="56"/>
        <v>0</v>
      </c>
      <c r="K1825" t="str">
        <f t="shared" si="57"/>
        <v>Neutral</v>
      </c>
    </row>
    <row r="1826" spans="1:11" x14ac:dyDescent="0.2">
      <c r="A1826" t="s">
        <v>2950</v>
      </c>
      <c r="B1826" t="s">
        <v>2951</v>
      </c>
      <c r="C1826" t="s">
        <v>942</v>
      </c>
      <c r="D1826" t="s">
        <v>2779</v>
      </c>
      <c r="E1826" t="s">
        <v>4</v>
      </c>
      <c r="F1826">
        <v>1210</v>
      </c>
      <c r="G1826">
        <v>2424</v>
      </c>
      <c r="H1826" t="s">
        <v>13</v>
      </c>
      <c r="I1826" t="b">
        <v>0</v>
      </c>
      <c r="J1826">
        <f t="shared" si="56"/>
        <v>0</v>
      </c>
      <c r="K1826" t="str">
        <f t="shared" si="57"/>
        <v>Neutral</v>
      </c>
    </row>
    <row r="1827" spans="1:11" x14ac:dyDescent="0.2">
      <c r="A1827" t="s">
        <v>3327</v>
      </c>
      <c r="B1827" t="s">
        <v>3328</v>
      </c>
      <c r="C1827" t="s">
        <v>48</v>
      </c>
      <c r="D1827" t="s">
        <v>3</v>
      </c>
      <c r="E1827" t="s">
        <v>4</v>
      </c>
      <c r="F1827">
        <v>116</v>
      </c>
      <c r="G1827">
        <v>291</v>
      </c>
      <c r="H1827" t="s">
        <v>13</v>
      </c>
      <c r="I1827" t="b">
        <v>0</v>
      </c>
      <c r="J1827">
        <f t="shared" si="56"/>
        <v>0</v>
      </c>
      <c r="K1827" t="str">
        <f t="shared" si="57"/>
        <v>Neutral</v>
      </c>
    </row>
    <row r="1828" spans="1:11" x14ac:dyDescent="0.2">
      <c r="A1828" t="s">
        <v>841</v>
      </c>
      <c r="B1828" t="s">
        <v>842</v>
      </c>
      <c r="C1828" t="s">
        <v>843</v>
      </c>
      <c r="D1828" t="s">
        <v>844</v>
      </c>
      <c r="E1828" t="s">
        <v>4</v>
      </c>
      <c r="F1828">
        <v>8</v>
      </c>
      <c r="G1828">
        <v>59</v>
      </c>
      <c r="H1828" t="s">
        <v>13</v>
      </c>
      <c r="I1828" t="b">
        <v>0</v>
      </c>
      <c r="J1828">
        <f t="shared" si="56"/>
        <v>0</v>
      </c>
      <c r="K1828" t="str">
        <f t="shared" si="57"/>
        <v>Neutral</v>
      </c>
    </row>
    <row r="1829" spans="1:11" x14ac:dyDescent="0.2">
      <c r="A1829" t="s">
        <v>5419</v>
      </c>
      <c r="B1829" t="s">
        <v>5420</v>
      </c>
      <c r="C1829" t="s">
        <v>3358</v>
      </c>
      <c r="D1829" t="s">
        <v>5421</v>
      </c>
      <c r="E1829" t="s">
        <v>4</v>
      </c>
      <c r="F1829">
        <v>67685</v>
      </c>
      <c r="G1829">
        <v>200</v>
      </c>
      <c r="H1829" t="s">
        <v>13</v>
      </c>
      <c r="I1829" t="b">
        <v>0</v>
      </c>
      <c r="J1829">
        <f t="shared" si="56"/>
        <v>0</v>
      </c>
      <c r="K1829" t="str">
        <f t="shared" si="57"/>
        <v>Neutral</v>
      </c>
    </row>
    <row r="1830" spans="1:11" x14ac:dyDescent="0.2">
      <c r="A1830" t="s">
        <v>2855</v>
      </c>
      <c r="B1830" t="s">
        <v>2856</v>
      </c>
      <c r="C1830" t="s">
        <v>730</v>
      </c>
      <c r="D1830" t="s">
        <v>2857</v>
      </c>
      <c r="E1830" t="s">
        <v>4</v>
      </c>
      <c r="F1830">
        <v>1183</v>
      </c>
      <c r="G1830">
        <v>2241</v>
      </c>
      <c r="H1830" t="s">
        <v>13</v>
      </c>
      <c r="I1830" t="b">
        <v>0</v>
      </c>
      <c r="J1830">
        <f t="shared" si="56"/>
        <v>10</v>
      </c>
      <c r="K1830" t="str">
        <f t="shared" si="57"/>
        <v>Positive</v>
      </c>
    </row>
    <row r="1831" spans="1:11" x14ac:dyDescent="0.2">
      <c r="A1831" t="s">
        <v>6850</v>
      </c>
      <c r="B1831" t="s">
        <v>6851</v>
      </c>
      <c r="C1831" t="s">
        <v>395</v>
      </c>
      <c r="D1831" t="s">
        <v>4676</v>
      </c>
      <c r="E1831" t="s">
        <v>4</v>
      </c>
      <c r="F1831">
        <v>80</v>
      </c>
      <c r="G1831">
        <v>108</v>
      </c>
      <c r="H1831" t="s">
        <v>13</v>
      </c>
      <c r="I1831" t="b">
        <v>0</v>
      </c>
      <c r="J1831">
        <f t="shared" si="56"/>
        <v>0</v>
      </c>
      <c r="K1831" t="str">
        <f t="shared" si="57"/>
        <v>Neutral</v>
      </c>
    </row>
    <row r="1832" spans="1:11" x14ac:dyDescent="0.2">
      <c r="A1832" t="s">
        <v>6691</v>
      </c>
      <c r="B1832" t="s">
        <v>6692</v>
      </c>
      <c r="C1832" t="s">
        <v>301</v>
      </c>
      <c r="D1832" t="s">
        <v>6693</v>
      </c>
      <c r="E1832" t="s">
        <v>4</v>
      </c>
      <c r="F1832">
        <v>870</v>
      </c>
      <c r="G1832">
        <v>1275</v>
      </c>
      <c r="H1832" t="s">
        <v>13</v>
      </c>
      <c r="I1832" t="b">
        <v>0</v>
      </c>
      <c r="J1832">
        <f t="shared" si="56"/>
        <v>0</v>
      </c>
      <c r="K1832" t="str">
        <f t="shared" si="57"/>
        <v>Neutral</v>
      </c>
    </row>
    <row r="1833" spans="1:11" x14ac:dyDescent="0.2">
      <c r="A1833" t="s">
        <v>5222</v>
      </c>
      <c r="B1833" t="s">
        <v>5223</v>
      </c>
      <c r="C1833" t="s">
        <v>5224</v>
      </c>
      <c r="D1833" t="s">
        <v>5225</v>
      </c>
      <c r="E1833" t="s">
        <v>4</v>
      </c>
      <c r="F1833">
        <v>402</v>
      </c>
      <c r="G1833">
        <v>383</v>
      </c>
      <c r="H1833" t="s">
        <v>13</v>
      </c>
      <c r="I1833" t="b">
        <v>0</v>
      </c>
      <c r="J1833">
        <f t="shared" si="56"/>
        <v>0</v>
      </c>
      <c r="K1833" t="str">
        <f t="shared" si="57"/>
        <v>Neutral</v>
      </c>
    </row>
    <row r="1834" spans="1:11" x14ac:dyDescent="0.2">
      <c r="A1834" t="s">
        <v>3147</v>
      </c>
      <c r="B1834" t="s">
        <v>3148</v>
      </c>
      <c r="C1834" t="s">
        <v>2702</v>
      </c>
      <c r="D1834" t="s">
        <v>3149</v>
      </c>
      <c r="E1834" t="s">
        <v>4</v>
      </c>
      <c r="F1834">
        <v>61</v>
      </c>
      <c r="G1834">
        <v>208</v>
      </c>
      <c r="H1834" t="s">
        <v>13</v>
      </c>
      <c r="I1834" t="b">
        <v>0</v>
      </c>
      <c r="J1834">
        <f t="shared" si="56"/>
        <v>0</v>
      </c>
      <c r="K1834" t="str">
        <f t="shared" si="57"/>
        <v>Neutral</v>
      </c>
    </row>
    <row r="1835" spans="1:11" x14ac:dyDescent="0.2">
      <c r="A1835" t="s">
        <v>4851</v>
      </c>
      <c r="B1835" t="s">
        <v>4852</v>
      </c>
      <c r="C1835" t="s">
        <v>4853</v>
      </c>
      <c r="D1835" t="s">
        <v>4854</v>
      </c>
      <c r="E1835" t="s">
        <v>4</v>
      </c>
      <c r="F1835">
        <v>351</v>
      </c>
      <c r="G1835">
        <v>734</v>
      </c>
      <c r="H1835" t="s">
        <v>13</v>
      </c>
      <c r="I1835" t="b">
        <v>0</v>
      </c>
      <c r="J1835">
        <f t="shared" si="56"/>
        <v>0</v>
      </c>
      <c r="K1835" t="str">
        <f t="shared" si="57"/>
        <v>Neutral</v>
      </c>
    </row>
    <row r="1836" spans="1:11" x14ac:dyDescent="0.2">
      <c r="A1836" t="s">
        <v>838</v>
      </c>
      <c r="B1836" t="s">
        <v>839</v>
      </c>
      <c r="C1836" t="s">
        <v>840</v>
      </c>
      <c r="D1836" t="s">
        <v>3</v>
      </c>
      <c r="E1836" t="s">
        <v>4</v>
      </c>
      <c r="F1836">
        <v>35</v>
      </c>
      <c r="G1836">
        <v>250</v>
      </c>
      <c r="H1836" t="s">
        <v>13</v>
      </c>
      <c r="I1836" t="b">
        <v>0</v>
      </c>
      <c r="J1836">
        <f t="shared" si="56"/>
        <v>0</v>
      </c>
      <c r="K1836" t="str">
        <f t="shared" si="57"/>
        <v>Neutral</v>
      </c>
    </row>
    <row r="1837" spans="1:11" x14ac:dyDescent="0.2">
      <c r="A1837" t="s">
        <v>3180</v>
      </c>
      <c r="B1837" t="s">
        <v>3181</v>
      </c>
      <c r="C1837" t="s">
        <v>818</v>
      </c>
      <c r="D1837" t="s">
        <v>220</v>
      </c>
      <c r="E1837" t="s">
        <v>4</v>
      </c>
      <c r="F1837">
        <v>8</v>
      </c>
      <c r="G1837">
        <v>166</v>
      </c>
      <c r="H1837" t="s">
        <v>13</v>
      </c>
      <c r="I1837" t="b">
        <v>0</v>
      </c>
      <c r="J1837">
        <f t="shared" si="56"/>
        <v>0</v>
      </c>
      <c r="K1837" t="str">
        <f t="shared" si="57"/>
        <v>Neutral</v>
      </c>
    </row>
    <row r="1838" spans="1:11" x14ac:dyDescent="0.2">
      <c r="A1838" t="s">
        <v>7146</v>
      </c>
      <c r="B1838" t="s">
        <v>7147</v>
      </c>
      <c r="C1838" t="s">
        <v>777</v>
      </c>
      <c r="D1838" t="s">
        <v>7148</v>
      </c>
      <c r="E1838" t="s">
        <v>4</v>
      </c>
      <c r="F1838">
        <v>2594</v>
      </c>
      <c r="G1838">
        <v>1236</v>
      </c>
      <c r="H1838" t="s">
        <v>13</v>
      </c>
      <c r="I1838" t="b">
        <v>0</v>
      </c>
      <c r="J1838">
        <f t="shared" si="56"/>
        <v>-10</v>
      </c>
      <c r="K1838" t="str">
        <f t="shared" si="57"/>
        <v>Negative</v>
      </c>
    </row>
    <row r="1839" spans="1:11" x14ac:dyDescent="0.2">
      <c r="A1839" t="s">
        <v>3731</v>
      </c>
      <c r="B1839" t="s">
        <v>3732</v>
      </c>
      <c r="C1839" t="s">
        <v>3733</v>
      </c>
      <c r="D1839" t="s">
        <v>3734</v>
      </c>
      <c r="E1839" t="s">
        <v>4</v>
      </c>
      <c r="F1839">
        <v>47</v>
      </c>
      <c r="G1839">
        <v>151</v>
      </c>
      <c r="H1839" t="s">
        <v>13</v>
      </c>
      <c r="I1839" t="b">
        <v>0</v>
      </c>
      <c r="J1839">
        <f t="shared" si="56"/>
        <v>0</v>
      </c>
      <c r="K1839" t="str">
        <f t="shared" si="57"/>
        <v>Neutral</v>
      </c>
    </row>
    <row r="1840" spans="1:11" x14ac:dyDescent="0.2">
      <c r="A1840" t="s">
        <v>3848</v>
      </c>
      <c r="B1840" t="s">
        <v>3849</v>
      </c>
      <c r="C1840" t="s">
        <v>873</v>
      </c>
      <c r="D1840" t="s">
        <v>2794</v>
      </c>
      <c r="E1840" t="s">
        <v>38</v>
      </c>
      <c r="F1840">
        <v>6781</v>
      </c>
      <c r="G1840">
        <v>3334</v>
      </c>
      <c r="H1840" t="s">
        <v>13</v>
      </c>
      <c r="I1840" t="b">
        <v>0</v>
      </c>
      <c r="J1840">
        <f t="shared" si="56"/>
        <v>0</v>
      </c>
      <c r="K1840" t="str">
        <f t="shared" si="57"/>
        <v>Neutral</v>
      </c>
    </row>
    <row r="1841" spans="1:11" x14ac:dyDescent="0.2">
      <c r="A1841" t="s">
        <v>7174</v>
      </c>
      <c r="B1841" t="s">
        <v>7175</v>
      </c>
      <c r="C1841" t="s">
        <v>406</v>
      </c>
      <c r="D1841" t="s">
        <v>5356</v>
      </c>
      <c r="E1841" t="s">
        <v>4</v>
      </c>
      <c r="F1841">
        <v>374</v>
      </c>
      <c r="G1841">
        <v>410</v>
      </c>
      <c r="H1841" t="s">
        <v>13</v>
      </c>
      <c r="I1841" t="b">
        <v>0</v>
      </c>
      <c r="J1841">
        <f t="shared" si="56"/>
        <v>0</v>
      </c>
      <c r="K1841" t="str">
        <f t="shared" si="57"/>
        <v>Neutral</v>
      </c>
    </row>
    <row r="1842" spans="1:11" x14ac:dyDescent="0.2">
      <c r="A1842" t="s">
        <v>4108</v>
      </c>
      <c r="B1842" t="s">
        <v>4109</v>
      </c>
      <c r="C1842" t="s">
        <v>4110</v>
      </c>
      <c r="D1842" t="s">
        <v>4111</v>
      </c>
      <c r="E1842" t="s">
        <v>4</v>
      </c>
      <c r="F1842">
        <v>30</v>
      </c>
      <c r="G1842">
        <v>335</v>
      </c>
      <c r="H1842" t="s">
        <v>13</v>
      </c>
      <c r="I1842" t="b">
        <v>0</v>
      </c>
      <c r="J1842">
        <f t="shared" si="56"/>
        <v>-10</v>
      </c>
      <c r="K1842" t="str">
        <f t="shared" si="57"/>
        <v>Negative</v>
      </c>
    </row>
    <row r="1843" spans="1:11" x14ac:dyDescent="0.2">
      <c r="A1843" t="s">
        <v>2180</v>
      </c>
      <c r="B1843" t="s">
        <v>2182</v>
      </c>
      <c r="C1843" t="s">
        <v>2183</v>
      </c>
      <c r="D1843" t="s">
        <v>3</v>
      </c>
      <c r="E1843" t="s">
        <v>4</v>
      </c>
      <c r="F1843">
        <v>65</v>
      </c>
      <c r="G1843">
        <v>50</v>
      </c>
      <c r="H1843" t="s">
        <v>2184</v>
      </c>
      <c r="I1843" t="b">
        <v>0</v>
      </c>
      <c r="J1843">
        <f t="shared" si="56"/>
        <v>0</v>
      </c>
      <c r="K1843" t="str">
        <f t="shared" si="57"/>
        <v>Neutral</v>
      </c>
    </row>
    <row r="1844" spans="1:11" x14ac:dyDescent="0.2">
      <c r="A1844" t="s">
        <v>5711</v>
      </c>
      <c r="B1844" t="s">
        <v>5712</v>
      </c>
      <c r="C1844" t="s">
        <v>4086</v>
      </c>
      <c r="D1844" t="s">
        <v>3</v>
      </c>
      <c r="E1844" t="s">
        <v>4</v>
      </c>
      <c r="F1844">
        <v>30</v>
      </c>
      <c r="G1844">
        <v>71</v>
      </c>
      <c r="H1844" t="s">
        <v>13</v>
      </c>
      <c r="I1844" t="b">
        <v>0</v>
      </c>
      <c r="J1844">
        <f t="shared" si="56"/>
        <v>-10</v>
      </c>
      <c r="K1844" t="str">
        <f t="shared" si="57"/>
        <v>Negative</v>
      </c>
    </row>
    <row r="1845" spans="1:11" x14ac:dyDescent="0.2">
      <c r="A1845" t="s">
        <v>2512</v>
      </c>
      <c r="B1845" t="s">
        <v>2513</v>
      </c>
      <c r="C1845" t="s">
        <v>2514</v>
      </c>
      <c r="D1845" t="s">
        <v>3</v>
      </c>
      <c r="E1845" t="s">
        <v>4</v>
      </c>
      <c r="F1845">
        <v>430</v>
      </c>
      <c r="G1845">
        <v>263</v>
      </c>
      <c r="H1845" t="s">
        <v>13</v>
      </c>
      <c r="I1845" t="b">
        <v>0</v>
      </c>
      <c r="J1845">
        <f t="shared" si="56"/>
        <v>0</v>
      </c>
      <c r="K1845" t="str">
        <f t="shared" si="57"/>
        <v>Neutral</v>
      </c>
    </row>
    <row r="1846" spans="1:11" x14ac:dyDescent="0.2">
      <c r="A1846" t="s">
        <v>6687</v>
      </c>
      <c r="B1846" t="s">
        <v>6688</v>
      </c>
      <c r="C1846" t="s">
        <v>4911</v>
      </c>
      <c r="D1846" t="s">
        <v>3</v>
      </c>
      <c r="E1846" t="s">
        <v>4</v>
      </c>
      <c r="F1846">
        <v>37</v>
      </c>
      <c r="G1846">
        <v>425</v>
      </c>
      <c r="H1846" t="s">
        <v>13</v>
      </c>
      <c r="I1846" t="b">
        <v>0</v>
      </c>
      <c r="J1846">
        <f t="shared" si="56"/>
        <v>0</v>
      </c>
      <c r="K1846" t="str">
        <f t="shared" si="57"/>
        <v>Neutral</v>
      </c>
    </row>
    <row r="1847" spans="1:11" x14ac:dyDescent="0.2">
      <c r="A1847" t="s">
        <v>5498</v>
      </c>
      <c r="B1847" t="s">
        <v>5499</v>
      </c>
      <c r="C1847" t="s">
        <v>2490</v>
      </c>
      <c r="D1847" t="s">
        <v>5500</v>
      </c>
      <c r="E1847" t="s">
        <v>4</v>
      </c>
      <c r="F1847">
        <v>18</v>
      </c>
      <c r="G1847">
        <v>187</v>
      </c>
      <c r="H1847" t="s">
        <v>13</v>
      </c>
      <c r="I1847" t="b">
        <v>0</v>
      </c>
      <c r="J1847">
        <f t="shared" si="56"/>
        <v>0</v>
      </c>
      <c r="K1847" t="str">
        <f t="shared" si="57"/>
        <v>Neutral</v>
      </c>
    </row>
    <row r="1848" spans="1:11" x14ac:dyDescent="0.2">
      <c r="A1848" t="s">
        <v>6829</v>
      </c>
      <c r="B1848" t="s">
        <v>6830</v>
      </c>
      <c r="C1848" t="s">
        <v>2942</v>
      </c>
      <c r="D1848" t="s">
        <v>3</v>
      </c>
      <c r="E1848" t="s">
        <v>4</v>
      </c>
      <c r="F1848">
        <v>3</v>
      </c>
      <c r="G1848">
        <v>59</v>
      </c>
      <c r="H1848" t="s">
        <v>13</v>
      </c>
      <c r="I1848" t="b">
        <v>0</v>
      </c>
      <c r="J1848">
        <f t="shared" si="56"/>
        <v>-20</v>
      </c>
      <c r="K1848" t="str">
        <f t="shared" si="57"/>
        <v>Negative</v>
      </c>
    </row>
    <row r="1849" spans="1:11" x14ac:dyDescent="0.2">
      <c r="A1849" t="s">
        <v>6725</v>
      </c>
      <c r="B1849" t="s">
        <v>6726</v>
      </c>
      <c r="C1849" t="s">
        <v>1201</v>
      </c>
      <c r="D1849" t="s">
        <v>3</v>
      </c>
      <c r="E1849" t="s">
        <v>4</v>
      </c>
      <c r="F1849">
        <v>297</v>
      </c>
      <c r="G1849">
        <v>110</v>
      </c>
      <c r="H1849" t="s">
        <v>13</v>
      </c>
      <c r="I1849" t="b">
        <v>0</v>
      </c>
      <c r="J1849">
        <f t="shared" si="56"/>
        <v>-10</v>
      </c>
      <c r="K1849" t="str">
        <f t="shared" si="57"/>
        <v>Negative</v>
      </c>
    </row>
    <row r="1850" spans="1:11" x14ac:dyDescent="0.2">
      <c r="A1850" t="s">
        <v>2718</v>
      </c>
      <c r="B1850" t="s">
        <v>2721</v>
      </c>
      <c r="C1850" t="s">
        <v>323</v>
      </c>
      <c r="D1850" t="s">
        <v>422</v>
      </c>
      <c r="E1850" t="s">
        <v>4</v>
      </c>
      <c r="F1850">
        <v>22</v>
      </c>
      <c r="G1850">
        <v>61</v>
      </c>
      <c r="H1850" t="s">
        <v>13</v>
      </c>
      <c r="I1850" t="b">
        <v>0</v>
      </c>
      <c r="J1850">
        <f t="shared" si="56"/>
        <v>0</v>
      </c>
      <c r="K1850" t="str">
        <f t="shared" si="57"/>
        <v>Neutral</v>
      </c>
    </row>
    <row r="1851" spans="1:11" x14ac:dyDescent="0.2">
      <c r="A1851" t="s">
        <v>6348</v>
      </c>
      <c r="B1851" t="s">
        <v>6349</v>
      </c>
      <c r="C1851" t="s">
        <v>5503</v>
      </c>
      <c r="D1851" t="s">
        <v>6350</v>
      </c>
      <c r="E1851" t="s">
        <v>4</v>
      </c>
      <c r="F1851">
        <v>367</v>
      </c>
      <c r="G1851">
        <v>1664</v>
      </c>
      <c r="H1851" t="s">
        <v>13</v>
      </c>
      <c r="I1851" t="b">
        <v>0</v>
      </c>
      <c r="J1851">
        <f t="shared" si="56"/>
        <v>0</v>
      </c>
      <c r="K1851" t="str">
        <f t="shared" si="57"/>
        <v>Neutral</v>
      </c>
    </row>
    <row r="1852" spans="1:11" x14ac:dyDescent="0.2">
      <c r="A1852" t="s">
        <v>2928</v>
      </c>
      <c r="B1852" t="s">
        <v>2929</v>
      </c>
      <c r="C1852" t="s">
        <v>2930</v>
      </c>
      <c r="D1852" t="s">
        <v>2931</v>
      </c>
      <c r="E1852" t="s">
        <v>4</v>
      </c>
      <c r="F1852">
        <v>13475</v>
      </c>
      <c r="G1852">
        <v>492</v>
      </c>
      <c r="H1852" t="s">
        <v>13</v>
      </c>
      <c r="I1852" t="b">
        <v>0</v>
      </c>
      <c r="J1852">
        <f t="shared" si="56"/>
        <v>0</v>
      </c>
      <c r="K1852" t="str">
        <f t="shared" si="57"/>
        <v>Neutral</v>
      </c>
    </row>
    <row r="1853" spans="1:11" x14ac:dyDescent="0.2">
      <c r="A1853" t="s">
        <v>7142</v>
      </c>
      <c r="B1853" t="s">
        <v>7143</v>
      </c>
      <c r="C1853" t="s">
        <v>859</v>
      </c>
      <c r="D1853" t="s">
        <v>71</v>
      </c>
      <c r="E1853" t="s">
        <v>4</v>
      </c>
      <c r="F1853">
        <v>142</v>
      </c>
      <c r="G1853">
        <v>131</v>
      </c>
      <c r="H1853" t="s">
        <v>13</v>
      </c>
      <c r="I1853" t="b">
        <v>0</v>
      </c>
      <c r="J1853">
        <f t="shared" si="56"/>
        <v>10</v>
      </c>
      <c r="K1853" t="str">
        <f t="shared" si="57"/>
        <v>Positive</v>
      </c>
    </row>
    <row r="1854" spans="1:11" x14ac:dyDescent="0.2">
      <c r="A1854" t="s">
        <v>671</v>
      </c>
      <c r="B1854" t="s">
        <v>672</v>
      </c>
      <c r="C1854" t="s">
        <v>283</v>
      </c>
      <c r="D1854" t="s">
        <v>320</v>
      </c>
      <c r="E1854" t="s">
        <v>4</v>
      </c>
      <c r="F1854">
        <v>964</v>
      </c>
      <c r="G1854">
        <v>267</v>
      </c>
      <c r="H1854" t="s">
        <v>13</v>
      </c>
      <c r="I1854" t="b">
        <v>0</v>
      </c>
      <c r="J1854">
        <f t="shared" si="56"/>
        <v>0</v>
      </c>
      <c r="K1854" t="str">
        <f t="shared" si="57"/>
        <v>Neutral</v>
      </c>
    </row>
    <row r="1855" spans="1:11" x14ac:dyDescent="0.2">
      <c r="A1855" t="s">
        <v>2046</v>
      </c>
      <c r="B1855" t="s">
        <v>2047</v>
      </c>
      <c r="C1855" t="s">
        <v>2048</v>
      </c>
      <c r="D1855" t="s">
        <v>3</v>
      </c>
      <c r="E1855" t="s">
        <v>4</v>
      </c>
      <c r="F1855">
        <v>13</v>
      </c>
      <c r="G1855">
        <v>71</v>
      </c>
      <c r="H1855" t="s">
        <v>13</v>
      </c>
      <c r="I1855" t="b">
        <v>0</v>
      </c>
      <c r="J1855">
        <f t="shared" si="56"/>
        <v>0</v>
      </c>
      <c r="K1855" t="str">
        <f t="shared" si="57"/>
        <v>Neutral</v>
      </c>
    </row>
    <row r="1856" spans="1:11" x14ac:dyDescent="0.2">
      <c r="A1856" t="s">
        <v>3830</v>
      </c>
      <c r="B1856" t="s">
        <v>3831</v>
      </c>
      <c r="C1856" t="s">
        <v>226</v>
      </c>
      <c r="D1856" t="s">
        <v>227</v>
      </c>
      <c r="E1856" t="s">
        <v>4</v>
      </c>
      <c r="F1856">
        <v>9224</v>
      </c>
      <c r="G1856">
        <v>7170</v>
      </c>
      <c r="H1856" t="s">
        <v>13</v>
      </c>
      <c r="I1856" t="b">
        <v>0</v>
      </c>
      <c r="J1856">
        <f t="shared" si="56"/>
        <v>10</v>
      </c>
      <c r="K1856" t="str">
        <f t="shared" si="57"/>
        <v>Positive</v>
      </c>
    </row>
    <row r="1857" spans="1:11" x14ac:dyDescent="0.2">
      <c r="A1857" t="s">
        <v>2670</v>
      </c>
      <c r="B1857" t="s">
        <v>2674</v>
      </c>
      <c r="C1857" t="s">
        <v>571</v>
      </c>
      <c r="D1857" t="s">
        <v>64</v>
      </c>
      <c r="E1857" t="s">
        <v>4</v>
      </c>
      <c r="F1857">
        <v>580</v>
      </c>
      <c r="G1857">
        <v>0</v>
      </c>
      <c r="H1857" t="s">
        <v>13</v>
      </c>
      <c r="I1857" t="b">
        <v>0</v>
      </c>
      <c r="J1857">
        <f t="shared" si="56"/>
        <v>0</v>
      </c>
      <c r="K1857" t="str">
        <f t="shared" si="57"/>
        <v>Neutral</v>
      </c>
    </row>
    <row r="1858" spans="1:11" x14ac:dyDescent="0.2">
      <c r="A1858" t="s">
        <v>7098</v>
      </c>
      <c r="B1858" t="s">
        <v>7099</v>
      </c>
      <c r="C1858" t="s">
        <v>4158</v>
      </c>
      <c r="D1858" t="s">
        <v>3</v>
      </c>
      <c r="E1858" t="s">
        <v>4</v>
      </c>
      <c r="F1858">
        <v>6</v>
      </c>
      <c r="G1858">
        <v>6</v>
      </c>
      <c r="H1858" t="s">
        <v>13</v>
      </c>
      <c r="I1858" t="b">
        <v>0</v>
      </c>
      <c r="J1858">
        <f t="shared" si="56"/>
        <v>0</v>
      </c>
      <c r="K1858" t="str">
        <f t="shared" si="57"/>
        <v>Neutral</v>
      </c>
    </row>
    <row r="1859" spans="1:11" x14ac:dyDescent="0.2">
      <c r="A1859" t="s">
        <v>1758</v>
      </c>
      <c r="B1859" t="s">
        <v>1759</v>
      </c>
      <c r="C1859" t="s">
        <v>996</v>
      </c>
      <c r="D1859" t="s">
        <v>3</v>
      </c>
      <c r="E1859" t="s">
        <v>4</v>
      </c>
      <c r="F1859">
        <v>201</v>
      </c>
      <c r="G1859">
        <v>18</v>
      </c>
      <c r="H1859" t="s">
        <v>13</v>
      </c>
      <c r="I1859" t="b">
        <v>0</v>
      </c>
      <c r="J1859">
        <f t="shared" ref="J1859:J1922" si="58">sentimentCalc(B1859)</f>
        <v>0</v>
      </c>
      <c r="K1859" t="str">
        <f t="shared" ref="K1859:K1922" si="59">sentimentCategory(J1859)</f>
        <v>Neutral</v>
      </c>
    </row>
    <row r="1860" spans="1:11" x14ac:dyDescent="0.2">
      <c r="A1860" t="s">
        <v>4048</v>
      </c>
      <c r="B1860" t="s">
        <v>4049</v>
      </c>
      <c r="C1860" t="s">
        <v>4050</v>
      </c>
      <c r="D1860" t="s">
        <v>113</v>
      </c>
      <c r="E1860" t="s">
        <v>4</v>
      </c>
      <c r="F1860">
        <v>2053</v>
      </c>
      <c r="G1860">
        <v>407</v>
      </c>
      <c r="H1860" t="s">
        <v>13</v>
      </c>
      <c r="I1860" t="b">
        <v>0</v>
      </c>
      <c r="J1860">
        <f t="shared" si="58"/>
        <v>0</v>
      </c>
      <c r="K1860" t="str">
        <f t="shared" si="59"/>
        <v>Neutral</v>
      </c>
    </row>
    <row r="1861" spans="1:11" x14ac:dyDescent="0.2">
      <c r="A1861" t="s">
        <v>2518</v>
      </c>
      <c r="B1861" t="s">
        <v>2519</v>
      </c>
      <c r="C1861" t="s">
        <v>2520</v>
      </c>
      <c r="D1861" t="s">
        <v>3</v>
      </c>
      <c r="E1861" t="s">
        <v>4</v>
      </c>
      <c r="F1861">
        <v>15</v>
      </c>
      <c r="G1861">
        <v>53</v>
      </c>
      <c r="H1861" t="s">
        <v>13</v>
      </c>
      <c r="I1861" t="b">
        <v>0</v>
      </c>
      <c r="J1861">
        <f t="shared" si="58"/>
        <v>0</v>
      </c>
      <c r="K1861" t="str">
        <f t="shared" si="59"/>
        <v>Neutral</v>
      </c>
    </row>
    <row r="1862" spans="1:11" x14ac:dyDescent="0.2">
      <c r="A1862" t="s">
        <v>1407</v>
      </c>
      <c r="B1862" t="s">
        <v>1408</v>
      </c>
      <c r="C1862" t="s">
        <v>1409</v>
      </c>
      <c r="D1862" t="s">
        <v>1410</v>
      </c>
      <c r="E1862" t="s">
        <v>4</v>
      </c>
      <c r="F1862">
        <v>634</v>
      </c>
      <c r="G1862">
        <v>825</v>
      </c>
      <c r="H1862" t="s">
        <v>13</v>
      </c>
      <c r="I1862" t="b">
        <v>0</v>
      </c>
      <c r="J1862">
        <f t="shared" si="58"/>
        <v>0</v>
      </c>
      <c r="K1862" t="str">
        <f t="shared" si="59"/>
        <v>Neutral</v>
      </c>
    </row>
    <row r="1863" spans="1:11" x14ac:dyDescent="0.2">
      <c r="A1863" t="s">
        <v>2754</v>
      </c>
      <c r="B1863" t="s">
        <v>2755</v>
      </c>
      <c r="C1863" t="s">
        <v>2048</v>
      </c>
      <c r="D1863" t="s">
        <v>3</v>
      </c>
      <c r="E1863" t="s">
        <v>4</v>
      </c>
      <c r="F1863">
        <v>206</v>
      </c>
      <c r="G1863">
        <v>340</v>
      </c>
      <c r="H1863" t="s">
        <v>13</v>
      </c>
      <c r="I1863" t="b">
        <v>0</v>
      </c>
      <c r="J1863">
        <f t="shared" si="58"/>
        <v>0</v>
      </c>
      <c r="K1863" t="str">
        <f t="shared" si="59"/>
        <v>Neutral</v>
      </c>
    </row>
    <row r="1864" spans="1:11" x14ac:dyDescent="0.2">
      <c r="A1864" t="s">
        <v>7159</v>
      </c>
      <c r="B1864" t="s">
        <v>7160</v>
      </c>
      <c r="C1864" t="s">
        <v>6250</v>
      </c>
      <c r="D1864" t="s">
        <v>7161</v>
      </c>
      <c r="E1864" t="s">
        <v>4</v>
      </c>
      <c r="F1864">
        <v>298</v>
      </c>
      <c r="G1864">
        <v>153</v>
      </c>
      <c r="H1864" t="s">
        <v>13</v>
      </c>
      <c r="I1864" t="b">
        <v>0</v>
      </c>
      <c r="J1864">
        <f t="shared" si="58"/>
        <v>0</v>
      </c>
      <c r="K1864" t="str">
        <f t="shared" si="59"/>
        <v>Neutral</v>
      </c>
    </row>
    <row r="1865" spans="1:11" x14ac:dyDescent="0.2">
      <c r="A1865" t="s">
        <v>3312</v>
      </c>
      <c r="B1865" t="s">
        <v>3313</v>
      </c>
      <c r="C1865" t="s">
        <v>3314</v>
      </c>
      <c r="D1865" t="s">
        <v>3</v>
      </c>
      <c r="E1865" t="s">
        <v>4</v>
      </c>
      <c r="F1865">
        <v>5</v>
      </c>
      <c r="G1865">
        <v>7</v>
      </c>
      <c r="H1865" t="s">
        <v>13</v>
      </c>
      <c r="I1865" t="b">
        <v>0</v>
      </c>
      <c r="J1865">
        <f t="shared" si="58"/>
        <v>-20</v>
      </c>
      <c r="K1865" t="str">
        <f t="shared" si="59"/>
        <v>Negative</v>
      </c>
    </row>
    <row r="1866" spans="1:11" x14ac:dyDescent="0.2">
      <c r="A1866" t="s">
        <v>1301</v>
      </c>
      <c r="B1866" t="s">
        <v>1302</v>
      </c>
      <c r="C1866" t="s">
        <v>323</v>
      </c>
      <c r="D1866" t="s">
        <v>1045</v>
      </c>
      <c r="E1866" t="s">
        <v>4</v>
      </c>
      <c r="F1866">
        <v>2639</v>
      </c>
      <c r="G1866">
        <v>428</v>
      </c>
      <c r="H1866" t="s">
        <v>13</v>
      </c>
      <c r="I1866" t="b">
        <v>0</v>
      </c>
      <c r="J1866">
        <f t="shared" si="58"/>
        <v>0</v>
      </c>
      <c r="K1866" t="str">
        <f t="shared" si="59"/>
        <v>Neutral</v>
      </c>
    </row>
    <row r="1867" spans="1:11" x14ac:dyDescent="0.2">
      <c r="A1867" t="s">
        <v>5903</v>
      </c>
      <c r="B1867" t="s">
        <v>5904</v>
      </c>
      <c r="C1867" t="s">
        <v>5905</v>
      </c>
      <c r="D1867" t="s">
        <v>5906</v>
      </c>
      <c r="E1867" t="s">
        <v>4</v>
      </c>
      <c r="F1867">
        <v>294</v>
      </c>
      <c r="G1867">
        <v>294</v>
      </c>
      <c r="H1867" t="s">
        <v>13</v>
      </c>
      <c r="I1867" t="b">
        <v>0</v>
      </c>
      <c r="J1867">
        <f t="shared" si="58"/>
        <v>0</v>
      </c>
      <c r="K1867" t="str">
        <f t="shared" si="59"/>
        <v>Neutral</v>
      </c>
    </row>
    <row r="1868" spans="1:11" x14ac:dyDescent="0.2">
      <c r="A1868" t="s">
        <v>3155</v>
      </c>
      <c r="B1868" t="s">
        <v>3156</v>
      </c>
      <c r="C1868" t="s">
        <v>414</v>
      </c>
      <c r="D1868" t="s">
        <v>3157</v>
      </c>
      <c r="E1868" t="s">
        <v>4</v>
      </c>
      <c r="F1868">
        <v>153</v>
      </c>
      <c r="G1868">
        <v>529</v>
      </c>
      <c r="H1868" t="s">
        <v>13</v>
      </c>
      <c r="I1868" t="b">
        <v>0</v>
      </c>
      <c r="J1868">
        <f t="shared" si="58"/>
        <v>0</v>
      </c>
      <c r="K1868" t="str">
        <f t="shared" si="59"/>
        <v>Neutral</v>
      </c>
    </row>
    <row r="1869" spans="1:11" x14ac:dyDescent="0.2">
      <c r="A1869" t="s">
        <v>6159</v>
      </c>
      <c r="B1869" t="s">
        <v>6160</v>
      </c>
      <c r="C1869" t="s">
        <v>6161</v>
      </c>
      <c r="D1869" t="s">
        <v>6162</v>
      </c>
      <c r="E1869" t="s">
        <v>4</v>
      </c>
      <c r="F1869">
        <v>239</v>
      </c>
      <c r="G1869">
        <v>395</v>
      </c>
      <c r="H1869" t="s">
        <v>13</v>
      </c>
      <c r="I1869" t="b">
        <v>0</v>
      </c>
      <c r="J1869">
        <f t="shared" si="58"/>
        <v>0</v>
      </c>
      <c r="K1869" t="str">
        <f t="shared" si="59"/>
        <v>Neutral</v>
      </c>
    </row>
    <row r="1870" spans="1:11" x14ac:dyDescent="0.2">
      <c r="A1870" t="s">
        <v>6235</v>
      </c>
      <c r="B1870" t="s">
        <v>6236</v>
      </c>
      <c r="C1870" t="s">
        <v>6237</v>
      </c>
      <c r="D1870" t="s">
        <v>6238</v>
      </c>
      <c r="E1870" t="s">
        <v>4</v>
      </c>
      <c r="F1870">
        <v>903</v>
      </c>
      <c r="G1870">
        <v>291</v>
      </c>
      <c r="H1870" t="s">
        <v>13</v>
      </c>
      <c r="I1870" t="b">
        <v>0</v>
      </c>
      <c r="J1870">
        <f t="shared" si="58"/>
        <v>0</v>
      </c>
      <c r="K1870" t="str">
        <f t="shared" si="59"/>
        <v>Neutral</v>
      </c>
    </row>
    <row r="1871" spans="1:11" x14ac:dyDescent="0.2">
      <c r="A1871" t="s">
        <v>1782</v>
      </c>
      <c r="B1871" t="s">
        <v>1783</v>
      </c>
      <c r="C1871" t="s">
        <v>1784</v>
      </c>
      <c r="D1871" t="s">
        <v>1785</v>
      </c>
      <c r="E1871" t="s">
        <v>4</v>
      </c>
      <c r="F1871">
        <v>534</v>
      </c>
      <c r="G1871">
        <v>545</v>
      </c>
      <c r="H1871" t="s">
        <v>13</v>
      </c>
      <c r="I1871" t="b">
        <v>0</v>
      </c>
      <c r="J1871">
        <f t="shared" si="58"/>
        <v>0</v>
      </c>
      <c r="K1871" t="str">
        <f t="shared" si="59"/>
        <v>Neutral</v>
      </c>
    </row>
    <row r="1872" spans="1:11" x14ac:dyDescent="0.2">
      <c r="A1872" t="s">
        <v>3629</v>
      </c>
      <c r="B1872" t="s">
        <v>3630</v>
      </c>
      <c r="C1872" t="s">
        <v>558</v>
      </c>
      <c r="D1872" t="s">
        <v>3</v>
      </c>
      <c r="E1872" t="s">
        <v>4</v>
      </c>
      <c r="F1872">
        <v>226</v>
      </c>
      <c r="G1872">
        <v>70</v>
      </c>
      <c r="H1872" t="s">
        <v>13</v>
      </c>
      <c r="I1872" t="b">
        <v>0</v>
      </c>
      <c r="J1872">
        <f t="shared" si="58"/>
        <v>0</v>
      </c>
      <c r="K1872" t="str">
        <f t="shared" si="59"/>
        <v>Neutral</v>
      </c>
    </row>
    <row r="1873" spans="1:11" x14ac:dyDescent="0.2">
      <c r="A1873" t="s">
        <v>5135</v>
      </c>
      <c r="B1873" t="s">
        <v>5136</v>
      </c>
      <c r="C1873" t="s">
        <v>3890</v>
      </c>
      <c r="D1873" t="s">
        <v>3</v>
      </c>
      <c r="E1873" t="s">
        <v>4</v>
      </c>
      <c r="F1873">
        <v>102</v>
      </c>
      <c r="G1873">
        <v>136</v>
      </c>
      <c r="H1873" t="s">
        <v>13</v>
      </c>
      <c r="I1873" t="b">
        <v>0</v>
      </c>
      <c r="J1873">
        <f t="shared" si="58"/>
        <v>0</v>
      </c>
      <c r="K1873" t="str">
        <f t="shared" si="59"/>
        <v>Neutral</v>
      </c>
    </row>
    <row r="1874" spans="1:11" x14ac:dyDescent="0.2">
      <c r="A1874" t="s">
        <v>5656</v>
      </c>
      <c r="B1874" t="s">
        <v>5657</v>
      </c>
      <c r="C1874" t="s">
        <v>1230</v>
      </c>
      <c r="D1874" t="s">
        <v>1231</v>
      </c>
      <c r="E1874" t="s">
        <v>4</v>
      </c>
      <c r="F1874">
        <v>427</v>
      </c>
      <c r="G1874">
        <v>768</v>
      </c>
      <c r="H1874" t="s">
        <v>13</v>
      </c>
      <c r="I1874" t="b">
        <v>0</v>
      </c>
      <c r="J1874">
        <f t="shared" si="58"/>
        <v>0</v>
      </c>
      <c r="K1874" t="str">
        <f t="shared" si="59"/>
        <v>Neutral</v>
      </c>
    </row>
    <row r="1875" spans="1:11" x14ac:dyDescent="0.2">
      <c r="A1875" t="s">
        <v>6300</v>
      </c>
      <c r="B1875" t="s">
        <v>6301</v>
      </c>
      <c r="C1875" t="s">
        <v>459</v>
      </c>
      <c r="D1875" t="s">
        <v>6302</v>
      </c>
      <c r="E1875" t="s">
        <v>4</v>
      </c>
      <c r="F1875">
        <v>110</v>
      </c>
      <c r="G1875">
        <v>74</v>
      </c>
      <c r="H1875" t="s">
        <v>13</v>
      </c>
      <c r="I1875" t="b">
        <v>0</v>
      </c>
      <c r="J1875">
        <f t="shared" si="58"/>
        <v>0</v>
      </c>
      <c r="K1875" t="str">
        <f t="shared" si="59"/>
        <v>Neutral</v>
      </c>
    </row>
    <row r="1876" spans="1:11" x14ac:dyDescent="0.2">
      <c r="A1876" t="s">
        <v>2759</v>
      </c>
      <c r="B1876" t="s">
        <v>2760</v>
      </c>
      <c r="C1876" t="s">
        <v>2761</v>
      </c>
      <c r="D1876" t="s">
        <v>3</v>
      </c>
      <c r="E1876" t="s">
        <v>4</v>
      </c>
      <c r="F1876">
        <v>21</v>
      </c>
      <c r="G1876">
        <v>106</v>
      </c>
      <c r="H1876" t="s">
        <v>13</v>
      </c>
      <c r="I1876" t="b">
        <v>0</v>
      </c>
      <c r="J1876">
        <f t="shared" si="58"/>
        <v>0</v>
      </c>
      <c r="K1876" t="str">
        <f t="shared" si="59"/>
        <v>Neutral</v>
      </c>
    </row>
    <row r="1877" spans="1:11" x14ac:dyDescent="0.2">
      <c r="A1877" t="s">
        <v>745</v>
      </c>
      <c r="B1877" t="s">
        <v>746</v>
      </c>
      <c r="C1877" t="s">
        <v>289</v>
      </c>
      <c r="D1877" t="s">
        <v>101</v>
      </c>
      <c r="E1877" t="s">
        <v>4</v>
      </c>
      <c r="F1877">
        <v>230</v>
      </c>
      <c r="G1877">
        <v>172</v>
      </c>
      <c r="H1877" t="s">
        <v>13</v>
      </c>
      <c r="I1877" t="b">
        <v>0</v>
      </c>
      <c r="J1877">
        <f t="shared" si="58"/>
        <v>0</v>
      </c>
      <c r="K1877" t="str">
        <f t="shared" si="59"/>
        <v>Neutral</v>
      </c>
    </row>
    <row r="1878" spans="1:11" x14ac:dyDescent="0.2">
      <c r="A1878" t="s">
        <v>485</v>
      </c>
      <c r="B1878" t="s">
        <v>486</v>
      </c>
      <c r="C1878" t="s">
        <v>487</v>
      </c>
      <c r="D1878" t="s">
        <v>488</v>
      </c>
      <c r="E1878" t="s">
        <v>4</v>
      </c>
      <c r="F1878">
        <v>1899</v>
      </c>
      <c r="G1878">
        <v>540</v>
      </c>
      <c r="H1878" t="s">
        <v>13</v>
      </c>
      <c r="I1878" t="b">
        <v>0</v>
      </c>
      <c r="J1878">
        <f t="shared" si="58"/>
        <v>0</v>
      </c>
      <c r="K1878" t="str">
        <f t="shared" si="59"/>
        <v>Neutral</v>
      </c>
    </row>
    <row r="1879" spans="1:11" x14ac:dyDescent="0.2">
      <c r="A1879" t="s">
        <v>6486</v>
      </c>
      <c r="B1879" t="s">
        <v>6487</v>
      </c>
      <c r="C1879" t="s">
        <v>197</v>
      </c>
      <c r="D1879" t="s">
        <v>1292</v>
      </c>
      <c r="E1879" t="s">
        <v>4</v>
      </c>
      <c r="F1879">
        <v>2590</v>
      </c>
      <c r="G1879">
        <v>1707</v>
      </c>
      <c r="H1879" t="s">
        <v>13</v>
      </c>
      <c r="I1879" t="b">
        <v>0</v>
      </c>
      <c r="J1879">
        <f t="shared" si="58"/>
        <v>0</v>
      </c>
      <c r="K1879" t="str">
        <f t="shared" si="59"/>
        <v>Neutral</v>
      </c>
    </row>
    <row r="1880" spans="1:11" x14ac:dyDescent="0.2">
      <c r="A1880" t="s">
        <v>4469</v>
      </c>
      <c r="B1880" t="s">
        <v>4470</v>
      </c>
      <c r="C1880" t="s">
        <v>165</v>
      </c>
      <c r="D1880" t="s">
        <v>166</v>
      </c>
      <c r="E1880" t="s">
        <v>4</v>
      </c>
      <c r="F1880">
        <v>972</v>
      </c>
      <c r="G1880">
        <v>180</v>
      </c>
      <c r="H1880" t="s">
        <v>13</v>
      </c>
      <c r="I1880" t="b">
        <v>0</v>
      </c>
      <c r="J1880">
        <f t="shared" si="58"/>
        <v>0</v>
      </c>
      <c r="K1880" t="str">
        <f t="shared" si="59"/>
        <v>Neutral</v>
      </c>
    </row>
    <row r="1881" spans="1:11" x14ac:dyDescent="0.2">
      <c r="A1881" t="s">
        <v>3943</v>
      </c>
      <c r="B1881" t="s">
        <v>3944</v>
      </c>
      <c r="C1881" t="s">
        <v>2298</v>
      </c>
      <c r="D1881" t="s">
        <v>2280</v>
      </c>
      <c r="E1881" t="s">
        <v>4</v>
      </c>
      <c r="F1881">
        <v>130</v>
      </c>
      <c r="G1881">
        <v>300</v>
      </c>
      <c r="H1881" t="s">
        <v>13</v>
      </c>
      <c r="I1881" t="b">
        <v>0</v>
      </c>
      <c r="J1881">
        <f t="shared" si="58"/>
        <v>0</v>
      </c>
      <c r="K1881" t="str">
        <f t="shared" si="59"/>
        <v>Neutral</v>
      </c>
    </row>
    <row r="1882" spans="1:11" x14ac:dyDescent="0.2">
      <c r="A1882" t="s">
        <v>239</v>
      </c>
      <c r="B1882" t="s">
        <v>240</v>
      </c>
      <c r="C1882" t="s">
        <v>241</v>
      </c>
      <c r="D1882" t="s">
        <v>242</v>
      </c>
      <c r="E1882" t="s">
        <v>4</v>
      </c>
      <c r="F1882">
        <v>49</v>
      </c>
      <c r="G1882">
        <v>0</v>
      </c>
      <c r="H1882" t="s">
        <v>13</v>
      </c>
      <c r="I1882" t="b">
        <v>0</v>
      </c>
      <c r="J1882">
        <f t="shared" si="58"/>
        <v>0</v>
      </c>
      <c r="K1882" t="str">
        <f t="shared" si="59"/>
        <v>Neutral</v>
      </c>
    </row>
    <row r="1883" spans="1:11" x14ac:dyDescent="0.2">
      <c r="A1883" t="s">
        <v>5318</v>
      </c>
      <c r="B1883" t="s">
        <v>5319</v>
      </c>
      <c r="C1883" t="s">
        <v>5320</v>
      </c>
      <c r="D1883" t="s">
        <v>5321</v>
      </c>
      <c r="E1883" t="s">
        <v>4</v>
      </c>
      <c r="F1883">
        <v>312</v>
      </c>
      <c r="G1883">
        <v>86</v>
      </c>
      <c r="H1883" t="s">
        <v>13</v>
      </c>
      <c r="I1883" t="b">
        <v>0</v>
      </c>
      <c r="J1883">
        <f t="shared" si="58"/>
        <v>-20</v>
      </c>
      <c r="K1883" t="str">
        <f t="shared" si="59"/>
        <v>Negative</v>
      </c>
    </row>
    <row r="1884" spans="1:11" x14ac:dyDescent="0.2">
      <c r="A1884" t="s">
        <v>5422</v>
      </c>
      <c r="B1884" t="s">
        <v>5423</v>
      </c>
      <c r="C1884" t="s">
        <v>3184</v>
      </c>
      <c r="D1884" t="s">
        <v>3</v>
      </c>
      <c r="E1884" t="s">
        <v>4</v>
      </c>
      <c r="F1884">
        <v>200</v>
      </c>
      <c r="G1884">
        <v>906</v>
      </c>
      <c r="H1884" t="s">
        <v>374</v>
      </c>
      <c r="I1884" t="b">
        <v>0</v>
      </c>
      <c r="J1884">
        <f t="shared" si="58"/>
        <v>0</v>
      </c>
      <c r="K1884" t="str">
        <f t="shared" si="59"/>
        <v>Neutral</v>
      </c>
    </row>
    <row r="1885" spans="1:11" x14ac:dyDescent="0.2">
      <c r="A1885" t="s">
        <v>669</v>
      </c>
      <c r="B1885" t="s">
        <v>670</v>
      </c>
      <c r="C1885" t="s">
        <v>439</v>
      </c>
      <c r="D1885" t="s">
        <v>3</v>
      </c>
      <c r="E1885" t="s">
        <v>4</v>
      </c>
      <c r="F1885">
        <v>11311</v>
      </c>
      <c r="G1885">
        <v>11675</v>
      </c>
      <c r="H1885" t="s">
        <v>13</v>
      </c>
      <c r="I1885" t="b">
        <v>0</v>
      </c>
      <c r="J1885">
        <f t="shared" si="58"/>
        <v>0</v>
      </c>
      <c r="K1885" t="str">
        <f t="shared" si="59"/>
        <v>Neutral</v>
      </c>
    </row>
    <row r="1886" spans="1:11" x14ac:dyDescent="0.2">
      <c r="A1886" t="s">
        <v>6218</v>
      </c>
      <c r="B1886" t="s">
        <v>6219</v>
      </c>
      <c r="C1886" t="s">
        <v>480</v>
      </c>
      <c r="D1886" t="s">
        <v>6220</v>
      </c>
      <c r="E1886" t="s">
        <v>4</v>
      </c>
      <c r="F1886">
        <v>100</v>
      </c>
      <c r="G1886">
        <v>71</v>
      </c>
      <c r="H1886" t="s">
        <v>13</v>
      </c>
      <c r="I1886" t="b">
        <v>0</v>
      </c>
      <c r="J1886">
        <f t="shared" si="58"/>
        <v>10</v>
      </c>
      <c r="K1886" t="str">
        <f t="shared" si="59"/>
        <v>Positive</v>
      </c>
    </row>
    <row r="1887" spans="1:11" x14ac:dyDescent="0.2">
      <c r="A1887" t="s">
        <v>5679</v>
      </c>
      <c r="B1887" t="s">
        <v>5680</v>
      </c>
      <c r="C1887" t="s">
        <v>588</v>
      </c>
      <c r="D1887" t="s">
        <v>5681</v>
      </c>
      <c r="E1887" t="s">
        <v>4</v>
      </c>
      <c r="F1887">
        <v>260</v>
      </c>
      <c r="G1887">
        <v>1918</v>
      </c>
      <c r="H1887" t="s">
        <v>13</v>
      </c>
      <c r="I1887" t="b">
        <v>0</v>
      </c>
      <c r="J1887">
        <f t="shared" si="58"/>
        <v>0</v>
      </c>
      <c r="K1887" t="str">
        <f t="shared" si="59"/>
        <v>Neutral</v>
      </c>
    </row>
    <row r="1888" spans="1:11" x14ac:dyDescent="0.2">
      <c r="A1888" t="s">
        <v>5759</v>
      </c>
      <c r="B1888" t="s">
        <v>5760</v>
      </c>
      <c r="C1888" t="s">
        <v>530</v>
      </c>
      <c r="D1888" t="s">
        <v>3</v>
      </c>
      <c r="E1888" t="s">
        <v>4</v>
      </c>
      <c r="F1888">
        <v>1732</v>
      </c>
      <c r="G1888">
        <v>2046</v>
      </c>
      <c r="H1888" t="s">
        <v>5</v>
      </c>
      <c r="I1888" t="b">
        <v>0</v>
      </c>
      <c r="J1888">
        <f t="shared" si="58"/>
        <v>0</v>
      </c>
      <c r="K1888" t="str">
        <f t="shared" si="59"/>
        <v>Neutral</v>
      </c>
    </row>
    <row r="1889" spans="1:11" x14ac:dyDescent="0.2">
      <c r="A1889" t="s">
        <v>1411</v>
      </c>
      <c r="B1889" t="s">
        <v>1412</v>
      </c>
      <c r="C1889" t="s">
        <v>1413</v>
      </c>
      <c r="D1889" t="s">
        <v>3</v>
      </c>
      <c r="E1889" t="s">
        <v>4</v>
      </c>
      <c r="F1889">
        <v>357</v>
      </c>
      <c r="G1889">
        <v>104</v>
      </c>
      <c r="H1889" t="s">
        <v>13</v>
      </c>
      <c r="I1889" t="b">
        <v>0</v>
      </c>
      <c r="J1889">
        <f t="shared" si="58"/>
        <v>0</v>
      </c>
      <c r="K1889" t="str">
        <f t="shared" si="59"/>
        <v>Neutral</v>
      </c>
    </row>
    <row r="1890" spans="1:11" x14ac:dyDescent="0.2">
      <c r="A1890" t="s">
        <v>6430</v>
      </c>
      <c r="B1890" t="s">
        <v>6431</v>
      </c>
      <c r="C1890" t="s">
        <v>1193</v>
      </c>
      <c r="D1890" t="s">
        <v>1194</v>
      </c>
      <c r="E1890" t="s">
        <v>4</v>
      </c>
      <c r="F1890">
        <v>7991</v>
      </c>
      <c r="G1890">
        <v>410</v>
      </c>
      <c r="H1890" t="s">
        <v>13</v>
      </c>
      <c r="I1890" t="b">
        <v>0</v>
      </c>
      <c r="J1890">
        <f t="shared" si="58"/>
        <v>0</v>
      </c>
      <c r="K1890" t="str">
        <f t="shared" si="59"/>
        <v>Neutral</v>
      </c>
    </row>
    <row r="1891" spans="1:11" x14ac:dyDescent="0.2">
      <c r="A1891" t="s">
        <v>4582</v>
      </c>
      <c r="B1891" t="s">
        <v>4583</v>
      </c>
      <c r="C1891" t="s">
        <v>4584</v>
      </c>
      <c r="D1891" t="s">
        <v>4585</v>
      </c>
      <c r="E1891" t="s">
        <v>4</v>
      </c>
      <c r="F1891">
        <v>13</v>
      </c>
      <c r="G1891">
        <v>18</v>
      </c>
      <c r="H1891" t="s">
        <v>13</v>
      </c>
      <c r="I1891" t="b">
        <v>0</v>
      </c>
      <c r="J1891">
        <f t="shared" si="58"/>
        <v>0</v>
      </c>
      <c r="K1891" t="str">
        <f t="shared" si="59"/>
        <v>Neutral</v>
      </c>
    </row>
    <row r="1892" spans="1:11" x14ac:dyDescent="0.2">
      <c r="A1892" t="s">
        <v>6804</v>
      </c>
      <c r="B1892" t="s">
        <v>6805</v>
      </c>
      <c r="C1892" t="s">
        <v>279</v>
      </c>
      <c r="D1892" t="s">
        <v>569</v>
      </c>
      <c r="E1892" t="s">
        <v>4</v>
      </c>
      <c r="F1892">
        <v>299</v>
      </c>
      <c r="G1892">
        <v>310</v>
      </c>
      <c r="H1892" t="s">
        <v>13</v>
      </c>
      <c r="I1892" t="b">
        <v>0</v>
      </c>
      <c r="J1892">
        <f t="shared" si="58"/>
        <v>0</v>
      </c>
      <c r="K1892" t="str">
        <f t="shared" si="59"/>
        <v>Neutral</v>
      </c>
    </row>
    <row r="1893" spans="1:11" x14ac:dyDescent="0.2">
      <c r="A1893" t="s">
        <v>1880</v>
      </c>
      <c r="B1893" t="s">
        <v>1881</v>
      </c>
      <c r="C1893" t="s">
        <v>1784</v>
      </c>
      <c r="D1893" t="s">
        <v>1785</v>
      </c>
      <c r="E1893" t="s">
        <v>4</v>
      </c>
      <c r="F1893">
        <v>536</v>
      </c>
      <c r="G1893">
        <v>546</v>
      </c>
      <c r="H1893" t="s">
        <v>13</v>
      </c>
      <c r="I1893" t="b">
        <v>0</v>
      </c>
      <c r="J1893">
        <f t="shared" si="58"/>
        <v>0</v>
      </c>
      <c r="K1893" t="str">
        <f t="shared" si="59"/>
        <v>Neutral</v>
      </c>
    </row>
    <row r="1894" spans="1:11" x14ac:dyDescent="0.2">
      <c r="A1894" t="s">
        <v>3038</v>
      </c>
      <c r="B1894" t="s">
        <v>3039</v>
      </c>
      <c r="C1894" t="s">
        <v>773</v>
      </c>
      <c r="D1894" t="s">
        <v>3</v>
      </c>
      <c r="E1894" t="s">
        <v>4</v>
      </c>
      <c r="F1894">
        <v>183</v>
      </c>
      <c r="G1894">
        <v>127</v>
      </c>
      <c r="H1894" t="s">
        <v>86</v>
      </c>
      <c r="I1894" t="b">
        <v>0</v>
      </c>
      <c r="J1894">
        <f t="shared" si="58"/>
        <v>-10</v>
      </c>
      <c r="K1894" t="str">
        <f t="shared" si="59"/>
        <v>Negative</v>
      </c>
    </row>
    <row r="1895" spans="1:11" x14ac:dyDescent="0.2">
      <c r="A1895" t="s">
        <v>6754</v>
      </c>
      <c r="B1895" t="s">
        <v>6755</v>
      </c>
      <c r="C1895" t="s">
        <v>6071</v>
      </c>
      <c r="D1895" t="s">
        <v>3</v>
      </c>
      <c r="E1895" t="s">
        <v>4</v>
      </c>
      <c r="F1895">
        <v>1361</v>
      </c>
      <c r="G1895">
        <v>1748</v>
      </c>
      <c r="H1895" t="s">
        <v>13</v>
      </c>
      <c r="I1895" t="b">
        <v>0</v>
      </c>
      <c r="J1895">
        <f t="shared" si="58"/>
        <v>0</v>
      </c>
      <c r="K1895" t="str">
        <f t="shared" si="59"/>
        <v>Neutral</v>
      </c>
    </row>
    <row r="1896" spans="1:11" x14ac:dyDescent="0.2">
      <c r="A1896" t="s">
        <v>4046</v>
      </c>
      <c r="B1896" t="s">
        <v>4047</v>
      </c>
      <c r="C1896" t="s">
        <v>2611</v>
      </c>
      <c r="D1896" t="s">
        <v>3</v>
      </c>
      <c r="E1896" t="s">
        <v>4</v>
      </c>
      <c r="F1896">
        <v>9705</v>
      </c>
      <c r="G1896">
        <v>45</v>
      </c>
      <c r="H1896" t="s">
        <v>13</v>
      </c>
      <c r="I1896" t="b">
        <v>0</v>
      </c>
      <c r="J1896">
        <f t="shared" si="58"/>
        <v>0</v>
      </c>
      <c r="K1896" t="str">
        <f t="shared" si="59"/>
        <v>Neutral</v>
      </c>
    </row>
    <row r="1897" spans="1:11" x14ac:dyDescent="0.2">
      <c r="A1897" t="s">
        <v>1028</v>
      </c>
      <c r="B1897" t="s">
        <v>1029</v>
      </c>
      <c r="C1897" t="s">
        <v>1030</v>
      </c>
      <c r="D1897" t="s">
        <v>928</v>
      </c>
      <c r="E1897" t="s">
        <v>4</v>
      </c>
      <c r="F1897">
        <v>216</v>
      </c>
      <c r="G1897">
        <v>247</v>
      </c>
      <c r="H1897" t="s">
        <v>86</v>
      </c>
      <c r="I1897" t="b">
        <v>0</v>
      </c>
      <c r="J1897">
        <f t="shared" si="58"/>
        <v>0</v>
      </c>
      <c r="K1897" t="str">
        <f t="shared" si="59"/>
        <v>Neutral</v>
      </c>
    </row>
    <row r="1898" spans="1:11" x14ac:dyDescent="0.2">
      <c r="A1898" t="s">
        <v>5253</v>
      </c>
      <c r="B1898" t="s">
        <v>5254</v>
      </c>
      <c r="C1898" t="s">
        <v>230</v>
      </c>
      <c r="D1898" t="s">
        <v>5230</v>
      </c>
      <c r="E1898" t="s">
        <v>4</v>
      </c>
      <c r="F1898">
        <v>163</v>
      </c>
      <c r="G1898">
        <v>382</v>
      </c>
      <c r="H1898" t="s">
        <v>13</v>
      </c>
      <c r="I1898" t="b">
        <v>0</v>
      </c>
      <c r="J1898">
        <f t="shared" si="58"/>
        <v>10</v>
      </c>
      <c r="K1898" t="str">
        <f t="shared" si="59"/>
        <v>Positive</v>
      </c>
    </row>
    <row r="1899" spans="1:11" x14ac:dyDescent="0.2">
      <c r="A1899" t="s">
        <v>3653</v>
      </c>
      <c r="B1899" t="s">
        <v>3654</v>
      </c>
      <c r="C1899" t="s">
        <v>12</v>
      </c>
      <c r="D1899" t="s">
        <v>3655</v>
      </c>
      <c r="E1899" t="s">
        <v>4</v>
      </c>
      <c r="F1899">
        <v>138</v>
      </c>
      <c r="G1899">
        <v>98</v>
      </c>
      <c r="H1899" t="s">
        <v>13</v>
      </c>
      <c r="I1899" t="b">
        <v>0</v>
      </c>
      <c r="J1899">
        <f t="shared" si="58"/>
        <v>0</v>
      </c>
      <c r="K1899" t="str">
        <f t="shared" si="59"/>
        <v>Neutral</v>
      </c>
    </row>
    <row r="1900" spans="1:11" x14ac:dyDescent="0.2">
      <c r="A1900" t="s">
        <v>596</v>
      </c>
      <c r="B1900" t="s">
        <v>597</v>
      </c>
      <c r="C1900" t="s">
        <v>598</v>
      </c>
      <c r="D1900" t="s">
        <v>599</v>
      </c>
      <c r="E1900" t="s">
        <v>4</v>
      </c>
      <c r="F1900">
        <v>64</v>
      </c>
      <c r="G1900">
        <v>140</v>
      </c>
      <c r="H1900" t="s">
        <v>13</v>
      </c>
      <c r="I1900" t="b">
        <v>0</v>
      </c>
      <c r="J1900">
        <f t="shared" si="58"/>
        <v>10</v>
      </c>
      <c r="K1900" t="str">
        <f t="shared" si="59"/>
        <v>Positive</v>
      </c>
    </row>
    <row r="1901" spans="1:11" x14ac:dyDescent="0.2">
      <c r="A1901" t="s">
        <v>5193</v>
      </c>
      <c r="B1901" t="s">
        <v>5194</v>
      </c>
      <c r="C1901" t="s">
        <v>2173</v>
      </c>
      <c r="D1901" t="s">
        <v>2174</v>
      </c>
      <c r="E1901" t="s">
        <v>4</v>
      </c>
      <c r="F1901">
        <v>62177</v>
      </c>
      <c r="G1901">
        <v>346</v>
      </c>
      <c r="H1901" t="s">
        <v>86</v>
      </c>
      <c r="I1901" t="b">
        <v>0</v>
      </c>
      <c r="J1901">
        <f t="shared" si="58"/>
        <v>0</v>
      </c>
      <c r="K1901" t="str">
        <f t="shared" si="59"/>
        <v>Neutral</v>
      </c>
    </row>
    <row r="1902" spans="1:11" x14ac:dyDescent="0.2">
      <c r="A1902" t="s">
        <v>4316</v>
      </c>
      <c r="B1902" t="s">
        <v>4317</v>
      </c>
      <c r="C1902" t="s">
        <v>345</v>
      </c>
      <c r="D1902" t="s">
        <v>3</v>
      </c>
      <c r="E1902" t="s">
        <v>4</v>
      </c>
      <c r="F1902">
        <v>201</v>
      </c>
      <c r="G1902">
        <v>188</v>
      </c>
      <c r="H1902" t="s">
        <v>13</v>
      </c>
      <c r="I1902" t="b">
        <v>0</v>
      </c>
      <c r="J1902">
        <f t="shared" si="58"/>
        <v>0</v>
      </c>
      <c r="K1902" t="str">
        <f t="shared" si="59"/>
        <v>Neutral</v>
      </c>
    </row>
    <row r="1903" spans="1:11" x14ac:dyDescent="0.2">
      <c r="A1903" t="s">
        <v>169</v>
      </c>
      <c r="B1903" t="s">
        <v>170</v>
      </c>
      <c r="C1903" t="s">
        <v>171</v>
      </c>
      <c r="D1903" t="s">
        <v>172</v>
      </c>
      <c r="E1903" t="s">
        <v>4</v>
      </c>
      <c r="F1903">
        <v>160</v>
      </c>
      <c r="G1903">
        <v>288</v>
      </c>
      <c r="H1903" t="s">
        <v>13</v>
      </c>
      <c r="I1903" t="b">
        <v>0</v>
      </c>
      <c r="J1903">
        <f t="shared" si="58"/>
        <v>-30</v>
      </c>
      <c r="K1903" t="str">
        <f t="shared" si="59"/>
        <v>Negative</v>
      </c>
    </row>
    <row r="1904" spans="1:11" x14ac:dyDescent="0.2">
      <c r="A1904" t="s">
        <v>5847</v>
      </c>
      <c r="B1904" t="s">
        <v>5848</v>
      </c>
      <c r="C1904" t="s">
        <v>4086</v>
      </c>
      <c r="D1904" t="s">
        <v>3</v>
      </c>
      <c r="E1904" t="s">
        <v>4</v>
      </c>
      <c r="F1904">
        <v>30</v>
      </c>
      <c r="G1904">
        <v>71</v>
      </c>
      <c r="H1904" t="s">
        <v>13</v>
      </c>
      <c r="I1904" t="b">
        <v>0</v>
      </c>
      <c r="J1904">
        <f t="shared" si="58"/>
        <v>10</v>
      </c>
      <c r="K1904" t="str">
        <f t="shared" si="59"/>
        <v>Positive</v>
      </c>
    </row>
    <row r="1905" spans="1:11" x14ac:dyDescent="0.2">
      <c r="A1905" t="s">
        <v>1293</v>
      </c>
      <c r="B1905" t="s">
        <v>1294</v>
      </c>
      <c r="C1905" t="s">
        <v>520</v>
      </c>
      <c r="D1905" t="s">
        <v>3</v>
      </c>
      <c r="E1905" t="s">
        <v>4</v>
      </c>
      <c r="F1905">
        <v>47</v>
      </c>
      <c r="G1905">
        <v>10</v>
      </c>
      <c r="H1905" t="s">
        <v>33</v>
      </c>
      <c r="I1905" t="b">
        <v>0</v>
      </c>
      <c r="J1905">
        <f t="shared" si="58"/>
        <v>0</v>
      </c>
      <c r="K1905" t="str">
        <f t="shared" si="59"/>
        <v>Neutral</v>
      </c>
    </row>
    <row r="1906" spans="1:11" x14ac:dyDescent="0.2">
      <c r="A1906" t="s">
        <v>6486</v>
      </c>
      <c r="B1906" t="s">
        <v>6488</v>
      </c>
      <c r="C1906" t="s">
        <v>4320</v>
      </c>
      <c r="D1906" t="s">
        <v>3</v>
      </c>
      <c r="E1906" t="s">
        <v>4</v>
      </c>
      <c r="F1906">
        <v>12</v>
      </c>
      <c r="G1906">
        <v>5</v>
      </c>
      <c r="H1906" t="s">
        <v>33</v>
      </c>
      <c r="I1906" t="b">
        <v>0</v>
      </c>
      <c r="J1906">
        <f t="shared" si="58"/>
        <v>0</v>
      </c>
      <c r="K1906" t="str">
        <f t="shared" si="59"/>
        <v>Neutral</v>
      </c>
    </row>
    <row r="1907" spans="1:11" x14ac:dyDescent="0.2">
      <c r="A1907" t="s">
        <v>1007</v>
      </c>
      <c r="B1907" t="s">
        <v>1008</v>
      </c>
      <c r="C1907" t="s">
        <v>1009</v>
      </c>
      <c r="D1907" t="s">
        <v>3</v>
      </c>
      <c r="E1907" t="s">
        <v>4</v>
      </c>
      <c r="F1907">
        <v>169</v>
      </c>
      <c r="G1907">
        <v>519</v>
      </c>
      <c r="H1907" t="s">
        <v>13</v>
      </c>
      <c r="I1907" t="b">
        <v>0</v>
      </c>
      <c r="J1907">
        <f t="shared" si="58"/>
        <v>0</v>
      </c>
      <c r="K1907" t="str">
        <f t="shared" si="59"/>
        <v>Neutral</v>
      </c>
    </row>
    <row r="1908" spans="1:11" x14ac:dyDescent="0.2">
      <c r="A1908" t="s">
        <v>6397</v>
      </c>
      <c r="B1908" t="s">
        <v>6398</v>
      </c>
      <c r="C1908" t="s">
        <v>2243</v>
      </c>
      <c r="D1908" t="s">
        <v>6399</v>
      </c>
      <c r="E1908" t="s">
        <v>4</v>
      </c>
      <c r="F1908">
        <v>3239</v>
      </c>
      <c r="G1908">
        <v>1965</v>
      </c>
      <c r="H1908" t="s">
        <v>13</v>
      </c>
      <c r="I1908" t="b">
        <v>0</v>
      </c>
      <c r="J1908">
        <f t="shared" si="58"/>
        <v>0</v>
      </c>
      <c r="K1908" t="str">
        <f t="shared" si="59"/>
        <v>Neutral</v>
      </c>
    </row>
    <row r="1909" spans="1:11" x14ac:dyDescent="0.2">
      <c r="A1909" t="s">
        <v>4346</v>
      </c>
      <c r="B1909" t="s">
        <v>4347</v>
      </c>
      <c r="C1909" t="s">
        <v>3421</v>
      </c>
      <c r="D1909" t="s">
        <v>705</v>
      </c>
      <c r="E1909" t="s">
        <v>4</v>
      </c>
      <c r="F1909">
        <v>510</v>
      </c>
      <c r="G1909">
        <v>313</v>
      </c>
      <c r="H1909" t="s">
        <v>13</v>
      </c>
      <c r="I1909" t="b">
        <v>0</v>
      </c>
      <c r="J1909">
        <f t="shared" si="58"/>
        <v>0</v>
      </c>
      <c r="K1909" t="str">
        <f t="shared" si="59"/>
        <v>Neutral</v>
      </c>
    </row>
    <row r="1910" spans="1:11" x14ac:dyDescent="0.2">
      <c r="A1910" t="s">
        <v>2224</v>
      </c>
      <c r="B1910" t="s">
        <v>2225</v>
      </c>
      <c r="C1910" t="s">
        <v>1162</v>
      </c>
      <c r="D1910" t="s">
        <v>3</v>
      </c>
      <c r="E1910" t="s">
        <v>4</v>
      </c>
      <c r="F1910">
        <v>622</v>
      </c>
      <c r="G1910">
        <v>621</v>
      </c>
      <c r="H1910" t="s">
        <v>13</v>
      </c>
      <c r="I1910" t="b">
        <v>0</v>
      </c>
      <c r="J1910">
        <f t="shared" si="58"/>
        <v>0</v>
      </c>
      <c r="K1910" t="str">
        <f t="shared" si="59"/>
        <v>Neutral</v>
      </c>
    </row>
    <row r="1911" spans="1:11" x14ac:dyDescent="0.2">
      <c r="A1911" t="s">
        <v>5756</v>
      </c>
      <c r="B1911" t="s">
        <v>5757</v>
      </c>
      <c r="C1911" t="s">
        <v>1709</v>
      </c>
      <c r="D1911" t="s">
        <v>5758</v>
      </c>
      <c r="E1911" t="s">
        <v>4</v>
      </c>
      <c r="F1911">
        <v>8300</v>
      </c>
      <c r="G1911">
        <v>126</v>
      </c>
      <c r="H1911" t="s">
        <v>13</v>
      </c>
      <c r="I1911" t="b">
        <v>0</v>
      </c>
      <c r="J1911">
        <f t="shared" si="58"/>
        <v>20</v>
      </c>
      <c r="K1911" t="str">
        <f t="shared" si="59"/>
        <v>Positive</v>
      </c>
    </row>
    <row r="1912" spans="1:11" x14ac:dyDescent="0.2">
      <c r="A1912" t="s">
        <v>5218</v>
      </c>
      <c r="B1912" t="s">
        <v>5219</v>
      </c>
      <c r="C1912" t="s">
        <v>5220</v>
      </c>
      <c r="D1912" t="s">
        <v>5221</v>
      </c>
      <c r="E1912" t="s">
        <v>4</v>
      </c>
      <c r="F1912">
        <v>1502</v>
      </c>
      <c r="G1912">
        <v>2578</v>
      </c>
      <c r="H1912" t="s">
        <v>13</v>
      </c>
      <c r="I1912" t="b">
        <v>0</v>
      </c>
      <c r="J1912">
        <f t="shared" si="58"/>
        <v>0</v>
      </c>
      <c r="K1912" t="str">
        <f t="shared" si="59"/>
        <v>Neutral</v>
      </c>
    </row>
    <row r="1913" spans="1:11" x14ac:dyDescent="0.2">
      <c r="A1913" t="s">
        <v>6289</v>
      </c>
      <c r="B1913" t="s">
        <v>6290</v>
      </c>
      <c r="C1913" t="s">
        <v>2514</v>
      </c>
      <c r="D1913" t="s">
        <v>3</v>
      </c>
      <c r="E1913" t="s">
        <v>4</v>
      </c>
      <c r="F1913">
        <v>168</v>
      </c>
      <c r="G1913">
        <v>239</v>
      </c>
      <c r="H1913" t="s">
        <v>13</v>
      </c>
      <c r="I1913" t="b">
        <v>0</v>
      </c>
      <c r="J1913">
        <f t="shared" si="58"/>
        <v>0</v>
      </c>
      <c r="K1913" t="str">
        <f t="shared" si="59"/>
        <v>Neutral</v>
      </c>
    </row>
    <row r="1914" spans="1:11" x14ac:dyDescent="0.2">
      <c r="A1914" t="s">
        <v>210</v>
      </c>
      <c r="B1914" t="s">
        <v>211</v>
      </c>
      <c r="C1914" t="s">
        <v>212</v>
      </c>
      <c r="D1914" t="s">
        <v>3</v>
      </c>
      <c r="E1914" t="s">
        <v>4</v>
      </c>
      <c r="F1914">
        <v>9</v>
      </c>
      <c r="G1914">
        <v>98</v>
      </c>
      <c r="H1914" t="s">
        <v>13</v>
      </c>
      <c r="I1914" t="b">
        <v>0</v>
      </c>
      <c r="J1914">
        <f t="shared" si="58"/>
        <v>10</v>
      </c>
      <c r="K1914" t="str">
        <f t="shared" si="59"/>
        <v>Positive</v>
      </c>
    </row>
    <row r="1915" spans="1:11" x14ac:dyDescent="0.2">
      <c r="A1915" t="s">
        <v>2792</v>
      </c>
      <c r="B1915" t="s">
        <v>2793</v>
      </c>
      <c r="C1915" t="s">
        <v>873</v>
      </c>
      <c r="D1915" t="s">
        <v>2794</v>
      </c>
      <c r="E1915" t="s">
        <v>38</v>
      </c>
      <c r="F1915">
        <v>6781</v>
      </c>
      <c r="G1915">
        <v>3334</v>
      </c>
      <c r="H1915" t="s">
        <v>13</v>
      </c>
      <c r="I1915" t="b">
        <v>0</v>
      </c>
      <c r="J1915">
        <f t="shared" si="58"/>
        <v>0</v>
      </c>
      <c r="K1915" t="str">
        <f t="shared" si="59"/>
        <v>Neutral</v>
      </c>
    </row>
    <row r="1916" spans="1:11" x14ac:dyDescent="0.2">
      <c r="A1916" t="s">
        <v>5359</v>
      </c>
      <c r="B1916" t="s">
        <v>5360</v>
      </c>
      <c r="C1916" t="s">
        <v>5361</v>
      </c>
      <c r="D1916" t="s">
        <v>5362</v>
      </c>
      <c r="E1916" t="s">
        <v>4</v>
      </c>
      <c r="F1916">
        <v>6469</v>
      </c>
      <c r="G1916">
        <v>6318</v>
      </c>
      <c r="H1916" t="s">
        <v>13</v>
      </c>
      <c r="I1916" t="b">
        <v>0</v>
      </c>
      <c r="J1916">
        <f t="shared" si="58"/>
        <v>20</v>
      </c>
      <c r="K1916" t="str">
        <f t="shared" si="59"/>
        <v>Positive</v>
      </c>
    </row>
    <row r="1917" spans="1:11" x14ac:dyDescent="0.2">
      <c r="A1917" t="s">
        <v>4972</v>
      </c>
      <c r="B1917" t="s">
        <v>4981</v>
      </c>
      <c r="C1917" t="s">
        <v>1305</v>
      </c>
      <c r="D1917" t="s">
        <v>3</v>
      </c>
      <c r="E1917" t="s">
        <v>4</v>
      </c>
      <c r="F1917">
        <v>720</v>
      </c>
      <c r="G1917">
        <v>142</v>
      </c>
      <c r="H1917" t="s">
        <v>13</v>
      </c>
      <c r="I1917" t="b">
        <v>0</v>
      </c>
      <c r="J1917">
        <f t="shared" si="58"/>
        <v>0</v>
      </c>
      <c r="K1917" t="str">
        <f t="shared" si="59"/>
        <v>Neutral</v>
      </c>
    </row>
    <row r="1918" spans="1:11" x14ac:dyDescent="0.2">
      <c r="A1918" t="s">
        <v>2993</v>
      </c>
      <c r="B1918" t="s">
        <v>2994</v>
      </c>
      <c r="C1918" t="s">
        <v>2995</v>
      </c>
      <c r="D1918" t="s">
        <v>3</v>
      </c>
      <c r="E1918" t="s">
        <v>4</v>
      </c>
      <c r="F1918">
        <v>6055</v>
      </c>
      <c r="G1918">
        <v>3865</v>
      </c>
      <c r="H1918" t="s">
        <v>13</v>
      </c>
      <c r="I1918" t="b">
        <v>0</v>
      </c>
      <c r="J1918">
        <f t="shared" si="58"/>
        <v>0</v>
      </c>
      <c r="K1918" t="str">
        <f t="shared" si="59"/>
        <v>Neutral</v>
      </c>
    </row>
    <row r="1919" spans="1:11" x14ac:dyDescent="0.2">
      <c r="A1919" t="s">
        <v>577</v>
      </c>
      <c r="B1919" t="s">
        <v>578</v>
      </c>
      <c r="C1919" t="s">
        <v>579</v>
      </c>
      <c r="D1919" t="s">
        <v>182</v>
      </c>
      <c r="E1919" t="s">
        <v>4</v>
      </c>
      <c r="F1919">
        <v>48</v>
      </c>
      <c r="G1919">
        <v>18</v>
      </c>
      <c r="H1919" t="s">
        <v>13</v>
      </c>
      <c r="I1919" t="b">
        <v>0</v>
      </c>
      <c r="J1919">
        <f t="shared" si="58"/>
        <v>0</v>
      </c>
      <c r="K1919" t="str">
        <f t="shared" si="59"/>
        <v>Neutral</v>
      </c>
    </row>
    <row r="1920" spans="1:11" x14ac:dyDescent="0.2">
      <c r="A1920" t="s">
        <v>5215</v>
      </c>
      <c r="B1920" t="s">
        <v>5216</v>
      </c>
      <c r="C1920" t="s">
        <v>450</v>
      </c>
      <c r="D1920" t="s">
        <v>5217</v>
      </c>
      <c r="E1920" t="s">
        <v>4</v>
      </c>
      <c r="F1920">
        <v>206</v>
      </c>
      <c r="G1920">
        <v>367</v>
      </c>
      <c r="H1920" t="s">
        <v>13</v>
      </c>
      <c r="I1920" t="b">
        <v>0</v>
      </c>
      <c r="J1920">
        <f t="shared" si="58"/>
        <v>0</v>
      </c>
      <c r="K1920" t="str">
        <f t="shared" si="59"/>
        <v>Neutral</v>
      </c>
    </row>
    <row r="1921" spans="1:11" x14ac:dyDescent="0.2">
      <c r="A1921" t="s">
        <v>4621</v>
      </c>
      <c r="B1921" t="s">
        <v>4622</v>
      </c>
      <c r="C1921" t="s">
        <v>1267</v>
      </c>
      <c r="D1921" t="s">
        <v>2280</v>
      </c>
      <c r="E1921" t="s">
        <v>4</v>
      </c>
      <c r="F1921">
        <v>1102</v>
      </c>
      <c r="G1921">
        <v>431</v>
      </c>
      <c r="H1921" t="s">
        <v>13</v>
      </c>
      <c r="I1921" t="b">
        <v>0</v>
      </c>
      <c r="J1921">
        <f t="shared" si="58"/>
        <v>0</v>
      </c>
      <c r="K1921" t="str">
        <f t="shared" si="59"/>
        <v>Neutral</v>
      </c>
    </row>
    <row r="1922" spans="1:11" x14ac:dyDescent="0.2">
      <c r="A1922" t="s">
        <v>2908</v>
      </c>
      <c r="B1922" t="s">
        <v>2909</v>
      </c>
      <c r="C1922" t="s">
        <v>2910</v>
      </c>
      <c r="D1922" t="s">
        <v>2911</v>
      </c>
      <c r="E1922" t="s">
        <v>4</v>
      </c>
      <c r="F1922">
        <v>174</v>
      </c>
      <c r="G1922">
        <v>478</v>
      </c>
      <c r="H1922" t="s">
        <v>13</v>
      </c>
      <c r="I1922" t="b">
        <v>0</v>
      </c>
      <c r="J1922">
        <f t="shared" si="58"/>
        <v>0</v>
      </c>
      <c r="K1922" t="str">
        <f t="shared" si="59"/>
        <v>Neutral</v>
      </c>
    </row>
    <row r="1923" spans="1:11" x14ac:dyDescent="0.2">
      <c r="A1923" t="s">
        <v>2591</v>
      </c>
      <c r="B1923" t="s">
        <v>2592</v>
      </c>
      <c r="C1923" t="s">
        <v>2593</v>
      </c>
      <c r="D1923" t="s">
        <v>3</v>
      </c>
      <c r="E1923" t="s">
        <v>4</v>
      </c>
      <c r="F1923">
        <v>134</v>
      </c>
      <c r="G1923">
        <v>179</v>
      </c>
      <c r="H1923" t="s">
        <v>13</v>
      </c>
      <c r="I1923" t="b">
        <v>0</v>
      </c>
      <c r="J1923">
        <f t="shared" ref="J1923:J1986" si="60">sentimentCalc(B1923)</f>
        <v>0</v>
      </c>
      <c r="K1923" t="str">
        <f t="shared" ref="K1923:K1986" si="61">sentimentCategory(J1923)</f>
        <v>Neutral</v>
      </c>
    </row>
    <row r="1924" spans="1:11" x14ac:dyDescent="0.2">
      <c r="A1924" t="s">
        <v>5093</v>
      </c>
      <c r="B1924" t="s">
        <v>5094</v>
      </c>
      <c r="C1924" t="s">
        <v>5095</v>
      </c>
      <c r="D1924" t="s">
        <v>5096</v>
      </c>
      <c r="E1924" t="s">
        <v>4</v>
      </c>
      <c r="F1924">
        <v>452</v>
      </c>
      <c r="G1924">
        <v>485</v>
      </c>
      <c r="H1924" t="s">
        <v>13</v>
      </c>
      <c r="I1924" t="b">
        <v>0</v>
      </c>
      <c r="J1924">
        <f t="shared" si="60"/>
        <v>0</v>
      </c>
      <c r="K1924" t="str">
        <f t="shared" si="61"/>
        <v>Neutral</v>
      </c>
    </row>
    <row r="1925" spans="1:11" x14ac:dyDescent="0.2">
      <c r="A1925" t="s">
        <v>4137</v>
      </c>
      <c r="B1925" t="s">
        <v>4138</v>
      </c>
      <c r="C1925" t="s">
        <v>4139</v>
      </c>
      <c r="D1925" t="s">
        <v>3</v>
      </c>
      <c r="E1925" t="s">
        <v>4</v>
      </c>
      <c r="F1925">
        <v>214</v>
      </c>
      <c r="G1925">
        <v>370</v>
      </c>
      <c r="H1925" t="s">
        <v>13</v>
      </c>
      <c r="I1925" t="b">
        <v>0</v>
      </c>
      <c r="J1925">
        <f t="shared" si="60"/>
        <v>0</v>
      </c>
      <c r="K1925" t="str">
        <f t="shared" si="61"/>
        <v>Neutral</v>
      </c>
    </row>
    <row r="1926" spans="1:11" x14ac:dyDescent="0.2">
      <c r="A1926" t="s">
        <v>1821</v>
      </c>
      <c r="B1926" t="s">
        <v>1822</v>
      </c>
      <c r="C1926" t="s">
        <v>1823</v>
      </c>
      <c r="D1926" t="s">
        <v>1657</v>
      </c>
      <c r="E1926" t="s">
        <v>4</v>
      </c>
      <c r="F1926">
        <v>5011</v>
      </c>
      <c r="G1926">
        <v>4738</v>
      </c>
      <c r="H1926" t="s">
        <v>13</v>
      </c>
      <c r="I1926" t="b">
        <v>0</v>
      </c>
      <c r="J1926">
        <f t="shared" si="60"/>
        <v>10</v>
      </c>
      <c r="K1926" t="str">
        <f t="shared" si="61"/>
        <v>Positive</v>
      </c>
    </row>
    <row r="1927" spans="1:11" x14ac:dyDescent="0.2">
      <c r="A1927" t="s">
        <v>3934</v>
      </c>
      <c r="B1927" t="s">
        <v>3935</v>
      </c>
      <c r="C1927" t="s">
        <v>2977</v>
      </c>
      <c r="D1927" t="s">
        <v>3936</v>
      </c>
      <c r="E1927" t="s">
        <v>4</v>
      </c>
      <c r="F1927">
        <v>112</v>
      </c>
      <c r="G1927">
        <v>169</v>
      </c>
      <c r="H1927" t="s">
        <v>13</v>
      </c>
      <c r="I1927" t="b">
        <v>0</v>
      </c>
      <c r="J1927">
        <f t="shared" si="60"/>
        <v>0</v>
      </c>
      <c r="K1927" t="str">
        <f t="shared" si="61"/>
        <v>Neutral</v>
      </c>
    </row>
    <row r="1928" spans="1:11" x14ac:dyDescent="0.2">
      <c r="A1928" t="s">
        <v>5586</v>
      </c>
      <c r="B1928" t="s">
        <v>5587</v>
      </c>
      <c r="C1928" t="s">
        <v>588</v>
      </c>
      <c r="D1928" t="s">
        <v>5588</v>
      </c>
      <c r="E1928" t="s">
        <v>4</v>
      </c>
      <c r="F1928">
        <v>589</v>
      </c>
      <c r="G1928">
        <v>1289</v>
      </c>
      <c r="H1928" t="s">
        <v>13</v>
      </c>
      <c r="I1928" t="b">
        <v>0</v>
      </c>
      <c r="J1928">
        <f t="shared" si="60"/>
        <v>0</v>
      </c>
      <c r="K1928" t="str">
        <f t="shared" si="61"/>
        <v>Neutral</v>
      </c>
    </row>
    <row r="1929" spans="1:11" x14ac:dyDescent="0.2">
      <c r="A1929" t="s">
        <v>6073</v>
      </c>
      <c r="B1929" t="s">
        <v>6074</v>
      </c>
      <c r="C1929" t="s">
        <v>241</v>
      </c>
      <c r="D1929" t="s">
        <v>3718</v>
      </c>
      <c r="E1929" t="s">
        <v>38</v>
      </c>
      <c r="F1929">
        <v>3058</v>
      </c>
      <c r="G1929">
        <v>877</v>
      </c>
      <c r="H1929" t="s">
        <v>13</v>
      </c>
      <c r="I1929" t="b">
        <v>0</v>
      </c>
      <c r="J1929">
        <f t="shared" si="60"/>
        <v>10</v>
      </c>
      <c r="K1929" t="str">
        <f t="shared" si="61"/>
        <v>Positive</v>
      </c>
    </row>
    <row r="1930" spans="1:11" x14ac:dyDescent="0.2">
      <c r="A1930" t="s">
        <v>1256</v>
      </c>
      <c r="B1930" t="s">
        <v>1257</v>
      </c>
      <c r="C1930" t="s">
        <v>1258</v>
      </c>
      <c r="D1930" t="s">
        <v>64</v>
      </c>
      <c r="E1930" t="s">
        <v>4</v>
      </c>
      <c r="F1930">
        <v>36</v>
      </c>
      <c r="G1930">
        <v>0</v>
      </c>
      <c r="H1930" t="s">
        <v>13</v>
      </c>
      <c r="I1930" t="b">
        <v>0</v>
      </c>
      <c r="J1930">
        <f t="shared" si="60"/>
        <v>10</v>
      </c>
      <c r="K1930" t="str">
        <f t="shared" si="61"/>
        <v>Positive</v>
      </c>
    </row>
    <row r="1931" spans="1:11" x14ac:dyDescent="0.2">
      <c r="A1931" t="s">
        <v>2221</v>
      </c>
      <c r="B1931" t="s">
        <v>2222</v>
      </c>
      <c r="C1931" t="s">
        <v>417</v>
      </c>
      <c r="D1931" t="s">
        <v>2223</v>
      </c>
      <c r="E1931" t="s">
        <v>4</v>
      </c>
      <c r="F1931">
        <v>253</v>
      </c>
      <c r="G1931">
        <v>410</v>
      </c>
      <c r="H1931" t="s">
        <v>13</v>
      </c>
      <c r="I1931" t="b">
        <v>0</v>
      </c>
      <c r="J1931">
        <f t="shared" si="60"/>
        <v>0</v>
      </c>
      <c r="K1931" t="str">
        <f t="shared" si="61"/>
        <v>Neutral</v>
      </c>
    </row>
    <row r="1932" spans="1:11" x14ac:dyDescent="0.2">
      <c r="A1932" t="s">
        <v>4891</v>
      </c>
      <c r="B1932" t="s">
        <v>4892</v>
      </c>
      <c r="C1932" t="s">
        <v>1267</v>
      </c>
      <c r="D1932" t="s">
        <v>2280</v>
      </c>
      <c r="E1932" t="s">
        <v>4</v>
      </c>
      <c r="F1932">
        <v>1103</v>
      </c>
      <c r="G1932">
        <v>431</v>
      </c>
      <c r="H1932" t="s">
        <v>13</v>
      </c>
      <c r="I1932" t="b">
        <v>0</v>
      </c>
      <c r="J1932">
        <f t="shared" si="60"/>
        <v>0</v>
      </c>
      <c r="K1932" t="str">
        <f t="shared" si="61"/>
        <v>Neutral</v>
      </c>
    </row>
    <row r="1933" spans="1:11" x14ac:dyDescent="0.2">
      <c r="A1933" t="s">
        <v>2845</v>
      </c>
      <c r="B1933" t="s">
        <v>2846</v>
      </c>
      <c r="C1933" t="s">
        <v>740</v>
      </c>
      <c r="D1933" t="s">
        <v>3</v>
      </c>
      <c r="E1933" t="s">
        <v>4</v>
      </c>
      <c r="F1933">
        <v>17351</v>
      </c>
      <c r="G1933">
        <v>12513</v>
      </c>
      <c r="H1933" t="s">
        <v>13</v>
      </c>
      <c r="I1933" t="b">
        <v>0</v>
      </c>
      <c r="J1933">
        <f t="shared" si="60"/>
        <v>0</v>
      </c>
      <c r="K1933" t="str">
        <f t="shared" si="61"/>
        <v>Neutral</v>
      </c>
    </row>
    <row r="1934" spans="1:11" x14ac:dyDescent="0.2">
      <c r="A1934" t="s">
        <v>2228</v>
      </c>
      <c r="B1934" t="s">
        <v>2229</v>
      </c>
      <c r="C1934" t="s">
        <v>2230</v>
      </c>
      <c r="D1934" t="s">
        <v>3</v>
      </c>
      <c r="E1934" t="s">
        <v>4</v>
      </c>
      <c r="F1934">
        <v>80</v>
      </c>
      <c r="G1934">
        <v>242</v>
      </c>
      <c r="H1934" t="s">
        <v>13</v>
      </c>
      <c r="I1934" t="b">
        <v>0</v>
      </c>
      <c r="J1934">
        <f t="shared" si="60"/>
        <v>0</v>
      </c>
      <c r="K1934" t="str">
        <f t="shared" si="61"/>
        <v>Neutral</v>
      </c>
    </row>
    <row r="1935" spans="1:11" x14ac:dyDescent="0.2">
      <c r="A1935" t="s">
        <v>2294</v>
      </c>
      <c r="B1935" t="s">
        <v>2295</v>
      </c>
      <c r="C1935" t="s">
        <v>1035</v>
      </c>
      <c r="D1935" t="s">
        <v>101</v>
      </c>
      <c r="E1935" t="s">
        <v>4</v>
      </c>
      <c r="F1935">
        <v>987</v>
      </c>
      <c r="G1935">
        <v>273</v>
      </c>
      <c r="H1935" t="s">
        <v>126</v>
      </c>
      <c r="I1935" t="b">
        <v>0</v>
      </c>
      <c r="J1935">
        <f t="shared" si="60"/>
        <v>10</v>
      </c>
      <c r="K1935" t="str">
        <f t="shared" si="61"/>
        <v>Positive</v>
      </c>
    </row>
    <row r="1936" spans="1:11" x14ac:dyDescent="0.2">
      <c r="A1936" t="s">
        <v>2127</v>
      </c>
      <c r="B1936" t="s">
        <v>2128</v>
      </c>
      <c r="C1936" t="s">
        <v>279</v>
      </c>
      <c r="D1936" t="s">
        <v>2129</v>
      </c>
      <c r="E1936" t="s">
        <v>4</v>
      </c>
      <c r="F1936">
        <v>471</v>
      </c>
      <c r="G1936">
        <v>1333</v>
      </c>
      <c r="H1936" t="s">
        <v>13</v>
      </c>
      <c r="I1936" t="b">
        <v>0</v>
      </c>
      <c r="J1936">
        <f t="shared" si="60"/>
        <v>10</v>
      </c>
      <c r="K1936" t="str">
        <f t="shared" si="61"/>
        <v>Positive</v>
      </c>
    </row>
    <row r="1937" spans="1:11" x14ac:dyDescent="0.2">
      <c r="A1937" t="s">
        <v>2318</v>
      </c>
      <c r="B1937" t="s">
        <v>2319</v>
      </c>
      <c r="C1937" t="s">
        <v>1193</v>
      </c>
      <c r="D1937" t="s">
        <v>1194</v>
      </c>
      <c r="E1937" t="s">
        <v>4</v>
      </c>
      <c r="F1937">
        <v>7994</v>
      </c>
      <c r="G1937">
        <v>410</v>
      </c>
      <c r="H1937" t="s">
        <v>13</v>
      </c>
      <c r="I1937" t="b">
        <v>0</v>
      </c>
      <c r="J1937">
        <f t="shared" si="60"/>
        <v>-20</v>
      </c>
      <c r="K1937" t="str">
        <f t="shared" si="61"/>
        <v>Negative</v>
      </c>
    </row>
    <row r="1938" spans="1:11" x14ac:dyDescent="0.2">
      <c r="A1938" t="s">
        <v>7096</v>
      </c>
      <c r="B1938" t="s">
        <v>7097</v>
      </c>
      <c r="C1938" t="s">
        <v>215</v>
      </c>
      <c r="D1938" t="s">
        <v>71</v>
      </c>
      <c r="E1938" t="s">
        <v>4</v>
      </c>
      <c r="F1938">
        <v>1016</v>
      </c>
      <c r="G1938">
        <v>55</v>
      </c>
      <c r="H1938" t="s">
        <v>13</v>
      </c>
      <c r="I1938" t="b">
        <v>0</v>
      </c>
      <c r="J1938">
        <f t="shared" si="60"/>
        <v>0</v>
      </c>
      <c r="K1938" t="str">
        <f t="shared" si="61"/>
        <v>Neutral</v>
      </c>
    </row>
    <row r="1939" spans="1:11" x14ac:dyDescent="0.2">
      <c r="A1939" t="s">
        <v>2996</v>
      </c>
      <c r="B1939" t="s">
        <v>2997</v>
      </c>
      <c r="C1939" t="s">
        <v>2977</v>
      </c>
      <c r="D1939" t="s">
        <v>2998</v>
      </c>
      <c r="E1939" t="s">
        <v>4</v>
      </c>
      <c r="F1939">
        <v>203</v>
      </c>
      <c r="G1939">
        <v>175</v>
      </c>
      <c r="H1939" t="s">
        <v>13</v>
      </c>
      <c r="I1939" t="b">
        <v>0</v>
      </c>
      <c r="J1939">
        <f t="shared" si="60"/>
        <v>0</v>
      </c>
      <c r="K1939" t="str">
        <f t="shared" si="61"/>
        <v>Neutral</v>
      </c>
    </row>
    <row r="1940" spans="1:11" x14ac:dyDescent="0.2">
      <c r="A1940" t="s">
        <v>2485</v>
      </c>
      <c r="B1940" t="s">
        <v>2486</v>
      </c>
      <c r="C1940" t="s">
        <v>588</v>
      </c>
      <c r="D1940" t="s">
        <v>2487</v>
      </c>
      <c r="E1940" t="s">
        <v>4</v>
      </c>
      <c r="F1940">
        <v>894</v>
      </c>
      <c r="G1940">
        <v>1968</v>
      </c>
      <c r="H1940" t="s">
        <v>13</v>
      </c>
      <c r="I1940" t="b">
        <v>0</v>
      </c>
      <c r="J1940">
        <f t="shared" si="60"/>
        <v>0</v>
      </c>
      <c r="K1940" t="str">
        <f t="shared" si="61"/>
        <v>Neutral</v>
      </c>
    </row>
    <row r="1941" spans="1:11" x14ac:dyDescent="0.2">
      <c r="A1941" t="s">
        <v>3301</v>
      </c>
      <c r="B1941" t="s">
        <v>3302</v>
      </c>
      <c r="C1941" t="s">
        <v>406</v>
      </c>
      <c r="D1941" t="s">
        <v>407</v>
      </c>
      <c r="E1941" t="s">
        <v>4</v>
      </c>
      <c r="F1941">
        <v>1663</v>
      </c>
      <c r="G1941">
        <v>1479</v>
      </c>
      <c r="H1941" t="s">
        <v>13</v>
      </c>
      <c r="I1941" t="b">
        <v>0</v>
      </c>
      <c r="J1941">
        <f t="shared" si="60"/>
        <v>0</v>
      </c>
      <c r="K1941" t="str">
        <f t="shared" si="61"/>
        <v>Neutral</v>
      </c>
    </row>
    <row r="1942" spans="1:11" x14ac:dyDescent="0.2">
      <c r="A1942" t="s">
        <v>3397</v>
      </c>
      <c r="B1942" t="s">
        <v>3398</v>
      </c>
      <c r="C1942" t="s">
        <v>3022</v>
      </c>
      <c r="D1942" t="s">
        <v>3399</v>
      </c>
      <c r="E1942" t="s">
        <v>4</v>
      </c>
      <c r="F1942">
        <v>264</v>
      </c>
      <c r="G1942">
        <v>355</v>
      </c>
      <c r="H1942" t="s">
        <v>13</v>
      </c>
      <c r="I1942" t="b">
        <v>0</v>
      </c>
      <c r="J1942">
        <f t="shared" si="60"/>
        <v>0</v>
      </c>
      <c r="K1942" t="str">
        <f t="shared" si="61"/>
        <v>Neutral</v>
      </c>
    </row>
    <row r="1943" spans="1:11" x14ac:dyDescent="0.2">
      <c r="A1943" t="s">
        <v>5127</v>
      </c>
      <c r="B1943" t="s">
        <v>5128</v>
      </c>
      <c r="C1943" t="s">
        <v>60</v>
      </c>
      <c r="D1943" t="s">
        <v>3</v>
      </c>
      <c r="E1943" t="s">
        <v>4</v>
      </c>
      <c r="F1943">
        <v>1905</v>
      </c>
      <c r="G1943">
        <v>801</v>
      </c>
      <c r="H1943" t="s">
        <v>13</v>
      </c>
      <c r="I1943" t="b">
        <v>0</v>
      </c>
      <c r="J1943">
        <f t="shared" si="60"/>
        <v>-10</v>
      </c>
      <c r="K1943" t="str">
        <f t="shared" si="61"/>
        <v>Negative</v>
      </c>
    </row>
    <row r="1944" spans="1:11" x14ac:dyDescent="0.2">
      <c r="A1944" t="s">
        <v>6614</v>
      </c>
      <c r="B1944" t="s">
        <v>6615</v>
      </c>
      <c r="C1944" t="s">
        <v>133</v>
      </c>
      <c r="D1944" t="s">
        <v>113</v>
      </c>
      <c r="E1944" t="s">
        <v>4</v>
      </c>
      <c r="F1944">
        <v>133</v>
      </c>
      <c r="G1944">
        <v>304</v>
      </c>
      <c r="H1944" t="s">
        <v>13</v>
      </c>
      <c r="I1944" t="b">
        <v>0</v>
      </c>
      <c r="J1944">
        <f t="shared" si="60"/>
        <v>0</v>
      </c>
      <c r="K1944" t="str">
        <f t="shared" si="61"/>
        <v>Neutral</v>
      </c>
    </row>
    <row r="1945" spans="1:11" x14ac:dyDescent="0.2">
      <c r="A1945" t="s">
        <v>3055</v>
      </c>
      <c r="B1945" t="s">
        <v>3056</v>
      </c>
      <c r="C1945" t="s">
        <v>1048</v>
      </c>
      <c r="D1945" t="s">
        <v>566</v>
      </c>
      <c r="E1945" t="s">
        <v>38</v>
      </c>
      <c r="F1945">
        <v>12089</v>
      </c>
      <c r="G1945">
        <v>1635</v>
      </c>
      <c r="H1945" t="s">
        <v>13</v>
      </c>
      <c r="I1945" t="b">
        <v>0</v>
      </c>
      <c r="J1945">
        <f t="shared" si="60"/>
        <v>0</v>
      </c>
      <c r="K1945" t="str">
        <f t="shared" si="61"/>
        <v>Neutral</v>
      </c>
    </row>
    <row r="1946" spans="1:11" x14ac:dyDescent="0.2">
      <c r="A1946" t="s">
        <v>3454</v>
      </c>
      <c r="B1946" t="s">
        <v>3455</v>
      </c>
      <c r="C1946" t="s">
        <v>104</v>
      </c>
      <c r="D1946" t="s">
        <v>3</v>
      </c>
      <c r="E1946" t="s">
        <v>4</v>
      </c>
      <c r="F1946">
        <v>3</v>
      </c>
      <c r="G1946">
        <v>5</v>
      </c>
      <c r="H1946" t="s">
        <v>363</v>
      </c>
      <c r="I1946" t="b">
        <v>0</v>
      </c>
      <c r="J1946">
        <f t="shared" si="60"/>
        <v>0</v>
      </c>
      <c r="K1946" t="str">
        <f t="shared" si="61"/>
        <v>Neutral</v>
      </c>
    </row>
    <row r="1947" spans="1:11" x14ac:dyDescent="0.2">
      <c r="A1947" t="s">
        <v>4370</v>
      </c>
      <c r="B1947" t="s">
        <v>4371</v>
      </c>
      <c r="C1947" t="s">
        <v>1138</v>
      </c>
      <c r="D1947" t="s">
        <v>3</v>
      </c>
      <c r="E1947" t="s">
        <v>4</v>
      </c>
      <c r="F1947">
        <v>4537</v>
      </c>
      <c r="G1947">
        <v>398</v>
      </c>
      <c r="H1947" t="s">
        <v>13</v>
      </c>
      <c r="I1947" t="b">
        <v>0</v>
      </c>
      <c r="J1947">
        <f t="shared" si="60"/>
        <v>10</v>
      </c>
      <c r="K1947" t="str">
        <f t="shared" si="61"/>
        <v>Positive</v>
      </c>
    </row>
    <row r="1948" spans="1:11" x14ac:dyDescent="0.2">
      <c r="A1948" t="s">
        <v>3835</v>
      </c>
      <c r="B1948" t="s">
        <v>3836</v>
      </c>
      <c r="C1948" t="s">
        <v>648</v>
      </c>
      <c r="D1948" t="s">
        <v>3837</v>
      </c>
      <c r="E1948" t="s">
        <v>4</v>
      </c>
      <c r="F1948">
        <v>67</v>
      </c>
      <c r="G1948">
        <v>189</v>
      </c>
      <c r="H1948" t="s">
        <v>13</v>
      </c>
      <c r="I1948" t="b">
        <v>0</v>
      </c>
      <c r="J1948">
        <f t="shared" si="60"/>
        <v>10</v>
      </c>
      <c r="K1948" t="str">
        <f t="shared" si="61"/>
        <v>Positive</v>
      </c>
    </row>
    <row r="1949" spans="1:11" x14ac:dyDescent="0.2">
      <c r="A1949" t="s">
        <v>6139</v>
      </c>
      <c r="B1949" t="s">
        <v>6140</v>
      </c>
      <c r="C1949" t="s">
        <v>6141</v>
      </c>
      <c r="D1949" t="s">
        <v>6142</v>
      </c>
      <c r="E1949" t="s">
        <v>4</v>
      </c>
      <c r="F1949">
        <v>533</v>
      </c>
      <c r="G1949">
        <v>514</v>
      </c>
      <c r="H1949" t="s">
        <v>13</v>
      </c>
      <c r="I1949" t="b">
        <v>0</v>
      </c>
      <c r="J1949">
        <f t="shared" si="60"/>
        <v>-10</v>
      </c>
      <c r="K1949" t="str">
        <f t="shared" si="61"/>
        <v>Negative</v>
      </c>
    </row>
    <row r="1950" spans="1:11" x14ac:dyDescent="0.2">
      <c r="A1950" t="s">
        <v>6937</v>
      </c>
      <c r="B1950" t="s">
        <v>6938</v>
      </c>
      <c r="C1950" t="s">
        <v>5036</v>
      </c>
      <c r="D1950" t="s">
        <v>491</v>
      </c>
      <c r="E1950" t="s">
        <v>4</v>
      </c>
      <c r="F1950">
        <v>285</v>
      </c>
      <c r="G1950">
        <v>355</v>
      </c>
      <c r="H1950" t="s">
        <v>13</v>
      </c>
      <c r="I1950" t="b">
        <v>0</v>
      </c>
      <c r="J1950">
        <f t="shared" si="60"/>
        <v>0</v>
      </c>
      <c r="K1950" t="str">
        <f t="shared" si="61"/>
        <v>Neutral</v>
      </c>
    </row>
    <row r="1951" spans="1:11" x14ac:dyDescent="0.2">
      <c r="A1951" t="s">
        <v>6124</v>
      </c>
      <c r="B1951" t="s">
        <v>6125</v>
      </c>
      <c r="C1951" t="s">
        <v>1438</v>
      </c>
      <c r="D1951" t="s">
        <v>3</v>
      </c>
      <c r="E1951" t="s">
        <v>4</v>
      </c>
      <c r="F1951">
        <v>23830</v>
      </c>
      <c r="G1951">
        <v>973</v>
      </c>
      <c r="H1951" t="s">
        <v>13</v>
      </c>
      <c r="I1951" t="b">
        <v>0</v>
      </c>
      <c r="J1951">
        <f t="shared" si="60"/>
        <v>0</v>
      </c>
      <c r="K1951" t="str">
        <f t="shared" si="61"/>
        <v>Neutral</v>
      </c>
    </row>
    <row r="1952" spans="1:11" x14ac:dyDescent="0.2">
      <c r="A1952" t="s">
        <v>2111</v>
      </c>
      <c r="B1952" t="s">
        <v>2112</v>
      </c>
      <c r="C1952" t="s">
        <v>996</v>
      </c>
      <c r="D1952" t="s">
        <v>2113</v>
      </c>
      <c r="E1952" t="s">
        <v>4</v>
      </c>
      <c r="F1952">
        <v>3880</v>
      </c>
      <c r="G1952">
        <v>671</v>
      </c>
      <c r="H1952" t="s">
        <v>13</v>
      </c>
      <c r="I1952" t="b">
        <v>0</v>
      </c>
      <c r="J1952">
        <f t="shared" si="60"/>
        <v>0</v>
      </c>
      <c r="K1952" t="str">
        <f t="shared" si="61"/>
        <v>Neutral</v>
      </c>
    </row>
    <row r="1953" spans="1:11" x14ac:dyDescent="0.2">
      <c r="A1953" t="s">
        <v>2785</v>
      </c>
      <c r="B1953" t="s">
        <v>2786</v>
      </c>
      <c r="C1953" t="s">
        <v>526</v>
      </c>
      <c r="D1953" t="s">
        <v>3</v>
      </c>
      <c r="E1953" t="s">
        <v>4</v>
      </c>
      <c r="F1953">
        <v>2</v>
      </c>
      <c r="G1953">
        <v>137</v>
      </c>
      <c r="H1953" t="s">
        <v>645</v>
      </c>
      <c r="I1953" t="b">
        <v>0</v>
      </c>
      <c r="J1953">
        <f t="shared" si="60"/>
        <v>0</v>
      </c>
      <c r="K1953" t="str">
        <f t="shared" si="61"/>
        <v>Neutral</v>
      </c>
    </row>
    <row r="1954" spans="1:11" x14ac:dyDescent="0.2">
      <c r="A1954" t="s">
        <v>1493</v>
      </c>
      <c r="B1954" t="s">
        <v>1494</v>
      </c>
      <c r="C1954" t="s">
        <v>1452</v>
      </c>
      <c r="D1954" t="s">
        <v>1453</v>
      </c>
      <c r="E1954" t="s">
        <v>4</v>
      </c>
      <c r="F1954">
        <v>1100</v>
      </c>
      <c r="G1954">
        <v>512</v>
      </c>
      <c r="H1954" t="s">
        <v>13</v>
      </c>
      <c r="I1954" t="b">
        <v>0</v>
      </c>
      <c r="J1954">
        <f t="shared" si="60"/>
        <v>0</v>
      </c>
      <c r="K1954" t="str">
        <f t="shared" si="61"/>
        <v>Neutral</v>
      </c>
    </row>
    <row r="1955" spans="1:11" x14ac:dyDescent="0.2">
      <c r="A1955" t="s">
        <v>3114</v>
      </c>
      <c r="B1955" t="s">
        <v>3115</v>
      </c>
      <c r="C1955" t="s">
        <v>104</v>
      </c>
      <c r="D1955" t="s">
        <v>3</v>
      </c>
      <c r="E1955" t="s">
        <v>4</v>
      </c>
      <c r="F1955">
        <v>3</v>
      </c>
      <c r="G1955">
        <v>0</v>
      </c>
      <c r="H1955" t="s">
        <v>363</v>
      </c>
      <c r="I1955" t="b">
        <v>0</v>
      </c>
      <c r="J1955">
        <f t="shared" si="60"/>
        <v>0</v>
      </c>
      <c r="K1955" t="str">
        <f t="shared" si="61"/>
        <v>Neutral</v>
      </c>
    </row>
    <row r="1956" spans="1:11" x14ac:dyDescent="0.2">
      <c r="A1956" t="s">
        <v>6565</v>
      </c>
      <c r="B1956" t="s">
        <v>6566</v>
      </c>
      <c r="C1956" t="s">
        <v>4187</v>
      </c>
      <c r="D1956" t="s">
        <v>1027</v>
      </c>
      <c r="E1956" t="s">
        <v>4</v>
      </c>
      <c r="F1956">
        <v>46</v>
      </c>
      <c r="G1956">
        <v>142</v>
      </c>
      <c r="H1956" t="s">
        <v>13</v>
      </c>
      <c r="I1956" t="b">
        <v>0</v>
      </c>
      <c r="J1956">
        <f t="shared" si="60"/>
        <v>0</v>
      </c>
      <c r="K1956" t="str">
        <f t="shared" si="61"/>
        <v>Neutral</v>
      </c>
    </row>
    <row r="1957" spans="1:11" x14ac:dyDescent="0.2">
      <c r="A1957" t="s">
        <v>6303</v>
      </c>
      <c r="B1957" t="s">
        <v>6304</v>
      </c>
      <c r="C1957" t="s">
        <v>999</v>
      </c>
      <c r="D1957" t="s">
        <v>3</v>
      </c>
      <c r="E1957" t="s">
        <v>4</v>
      </c>
      <c r="F1957">
        <v>23</v>
      </c>
      <c r="G1957">
        <v>7</v>
      </c>
      <c r="H1957" t="s">
        <v>13</v>
      </c>
      <c r="I1957" t="b">
        <v>0</v>
      </c>
      <c r="J1957">
        <f t="shared" si="60"/>
        <v>0</v>
      </c>
      <c r="K1957" t="str">
        <f t="shared" si="61"/>
        <v>Neutral</v>
      </c>
    </row>
    <row r="1958" spans="1:11" x14ac:dyDescent="0.2">
      <c r="A1958" t="s">
        <v>5380</v>
      </c>
      <c r="B1958" t="s">
        <v>5381</v>
      </c>
      <c r="C1958" t="s">
        <v>5382</v>
      </c>
      <c r="D1958" t="s">
        <v>5383</v>
      </c>
      <c r="E1958" t="s">
        <v>4</v>
      </c>
      <c r="F1958">
        <v>377</v>
      </c>
      <c r="G1958">
        <v>1119</v>
      </c>
      <c r="H1958" t="s">
        <v>13</v>
      </c>
      <c r="I1958" t="b">
        <v>0</v>
      </c>
      <c r="J1958">
        <f t="shared" si="60"/>
        <v>0</v>
      </c>
      <c r="K1958" t="str">
        <f t="shared" si="61"/>
        <v>Neutral</v>
      </c>
    </row>
    <row r="1959" spans="1:11" x14ac:dyDescent="0.2">
      <c r="A1959" t="s">
        <v>4874</v>
      </c>
      <c r="B1959" t="s">
        <v>4875</v>
      </c>
      <c r="C1959" t="s">
        <v>4876</v>
      </c>
      <c r="D1959" t="s">
        <v>4877</v>
      </c>
      <c r="E1959" t="s">
        <v>4</v>
      </c>
      <c r="F1959">
        <v>90</v>
      </c>
      <c r="G1959">
        <v>447</v>
      </c>
      <c r="H1959" t="s">
        <v>13</v>
      </c>
      <c r="I1959" t="b">
        <v>0</v>
      </c>
      <c r="J1959">
        <f t="shared" si="60"/>
        <v>0</v>
      </c>
      <c r="K1959" t="str">
        <f t="shared" si="61"/>
        <v>Neutral</v>
      </c>
    </row>
    <row r="1960" spans="1:11" x14ac:dyDescent="0.2">
      <c r="A1960" t="s">
        <v>5783</v>
      </c>
      <c r="B1960" t="s">
        <v>5784</v>
      </c>
      <c r="C1960" t="s">
        <v>740</v>
      </c>
      <c r="D1960" t="s">
        <v>5785</v>
      </c>
      <c r="E1960" t="s">
        <v>38</v>
      </c>
      <c r="F1960">
        <v>172963</v>
      </c>
      <c r="G1960">
        <v>217</v>
      </c>
      <c r="H1960" t="s">
        <v>13</v>
      </c>
      <c r="I1960" t="b">
        <v>0</v>
      </c>
      <c r="J1960">
        <f t="shared" si="60"/>
        <v>0</v>
      </c>
      <c r="K1960" t="str">
        <f t="shared" si="61"/>
        <v>Neutral</v>
      </c>
    </row>
    <row r="1961" spans="1:11" x14ac:dyDescent="0.2">
      <c r="A1961" t="s">
        <v>5051</v>
      </c>
      <c r="B1961" t="s">
        <v>5052</v>
      </c>
      <c r="C1961" t="s">
        <v>1510</v>
      </c>
      <c r="D1961" t="s">
        <v>5053</v>
      </c>
      <c r="E1961" t="s">
        <v>4</v>
      </c>
      <c r="F1961">
        <v>136</v>
      </c>
      <c r="G1961">
        <v>115</v>
      </c>
      <c r="H1961" t="s">
        <v>13</v>
      </c>
      <c r="I1961" t="b">
        <v>0</v>
      </c>
      <c r="J1961">
        <f t="shared" si="60"/>
        <v>0</v>
      </c>
      <c r="K1961" t="str">
        <f t="shared" si="61"/>
        <v>Neutral</v>
      </c>
    </row>
    <row r="1962" spans="1:11" x14ac:dyDescent="0.2">
      <c r="A1962" t="s">
        <v>1361</v>
      </c>
      <c r="B1962" t="s">
        <v>1364</v>
      </c>
      <c r="C1962" t="s">
        <v>1365</v>
      </c>
      <c r="D1962" t="s">
        <v>1366</v>
      </c>
      <c r="E1962" t="s">
        <v>4</v>
      </c>
      <c r="F1962">
        <v>188</v>
      </c>
      <c r="G1962">
        <v>9</v>
      </c>
      <c r="H1962" t="s">
        <v>13</v>
      </c>
      <c r="I1962" t="b">
        <v>0</v>
      </c>
      <c r="J1962">
        <f t="shared" si="60"/>
        <v>0</v>
      </c>
      <c r="K1962" t="str">
        <f t="shared" si="61"/>
        <v>Neutral</v>
      </c>
    </row>
    <row r="1963" spans="1:11" x14ac:dyDescent="0.2">
      <c r="A1963" t="s">
        <v>1971</v>
      </c>
      <c r="B1963" t="s">
        <v>1972</v>
      </c>
      <c r="C1963" t="s">
        <v>1328</v>
      </c>
      <c r="D1963" t="s">
        <v>1973</v>
      </c>
      <c r="E1963" t="s">
        <v>4</v>
      </c>
      <c r="F1963">
        <v>30874</v>
      </c>
      <c r="G1963">
        <v>5408</v>
      </c>
      <c r="H1963" t="s">
        <v>13</v>
      </c>
      <c r="I1963" t="b">
        <v>0</v>
      </c>
      <c r="J1963">
        <f t="shared" si="60"/>
        <v>0</v>
      </c>
      <c r="K1963" t="str">
        <f t="shared" si="61"/>
        <v>Neutral</v>
      </c>
    </row>
    <row r="1964" spans="1:11" x14ac:dyDescent="0.2">
      <c r="A1964" t="s">
        <v>5806</v>
      </c>
      <c r="B1964" t="s">
        <v>5807</v>
      </c>
      <c r="C1964" t="s">
        <v>4086</v>
      </c>
      <c r="D1964" t="s">
        <v>3</v>
      </c>
      <c r="E1964" t="s">
        <v>4</v>
      </c>
      <c r="F1964">
        <v>2295</v>
      </c>
      <c r="G1964">
        <v>1650</v>
      </c>
      <c r="H1964" t="s">
        <v>13</v>
      </c>
      <c r="I1964" t="b">
        <v>0</v>
      </c>
      <c r="J1964">
        <f t="shared" si="60"/>
        <v>-10</v>
      </c>
      <c r="K1964" t="str">
        <f t="shared" si="61"/>
        <v>Negative</v>
      </c>
    </row>
    <row r="1965" spans="1:11" x14ac:dyDescent="0.2">
      <c r="A1965" t="s">
        <v>4884</v>
      </c>
      <c r="B1965" t="s">
        <v>4885</v>
      </c>
      <c r="C1965" t="s">
        <v>410</v>
      </c>
      <c r="D1965" t="s">
        <v>2103</v>
      </c>
      <c r="E1965" t="s">
        <v>4</v>
      </c>
      <c r="F1965">
        <v>12</v>
      </c>
      <c r="G1965">
        <v>104</v>
      </c>
      <c r="H1965" t="s">
        <v>13</v>
      </c>
      <c r="I1965" t="b">
        <v>0</v>
      </c>
      <c r="J1965">
        <f t="shared" si="60"/>
        <v>0</v>
      </c>
      <c r="K1965" t="str">
        <f t="shared" si="61"/>
        <v>Neutral</v>
      </c>
    </row>
    <row r="1966" spans="1:11" x14ac:dyDescent="0.2">
      <c r="A1966" t="s">
        <v>6200</v>
      </c>
      <c r="B1966" t="s">
        <v>6201</v>
      </c>
      <c r="C1966" t="s">
        <v>568</v>
      </c>
      <c r="D1966" t="s">
        <v>3</v>
      </c>
      <c r="E1966" t="s">
        <v>4</v>
      </c>
      <c r="F1966">
        <v>46</v>
      </c>
      <c r="G1966">
        <v>83</v>
      </c>
      <c r="H1966" t="s">
        <v>13</v>
      </c>
      <c r="I1966" t="b">
        <v>0</v>
      </c>
      <c r="J1966">
        <f t="shared" si="60"/>
        <v>0</v>
      </c>
      <c r="K1966" t="str">
        <f t="shared" si="61"/>
        <v>Neutral</v>
      </c>
    </row>
    <row r="1967" spans="1:11" x14ac:dyDescent="0.2">
      <c r="A1967" t="s">
        <v>14</v>
      </c>
      <c r="B1967" t="s">
        <v>15</v>
      </c>
      <c r="C1967" t="s">
        <v>16</v>
      </c>
      <c r="D1967" t="s">
        <v>17</v>
      </c>
      <c r="E1967" t="s">
        <v>4</v>
      </c>
      <c r="F1967">
        <v>1996</v>
      </c>
      <c r="G1967">
        <v>1967</v>
      </c>
      <c r="H1967" t="s">
        <v>13</v>
      </c>
      <c r="I1967" t="b">
        <v>0</v>
      </c>
      <c r="J1967">
        <f t="shared" si="60"/>
        <v>0</v>
      </c>
      <c r="K1967" t="str">
        <f t="shared" si="61"/>
        <v>Neutral</v>
      </c>
    </row>
    <row r="1968" spans="1:11" x14ac:dyDescent="0.2">
      <c r="A1968" t="s">
        <v>5330</v>
      </c>
      <c r="B1968" t="s">
        <v>5331</v>
      </c>
      <c r="C1968" t="s">
        <v>1152</v>
      </c>
      <c r="D1968" t="s">
        <v>3</v>
      </c>
      <c r="E1968" t="s">
        <v>4</v>
      </c>
      <c r="F1968">
        <v>12352</v>
      </c>
      <c r="G1968">
        <v>539</v>
      </c>
      <c r="H1968" t="s">
        <v>13</v>
      </c>
      <c r="I1968" t="b">
        <v>0</v>
      </c>
      <c r="J1968">
        <f t="shared" si="60"/>
        <v>0</v>
      </c>
      <c r="K1968" t="str">
        <f t="shared" si="61"/>
        <v>Neutral</v>
      </c>
    </row>
    <row r="1969" spans="1:11" x14ac:dyDescent="0.2">
      <c r="A1969" t="s">
        <v>1695</v>
      </c>
      <c r="B1969" t="s">
        <v>1696</v>
      </c>
      <c r="C1969" t="s">
        <v>1697</v>
      </c>
      <c r="D1969" t="s">
        <v>1698</v>
      </c>
      <c r="E1969" t="s">
        <v>4</v>
      </c>
      <c r="F1969">
        <v>516</v>
      </c>
      <c r="G1969">
        <v>499</v>
      </c>
      <c r="H1969" t="s">
        <v>13</v>
      </c>
      <c r="I1969" t="b">
        <v>0</v>
      </c>
      <c r="J1969">
        <f t="shared" si="60"/>
        <v>-10</v>
      </c>
      <c r="K1969" t="str">
        <f t="shared" si="61"/>
        <v>Negative</v>
      </c>
    </row>
    <row r="1970" spans="1:11" x14ac:dyDescent="0.2">
      <c r="A1970" t="s">
        <v>6163</v>
      </c>
      <c r="B1970" t="s">
        <v>6164</v>
      </c>
      <c r="C1970" t="s">
        <v>568</v>
      </c>
      <c r="D1970" t="s">
        <v>3</v>
      </c>
      <c r="E1970" t="s">
        <v>4</v>
      </c>
      <c r="F1970">
        <v>46</v>
      </c>
      <c r="G1970">
        <v>83</v>
      </c>
      <c r="H1970" t="s">
        <v>13</v>
      </c>
      <c r="I1970" t="b">
        <v>0</v>
      </c>
      <c r="J1970">
        <f t="shared" si="60"/>
        <v>0</v>
      </c>
      <c r="K1970" t="str">
        <f t="shared" si="61"/>
        <v>Neutral</v>
      </c>
    </row>
    <row r="1971" spans="1:11" x14ac:dyDescent="0.2">
      <c r="A1971" t="s">
        <v>6212</v>
      </c>
      <c r="B1971" t="s">
        <v>6213</v>
      </c>
      <c r="C1971" t="s">
        <v>3852</v>
      </c>
      <c r="D1971" t="s">
        <v>1352</v>
      </c>
      <c r="E1971" t="s">
        <v>4</v>
      </c>
      <c r="F1971">
        <v>123</v>
      </c>
      <c r="G1971">
        <v>188</v>
      </c>
      <c r="H1971" t="s">
        <v>126</v>
      </c>
      <c r="I1971" t="b">
        <v>0</v>
      </c>
      <c r="J1971">
        <f t="shared" si="60"/>
        <v>0</v>
      </c>
      <c r="K1971" t="str">
        <f t="shared" si="61"/>
        <v>Neutral</v>
      </c>
    </row>
    <row r="1972" spans="1:11" x14ac:dyDescent="0.2">
      <c r="A1972" t="s">
        <v>7124</v>
      </c>
      <c r="B1972" t="s">
        <v>7125</v>
      </c>
      <c r="C1972" t="s">
        <v>7126</v>
      </c>
      <c r="D1972" t="s">
        <v>7127</v>
      </c>
      <c r="E1972" t="s">
        <v>4</v>
      </c>
      <c r="F1972">
        <v>42</v>
      </c>
      <c r="G1972">
        <v>22</v>
      </c>
      <c r="H1972" t="s">
        <v>13</v>
      </c>
      <c r="I1972" t="b">
        <v>0</v>
      </c>
      <c r="J1972">
        <f t="shared" si="60"/>
        <v>0</v>
      </c>
      <c r="K1972" t="str">
        <f t="shared" si="61"/>
        <v>Neutral</v>
      </c>
    </row>
    <row r="1973" spans="1:11" x14ac:dyDescent="0.2">
      <c r="A1973" t="s">
        <v>5855</v>
      </c>
      <c r="B1973" t="s">
        <v>5856</v>
      </c>
      <c r="C1973" t="s">
        <v>36</v>
      </c>
      <c r="D1973" t="s">
        <v>5857</v>
      </c>
      <c r="E1973" t="s">
        <v>4</v>
      </c>
      <c r="F1973">
        <v>3250</v>
      </c>
      <c r="G1973">
        <v>1002</v>
      </c>
      <c r="H1973" t="s">
        <v>13</v>
      </c>
      <c r="I1973" t="b">
        <v>0</v>
      </c>
      <c r="J1973">
        <f t="shared" si="60"/>
        <v>0</v>
      </c>
      <c r="K1973" t="str">
        <f t="shared" si="61"/>
        <v>Neutral</v>
      </c>
    </row>
    <row r="1974" spans="1:11" x14ac:dyDescent="0.2">
      <c r="A1974" t="s">
        <v>1353</v>
      </c>
      <c r="B1974" t="s">
        <v>1354</v>
      </c>
      <c r="C1974" t="s">
        <v>561</v>
      </c>
      <c r="D1974" t="s">
        <v>663</v>
      </c>
      <c r="E1974" t="s">
        <v>4</v>
      </c>
      <c r="F1974">
        <v>222</v>
      </c>
      <c r="G1974">
        <v>793</v>
      </c>
      <c r="H1974" t="s">
        <v>13</v>
      </c>
      <c r="I1974" t="b">
        <v>0</v>
      </c>
      <c r="J1974">
        <f t="shared" si="60"/>
        <v>0</v>
      </c>
      <c r="K1974" t="str">
        <f t="shared" si="61"/>
        <v>Neutral</v>
      </c>
    </row>
    <row r="1975" spans="1:11" x14ac:dyDescent="0.2">
      <c r="A1975" t="s">
        <v>2341</v>
      </c>
      <c r="B1975" t="s">
        <v>2342</v>
      </c>
      <c r="C1975" t="s">
        <v>1019</v>
      </c>
      <c r="D1975" t="s">
        <v>2343</v>
      </c>
      <c r="E1975" t="s">
        <v>4</v>
      </c>
      <c r="F1975">
        <v>98</v>
      </c>
      <c r="G1975">
        <v>134</v>
      </c>
      <c r="H1975" t="s">
        <v>13</v>
      </c>
      <c r="I1975" t="b">
        <v>0</v>
      </c>
      <c r="J1975">
        <f t="shared" si="60"/>
        <v>10</v>
      </c>
      <c r="K1975" t="str">
        <f t="shared" si="61"/>
        <v>Positive</v>
      </c>
    </row>
    <row r="1976" spans="1:11" x14ac:dyDescent="0.2">
      <c r="A1976" t="s">
        <v>2352</v>
      </c>
      <c r="B1976" t="s">
        <v>2353</v>
      </c>
      <c r="C1976" t="s">
        <v>1019</v>
      </c>
      <c r="D1976" t="s">
        <v>2343</v>
      </c>
      <c r="E1976" t="s">
        <v>4</v>
      </c>
      <c r="F1976">
        <v>98</v>
      </c>
      <c r="G1976">
        <v>134</v>
      </c>
      <c r="H1976" t="s">
        <v>13</v>
      </c>
      <c r="I1976" t="b">
        <v>0</v>
      </c>
      <c r="J1976">
        <f t="shared" si="60"/>
        <v>0</v>
      </c>
      <c r="K1976" t="str">
        <f t="shared" si="61"/>
        <v>Neutral</v>
      </c>
    </row>
    <row r="1977" spans="1:11" x14ac:dyDescent="0.2">
      <c r="A1977" t="s">
        <v>6852</v>
      </c>
      <c r="B1977" t="s">
        <v>6853</v>
      </c>
      <c r="C1977" t="s">
        <v>2733</v>
      </c>
      <c r="D1977" t="s">
        <v>3</v>
      </c>
      <c r="E1977" t="s">
        <v>4</v>
      </c>
      <c r="F1977">
        <v>526</v>
      </c>
      <c r="G1977">
        <v>568</v>
      </c>
      <c r="H1977" t="s">
        <v>13</v>
      </c>
      <c r="I1977" t="b">
        <v>0</v>
      </c>
      <c r="J1977">
        <f t="shared" si="60"/>
        <v>0</v>
      </c>
      <c r="K1977" t="str">
        <f t="shared" si="61"/>
        <v>Neutral</v>
      </c>
    </row>
    <row r="1978" spans="1:11" x14ac:dyDescent="0.2">
      <c r="A1978" t="s">
        <v>6002</v>
      </c>
      <c r="B1978" t="s">
        <v>6003</v>
      </c>
      <c r="C1978" t="s">
        <v>686</v>
      </c>
      <c r="D1978" t="s">
        <v>6004</v>
      </c>
      <c r="E1978" t="s">
        <v>4</v>
      </c>
      <c r="F1978">
        <v>34</v>
      </c>
      <c r="G1978">
        <v>225</v>
      </c>
      <c r="H1978" t="s">
        <v>13</v>
      </c>
      <c r="I1978" t="b">
        <v>0</v>
      </c>
      <c r="J1978">
        <f t="shared" si="60"/>
        <v>0</v>
      </c>
      <c r="K1978" t="str">
        <f t="shared" si="61"/>
        <v>Neutral</v>
      </c>
    </row>
    <row r="1979" spans="1:11" x14ac:dyDescent="0.2">
      <c r="A1979" t="s">
        <v>2917</v>
      </c>
      <c r="B1979" t="s">
        <v>2918</v>
      </c>
      <c r="C1979" t="s">
        <v>2919</v>
      </c>
      <c r="D1979" t="s">
        <v>1848</v>
      </c>
      <c r="E1979" t="s">
        <v>4</v>
      </c>
      <c r="F1979">
        <v>1415</v>
      </c>
      <c r="G1979">
        <v>472</v>
      </c>
      <c r="H1979" t="s">
        <v>13</v>
      </c>
      <c r="I1979" t="b">
        <v>0</v>
      </c>
      <c r="J1979">
        <f t="shared" si="60"/>
        <v>0</v>
      </c>
      <c r="K1979" t="str">
        <f t="shared" si="61"/>
        <v>Neutral</v>
      </c>
    </row>
    <row r="1980" spans="1:11" x14ac:dyDescent="0.2">
      <c r="A1980" t="s">
        <v>784</v>
      </c>
      <c r="B1980" t="s">
        <v>785</v>
      </c>
      <c r="C1980" t="s">
        <v>786</v>
      </c>
      <c r="D1980" t="s">
        <v>3</v>
      </c>
      <c r="E1980" t="s">
        <v>4</v>
      </c>
      <c r="F1980">
        <v>17</v>
      </c>
      <c r="G1980">
        <v>167</v>
      </c>
      <c r="H1980" t="s">
        <v>13</v>
      </c>
      <c r="I1980" t="b">
        <v>0</v>
      </c>
      <c r="J1980">
        <f t="shared" si="60"/>
        <v>10</v>
      </c>
      <c r="K1980" t="str">
        <f t="shared" si="61"/>
        <v>Positive</v>
      </c>
    </row>
    <row r="1981" spans="1:11" x14ac:dyDescent="0.2">
      <c r="A1981" t="s">
        <v>3962</v>
      </c>
      <c r="B1981" t="s">
        <v>3963</v>
      </c>
      <c r="C1981" t="s">
        <v>1103</v>
      </c>
      <c r="D1981" t="s">
        <v>2171</v>
      </c>
      <c r="E1981" t="s">
        <v>4</v>
      </c>
      <c r="F1981">
        <v>5</v>
      </c>
      <c r="G1981">
        <v>24</v>
      </c>
      <c r="H1981" t="s">
        <v>13</v>
      </c>
      <c r="I1981" t="b">
        <v>0</v>
      </c>
      <c r="J1981">
        <f t="shared" si="60"/>
        <v>10</v>
      </c>
      <c r="K1981" t="str">
        <f t="shared" si="61"/>
        <v>Positive</v>
      </c>
    </row>
    <row r="1982" spans="1:11" x14ac:dyDescent="0.2">
      <c r="A1982" t="s">
        <v>217</v>
      </c>
      <c r="B1982" t="s">
        <v>218</v>
      </c>
      <c r="C1982" t="s">
        <v>219</v>
      </c>
      <c r="D1982" t="s">
        <v>220</v>
      </c>
      <c r="E1982" t="s">
        <v>4</v>
      </c>
      <c r="F1982">
        <v>61</v>
      </c>
      <c r="G1982">
        <v>121</v>
      </c>
      <c r="H1982" t="s">
        <v>13</v>
      </c>
      <c r="I1982" t="b">
        <v>0</v>
      </c>
      <c r="J1982">
        <f t="shared" si="60"/>
        <v>0</v>
      </c>
      <c r="K1982" t="str">
        <f t="shared" si="61"/>
        <v>Neutral</v>
      </c>
    </row>
    <row r="1983" spans="1:11" x14ac:dyDescent="0.2">
      <c r="A1983" t="s">
        <v>4720</v>
      </c>
      <c r="B1983" t="s">
        <v>4721</v>
      </c>
      <c r="C1983" t="s">
        <v>4722</v>
      </c>
      <c r="D1983" t="s">
        <v>3818</v>
      </c>
      <c r="E1983" t="s">
        <v>4</v>
      </c>
      <c r="F1983">
        <v>90</v>
      </c>
      <c r="G1983">
        <v>444</v>
      </c>
      <c r="H1983" t="s">
        <v>13</v>
      </c>
      <c r="I1983" t="b">
        <v>0</v>
      </c>
      <c r="J1983">
        <f t="shared" si="60"/>
        <v>10</v>
      </c>
      <c r="K1983" t="str">
        <f t="shared" si="61"/>
        <v>Positive</v>
      </c>
    </row>
    <row r="1984" spans="1:11" x14ac:dyDescent="0.2">
      <c r="A1984" t="s">
        <v>6092</v>
      </c>
      <c r="B1984" t="s">
        <v>6093</v>
      </c>
      <c r="C1984" t="s">
        <v>1291</v>
      </c>
      <c r="D1984" t="s">
        <v>6094</v>
      </c>
      <c r="E1984" t="s">
        <v>4</v>
      </c>
      <c r="F1984">
        <v>118</v>
      </c>
      <c r="G1984">
        <v>180</v>
      </c>
      <c r="H1984" t="s">
        <v>13</v>
      </c>
      <c r="I1984" t="b">
        <v>0</v>
      </c>
      <c r="J1984">
        <f t="shared" si="60"/>
        <v>0</v>
      </c>
      <c r="K1984" t="str">
        <f t="shared" si="61"/>
        <v>Neutral</v>
      </c>
    </row>
    <row r="1985" spans="1:11" x14ac:dyDescent="0.2">
      <c r="A1985" t="s">
        <v>1926</v>
      </c>
      <c r="B1985" t="s">
        <v>1927</v>
      </c>
      <c r="C1985" t="s">
        <v>1928</v>
      </c>
      <c r="D1985" t="s">
        <v>3</v>
      </c>
      <c r="E1985" t="s">
        <v>4</v>
      </c>
      <c r="F1985">
        <v>5841</v>
      </c>
      <c r="G1985">
        <v>5841</v>
      </c>
      <c r="H1985" t="s">
        <v>5</v>
      </c>
      <c r="I1985" t="b">
        <v>0</v>
      </c>
      <c r="J1985">
        <f t="shared" si="60"/>
        <v>0</v>
      </c>
      <c r="K1985" t="str">
        <f t="shared" si="61"/>
        <v>Neutral</v>
      </c>
    </row>
    <row r="1986" spans="1:11" x14ac:dyDescent="0.2">
      <c r="A1986" t="s">
        <v>507</v>
      </c>
      <c r="B1986" t="s">
        <v>508</v>
      </c>
      <c r="C1986" t="s">
        <v>509</v>
      </c>
      <c r="D1986" t="s">
        <v>510</v>
      </c>
      <c r="E1986" t="s">
        <v>4</v>
      </c>
      <c r="F1986">
        <v>95</v>
      </c>
      <c r="G1986">
        <v>285</v>
      </c>
      <c r="H1986" t="s">
        <v>13</v>
      </c>
      <c r="I1986" t="b">
        <v>0</v>
      </c>
      <c r="J1986">
        <f t="shared" si="60"/>
        <v>0</v>
      </c>
      <c r="K1986" t="str">
        <f t="shared" si="61"/>
        <v>Neutral</v>
      </c>
    </row>
    <row r="1987" spans="1:11" x14ac:dyDescent="0.2">
      <c r="A1987" t="s">
        <v>3467</v>
      </c>
      <c r="B1987" t="s">
        <v>3468</v>
      </c>
      <c r="C1987" t="s">
        <v>2091</v>
      </c>
      <c r="D1987" t="s">
        <v>3</v>
      </c>
      <c r="E1987" t="s">
        <v>4</v>
      </c>
      <c r="F1987">
        <v>85</v>
      </c>
      <c r="G1987">
        <v>14</v>
      </c>
      <c r="H1987" t="s">
        <v>13</v>
      </c>
      <c r="I1987" t="b">
        <v>0</v>
      </c>
      <c r="J1987">
        <f t="shared" ref="J1987:J2050" si="62">sentimentCalc(B1987)</f>
        <v>0</v>
      </c>
      <c r="K1987" t="str">
        <f t="shared" ref="K1987:K2050" si="63">sentimentCategory(J1987)</f>
        <v>Neutral</v>
      </c>
    </row>
    <row r="1988" spans="1:11" x14ac:dyDescent="0.2">
      <c r="A1988" t="s">
        <v>1581</v>
      </c>
      <c r="B1988" t="s">
        <v>1582</v>
      </c>
      <c r="C1988" t="s">
        <v>1583</v>
      </c>
      <c r="D1988" t="s">
        <v>3</v>
      </c>
      <c r="E1988" t="s">
        <v>4</v>
      </c>
      <c r="F1988">
        <v>57</v>
      </c>
      <c r="G1988">
        <v>108</v>
      </c>
      <c r="H1988" t="s">
        <v>1584</v>
      </c>
      <c r="I1988" t="b">
        <v>0</v>
      </c>
      <c r="J1988">
        <f t="shared" si="62"/>
        <v>0</v>
      </c>
      <c r="K1988" t="str">
        <f t="shared" si="63"/>
        <v>Neutral</v>
      </c>
    </row>
    <row r="1989" spans="1:11" x14ac:dyDescent="0.2">
      <c r="A1989" t="s">
        <v>1659</v>
      </c>
      <c r="B1989" t="s">
        <v>1660</v>
      </c>
      <c r="C1989" t="s">
        <v>1661</v>
      </c>
      <c r="D1989" t="s">
        <v>3</v>
      </c>
      <c r="E1989" t="s">
        <v>4</v>
      </c>
      <c r="F1989">
        <v>97</v>
      </c>
      <c r="G1989">
        <v>727</v>
      </c>
      <c r="H1989" t="s">
        <v>13</v>
      </c>
      <c r="I1989" t="b">
        <v>0</v>
      </c>
      <c r="J1989">
        <f t="shared" si="62"/>
        <v>0</v>
      </c>
      <c r="K1989" t="str">
        <f t="shared" si="63"/>
        <v>Neutral</v>
      </c>
    </row>
    <row r="1990" spans="1:11" x14ac:dyDescent="0.2">
      <c r="A1990" t="s">
        <v>968</v>
      </c>
      <c r="B1990" t="s">
        <v>969</v>
      </c>
      <c r="C1990" t="s">
        <v>568</v>
      </c>
      <c r="D1990" t="s">
        <v>3</v>
      </c>
      <c r="E1990" t="s">
        <v>4</v>
      </c>
      <c r="F1990">
        <v>7</v>
      </c>
      <c r="G1990">
        <v>78</v>
      </c>
      <c r="H1990" t="s">
        <v>13</v>
      </c>
      <c r="I1990" t="b">
        <v>0</v>
      </c>
      <c r="J1990">
        <f t="shared" si="62"/>
        <v>0</v>
      </c>
      <c r="K1990" t="str">
        <f t="shared" si="63"/>
        <v>Neutral</v>
      </c>
    </row>
    <row r="1991" spans="1:11" x14ac:dyDescent="0.2">
      <c r="A1991" t="s">
        <v>7077</v>
      </c>
      <c r="B1991" t="s">
        <v>7078</v>
      </c>
      <c r="C1991" t="s">
        <v>275</v>
      </c>
      <c r="D1991" t="s">
        <v>3574</v>
      </c>
      <c r="E1991" t="s">
        <v>4</v>
      </c>
      <c r="F1991">
        <v>3338</v>
      </c>
      <c r="G1991">
        <v>463</v>
      </c>
      <c r="H1991" t="s">
        <v>13</v>
      </c>
      <c r="I1991" t="b">
        <v>0</v>
      </c>
      <c r="J1991">
        <f t="shared" si="62"/>
        <v>0</v>
      </c>
      <c r="K1991" t="str">
        <f t="shared" si="63"/>
        <v>Neutral</v>
      </c>
    </row>
    <row r="1992" spans="1:11" x14ac:dyDescent="0.2">
      <c r="A1992" t="s">
        <v>3272</v>
      </c>
      <c r="B1992" t="s">
        <v>3273</v>
      </c>
      <c r="C1992" t="s">
        <v>3248</v>
      </c>
      <c r="D1992" t="s">
        <v>3274</v>
      </c>
      <c r="E1992" t="s">
        <v>4</v>
      </c>
      <c r="F1992">
        <v>5950</v>
      </c>
      <c r="G1992">
        <v>5955</v>
      </c>
      <c r="H1992" t="s">
        <v>13</v>
      </c>
      <c r="I1992" t="b">
        <v>0</v>
      </c>
      <c r="J1992">
        <f t="shared" si="62"/>
        <v>0</v>
      </c>
      <c r="K1992" t="str">
        <f t="shared" si="63"/>
        <v>Neutral</v>
      </c>
    </row>
    <row r="1993" spans="1:11" x14ac:dyDescent="0.2">
      <c r="A1993" t="s">
        <v>6273</v>
      </c>
      <c r="B1993" t="s">
        <v>6274</v>
      </c>
      <c r="C1993" t="s">
        <v>6275</v>
      </c>
      <c r="D1993" t="s">
        <v>1936</v>
      </c>
      <c r="E1993" t="s">
        <v>4</v>
      </c>
      <c r="F1993">
        <v>42</v>
      </c>
      <c r="G1993">
        <v>162</v>
      </c>
      <c r="H1993" t="s">
        <v>13</v>
      </c>
      <c r="I1993" t="b">
        <v>0</v>
      </c>
      <c r="J1993">
        <f t="shared" si="62"/>
        <v>0</v>
      </c>
      <c r="K1993" t="str">
        <f t="shared" si="63"/>
        <v>Neutral</v>
      </c>
    </row>
    <row r="1994" spans="1:11" x14ac:dyDescent="0.2">
      <c r="A1994" t="s">
        <v>7061</v>
      </c>
      <c r="B1994" t="s">
        <v>7062</v>
      </c>
      <c r="C1994" t="s">
        <v>7063</v>
      </c>
      <c r="D1994" t="s">
        <v>7064</v>
      </c>
      <c r="E1994" t="s">
        <v>4</v>
      </c>
      <c r="F1994">
        <v>64</v>
      </c>
      <c r="G1994">
        <v>110</v>
      </c>
      <c r="H1994" t="s">
        <v>13</v>
      </c>
      <c r="I1994" t="b">
        <v>0</v>
      </c>
      <c r="J1994">
        <f t="shared" si="62"/>
        <v>-20</v>
      </c>
      <c r="K1994" t="str">
        <f t="shared" si="63"/>
        <v>Negative</v>
      </c>
    </row>
    <row r="1995" spans="1:11" x14ac:dyDescent="0.2">
      <c r="A1995" t="s">
        <v>3987</v>
      </c>
      <c r="B1995" t="s">
        <v>3988</v>
      </c>
      <c r="C1995" t="s">
        <v>3989</v>
      </c>
      <c r="D1995" t="s">
        <v>491</v>
      </c>
      <c r="E1995" t="s">
        <v>4</v>
      </c>
      <c r="F1995">
        <v>857</v>
      </c>
      <c r="G1995">
        <v>906</v>
      </c>
      <c r="H1995" t="s">
        <v>13</v>
      </c>
      <c r="I1995" t="b">
        <v>0</v>
      </c>
      <c r="J1995">
        <f t="shared" si="62"/>
        <v>0</v>
      </c>
      <c r="K1995" t="str">
        <f t="shared" si="63"/>
        <v>Neutral</v>
      </c>
    </row>
    <row r="1996" spans="1:11" x14ac:dyDescent="0.2">
      <c r="A1996" t="s">
        <v>900</v>
      </c>
      <c r="B1996" t="s">
        <v>901</v>
      </c>
      <c r="C1996" t="s">
        <v>902</v>
      </c>
      <c r="D1996" t="s">
        <v>3</v>
      </c>
      <c r="E1996" t="s">
        <v>4</v>
      </c>
      <c r="F1996">
        <v>71</v>
      </c>
      <c r="G1996">
        <v>39</v>
      </c>
      <c r="H1996" t="s">
        <v>13</v>
      </c>
      <c r="I1996" t="b">
        <v>0</v>
      </c>
      <c r="J1996">
        <f t="shared" si="62"/>
        <v>0</v>
      </c>
      <c r="K1996" t="str">
        <f t="shared" si="63"/>
        <v>Neutral</v>
      </c>
    </row>
    <row r="1997" spans="1:11" x14ac:dyDescent="0.2">
      <c r="A1997" t="s">
        <v>5518</v>
      </c>
      <c r="B1997" t="s">
        <v>5519</v>
      </c>
      <c r="C1997" t="s">
        <v>323</v>
      </c>
      <c r="D1997" t="s">
        <v>5520</v>
      </c>
      <c r="E1997" t="s">
        <v>4</v>
      </c>
      <c r="F1997">
        <v>88</v>
      </c>
      <c r="G1997">
        <v>94</v>
      </c>
      <c r="H1997" t="s">
        <v>13</v>
      </c>
      <c r="I1997" t="b">
        <v>0</v>
      </c>
      <c r="J1997">
        <f t="shared" si="62"/>
        <v>0</v>
      </c>
      <c r="K1997" t="str">
        <f t="shared" si="63"/>
        <v>Neutral</v>
      </c>
    </row>
    <row r="1998" spans="1:11" x14ac:dyDescent="0.2">
      <c r="A1998" t="s">
        <v>6656</v>
      </c>
      <c r="B1998" t="s">
        <v>6657</v>
      </c>
      <c r="C1998" t="s">
        <v>6658</v>
      </c>
      <c r="D1998" t="s">
        <v>5146</v>
      </c>
      <c r="E1998" t="s">
        <v>4</v>
      </c>
      <c r="F1998">
        <v>302</v>
      </c>
      <c r="G1998">
        <v>383</v>
      </c>
      <c r="H1998" t="s">
        <v>13</v>
      </c>
      <c r="I1998" t="b">
        <v>0</v>
      </c>
      <c r="J1998">
        <f t="shared" si="62"/>
        <v>0</v>
      </c>
      <c r="K1998" t="str">
        <f t="shared" si="63"/>
        <v>Neutral</v>
      </c>
    </row>
    <row r="1999" spans="1:11" x14ac:dyDescent="0.2">
      <c r="A1999" t="s">
        <v>451</v>
      </c>
      <c r="B1999" t="s">
        <v>452</v>
      </c>
      <c r="C1999" t="s">
        <v>453</v>
      </c>
      <c r="D1999" t="s">
        <v>3</v>
      </c>
      <c r="E1999" t="s">
        <v>4</v>
      </c>
      <c r="F1999">
        <v>145</v>
      </c>
      <c r="G1999">
        <v>493</v>
      </c>
      <c r="H1999" t="s">
        <v>363</v>
      </c>
      <c r="I1999" t="b">
        <v>0</v>
      </c>
      <c r="J1999">
        <f t="shared" si="62"/>
        <v>0</v>
      </c>
      <c r="K1999" t="str">
        <f t="shared" si="63"/>
        <v>Neutral</v>
      </c>
    </row>
    <row r="2000" spans="1:11" x14ac:dyDescent="0.2">
      <c r="A2000" t="s">
        <v>3743</v>
      </c>
      <c r="B2000" t="s">
        <v>3744</v>
      </c>
      <c r="C2000" t="s">
        <v>406</v>
      </c>
      <c r="D2000" t="s">
        <v>3</v>
      </c>
      <c r="E2000" t="s">
        <v>4</v>
      </c>
      <c r="F2000">
        <v>340</v>
      </c>
      <c r="G2000">
        <v>115</v>
      </c>
      <c r="H2000" t="s">
        <v>13</v>
      </c>
      <c r="I2000" t="b">
        <v>0</v>
      </c>
      <c r="J2000">
        <f t="shared" si="62"/>
        <v>0</v>
      </c>
      <c r="K2000" t="str">
        <f t="shared" si="63"/>
        <v>Neutral</v>
      </c>
    </row>
    <row r="2001" spans="1:11" x14ac:dyDescent="0.2">
      <c r="A2001" t="s">
        <v>6665</v>
      </c>
      <c r="B2001" t="s">
        <v>6666</v>
      </c>
      <c r="C2001" t="s">
        <v>6667</v>
      </c>
      <c r="D2001" t="s">
        <v>6668</v>
      </c>
      <c r="E2001" t="s">
        <v>4</v>
      </c>
      <c r="F2001">
        <v>485</v>
      </c>
      <c r="G2001">
        <v>478</v>
      </c>
      <c r="H2001" t="s">
        <v>13</v>
      </c>
      <c r="I2001" t="b">
        <v>0</v>
      </c>
      <c r="J2001">
        <f t="shared" si="62"/>
        <v>0</v>
      </c>
      <c r="K2001" t="str">
        <f t="shared" si="63"/>
        <v>Neutral</v>
      </c>
    </row>
    <row r="2002" spans="1:11" x14ac:dyDescent="0.2">
      <c r="A2002" t="s">
        <v>976</v>
      </c>
      <c r="B2002" t="s">
        <v>977</v>
      </c>
      <c r="C2002" t="s">
        <v>978</v>
      </c>
      <c r="D2002" t="s">
        <v>491</v>
      </c>
      <c r="E2002" t="s">
        <v>4</v>
      </c>
      <c r="F2002">
        <v>714</v>
      </c>
      <c r="G2002">
        <v>2458</v>
      </c>
      <c r="H2002" t="s">
        <v>13</v>
      </c>
      <c r="I2002" t="b">
        <v>0</v>
      </c>
      <c r="J2002">
        <f t="shared" si="62"/>
        <v>0</v>
      </c>
      <c r="K2002" t="str">
        <f t="shared" si="63"/>
        <v>Neutral</v>
      </c>
    </row>
    <row r="2003" spans="1:11" x14ac:dyDescent="0.2">
      <c r="A2003" t="s">
        <v>202</v>
      </c>
      <c r="B2003" t="s">
        <v>203</v>
      </c>
      <c r="C2003" t="s">
        <v>204</v>
      </c>
      <c r="D2003" t="s">
        <v>205</v>
      </c>
      <c r="E2003" t="s">
        <v>4</v>
      </c>
      <c r="F2003">
        <v>147</v>
      </c>
      <c r="G2003">
        <v>335</v>
      </c>
      <c r="H2003" t="s">
        <v>13</v>
      </c>
      <c r="I2003" t="b">
        <v>0</v>
      </c>
      <c r="J2003">
        <f t="shared" si="62"/>
        <v>10</v>
      </c>
      <c r="K2003" t="str">
        <f t="shared" si="63"/>
        <v>Positive</v>
      </c>
    </row>
    <row r="2004" spans="1:11" x14ac:dyDescent="0.2">
      <c r="A2004" t="s">
        <v>2373</v>
      </c>
      <c r="B2004" t="s">
        <v>2374</v>
      </c>
      <c r="C2004" t="s">
        <v>2375</v>
      </c>
      <c r="D2004" t="s">
        <v>2376</v>
      </c>
      <c r="E2004" t="s">
        <v>4</v>
      </c>
      <c r="F2004">
        <v>73</v>
      </c>
      <c r="G2004">
        <v>113</v>
      </c>
      <c r="H2004" t="s">
        <v>13</v>
      </c>
      <c r="I2004" t="b">
        <v>0</v>
      </c>
      <c r="J2004">
        <f t="shared" si="62"/>
        <v>0</v>
      </c>
      <c r="K2004" t="str">
        <f t="shared" si="63"/>
        <v>Neutral</v>
      </c>
    </row>
    <row r="2005" spans="1:11" x14ac:dyDescent="0.2">
      <c r="A2005" t="s">
        <v>3218</v>
      </c>
      <c r="B2005" t="s">
        <v>3219</v>
      </c>
      <c r="C2005" t="s">
        <v>3220</v>
      </c>
      <c r="D2005" t="s">
        <v>3221</v>
      </c>
      <c r="E2005" t="s">
        <v>4</v>
      </c>
      <c r="F2005">
        <v>1259</v>
      </c>
      <c r="G2005">
        <v>726</v>
      </c>
      <c r="H2005" t="s">
        <v>76</v>
      </c>
      <c r="I2005" t="b">
        <v>0</v>
      </c>
      <c r="J2005">
        <f t="shared" si="62"/>
        <v>-10</v>
      </c>
      <c r="K2005" t="str">
        <f t="shared" si="63"/>
        <v>Negative</v>
      </c>
    </row>
    <row r="2006" spans="1:11" x14ac:dyDescent="0.2">
      <c r="A2006" t="s">
        <v>1326</v>
      </c>
      <c r="B2006" t="s">
        <v>1327</v>
      </c>
      <c r="C2006" t="s">
        <v>1328</v>
      </c>
      <c r="D2006" t="s">
        <v>3</v>
      </c>
      <c r="E2006" t="s">
        <v>4</v>
      </c>
      <c r="F2006">
        <v>50</v>
      </c>
      <c r="G2006">
        <v>45</v>
      </c>
      <c r="H2006" t="s">
        <v>13</v>
      </c>
      <c r="I2006" t="b">
        <v>0</v>
      </c>
      <c r="J2006">
        <f t="shared" si="62"/>
        <v>10</v>
      </c>
      <c r="K2006" t="str">
        <f t="shared" si="63"/>
        <v>Positive</v>
      </c>
    </row>
    <row r="2007" spans="1:11" x14ac:dyDescent="0.2">
      <c r="A2007" t="s">
        <v>666</v>
      </c>
      <c r="B2007" t="s">
        <v>667</v>
      </c>
      <c r="C2007" t="s">
        <v>185</v>
      </c>
      <c r="D2007" t="s">
        <v>668</v>
      </c>
      <c r="E2007" t="s">
        <v>38</v>
      </c>
      <c r="F2007">
        <v>46227</v>
      </c>
      <c r="G2007">
        <v>2125</v>
      </c>
      <c r="H2007" t="s">
        <v>13</v>
      </c>
      <c r="I2007" t="b">
        <v>0</v>
      </c>
      <c r="J2007">
        <f t="shared" si="62"/>
        <v>0</v>
      </c>
      <c r="K2007" t="str">
        <f t="shared" si="63"/>
        <v>Neutral</v>
      </c>
    </row>
    <row r="2008" spans="1:11" x14ac:dyDescent="0.2">
      <c r="A2008" t="s">
        <v>1945</v>
      </c>
      <c r="B2008" t="s">
        <v>1946</v>
      </c>
      <c r="C2008" t="s">
        <v>1947</v>
      </c>
      <c r="D2008" t="s">
        <v>1352</v>
      </c>
      <c r="E2008" t="s">
        <v>4</v>
      </c>
      <c r="F2008">
        <v>6738</v>
      </c>
      <c r="G2008">
        <v>7165</v>
      </c>
      <c r="H2008" t="s">
        <v>5</v>
      </c>
      <c r="I2008" t="b">
        <v>0</v>
      </c>
      <c r="J2008">
        <f t="shared" si="62"/>
        <v>10</v>
      </c>
      <c r="K2008" t="str">
        <f t="shared" si="63"/>
        <v>Positive</v>
      </c>
    </row>
    <row r="2009" spans="1:11" x14ac:dyDescent="0.2">
      <c r="A2009" t="s">
        <v>3825</v>
      </c>
      <c r="B2009" t="s">
        <v>3826</v>
      </c>
      <c r="C2009" t="s">
        <v>3076</v>
      </c>
      <c r="D2009" t="s">
        <v>64</v>
      </c>
      <c r="E2009" t="s">
        <v>4</v>
      </c>
      <c r="F2009">
        <v>31</v>
      </c>
      <c r="G2009">
        <v>116</v>
      </c>
      <c r="H2009" t="s">
        <v>13</v>
      </c>
      <c r="I2009" t="b">
        <v>0</v>
      </c>
      <c r="J2009">
        <f t="shared" si="62"/>
        <v>0</v>
      </c>
      <c r="K2009" t="str">
        <f t="shared" si="63"/>
        <v>Neutral</v>
      </c>
    </row>
    <row r="2010" spans="1:11" x14ac:dyDescent="0.2">
      <c r="A2010" t="s">
        <v>2965</v>
      </c>
      <c r="B2010" t="s">
        <v>2966</v>
      </c>
      <c r="C2010" t="s">
        <v>269</v>
      </c>
      <c r="D2010" t="s">
        <v>3</v>
      </c>
      <c r="E2010" t="s">
        <v>4</v>
      </c>
      <c r="F2010">
        <v>15</v>
      </c>
      <c r="G2010">
        <v>139</v>
      </c>
      <c r="H2010" t="s">
        <v>374</v>
      </c>
      <c r="I2010" t="b">
        <v>0</v>
      </c>
      <c r="J2010">
        <f t="shared" si="62"/>
        <v>0</v>
      </c>
      <c r="K2010" t="str">
        <f t="shared" si="63"/>
        <v>Neutral</v>
      </c>
    </row>
    <row r="2011" spans="1:11" x14ac:dyDescent="0.2">
      <c r="A2011" t="s">
        <v>4893</v>
      </c>
      <c r="B2011" t="s">
        <v>4894</v>
      </c>
      <c r="C2011" t="s">
        <v>4895</v>
      </c>
      <c r="D2011" t="s">
        <v>3</v>
      </c>
      <c r="E2011" t="s">
        <v>4</v>
      </c>
      <c r="F2011">
        <v>1061</v>
      </c>
      <c r="G2011">
        <v>792</v>
      </c>
      <c r="H2011" t="s">
        <v>13</v>
      </c>
      <c r="I2011" t="b">
        <v>0</v>
      </c>
      <c r="J2011">
        <f t="shared" si="62"/>
        <v>0</v>
      </c>
      <c r="K2011" t="str">
        <f t="shared" si="63"/>
        <v>Neutral</v>
      </c>
    </row>
    <row r="2012" spans="1:11" x14ac:dyDescent="0.2">
      <c r="A2012" t="s">
        <v>0</v>
      </c>
      <c r="B2012" t="s">
        <v>1</v>
      </c>
      <c r="C2012" t="s">
        <v>2</v>
      </c>
      <c r="D2012" t="s">
        <v>3</v>
      </c>
      <c r="E2012" t="s">
        <v>4</v>
      </c>
      <c r="F2012">
        <v>1597</v>
      </c>
      <c r="G2012">
        <v>17</v>
      </c>
      <c r="H2012" t="s">
        <v>5</v>
      </c>
      <c r="I2012" t="b">
        <v>0</v>
      </c>
      <c r="J2012">
        <f t="shared" si="62"/>
        <v>10</v>
      </c>
      <c r="K2012" t="str">
        <f t="shared" si="63"/>
        <v>Positive</v>
      </c>
    </row>
    <row r="2013" spans="1:11" x14ac:dyDescent="0.2">
      <c r="A2013" t="s">
        <v>1949</v>
      </c>
      <c r="B2013" t="s">
        <v>1950</v>
      </c>
      <c r="C2013" t="s">
        <v>1951</v>
      </c>
      <c r="D2013" t="s">
        <v>3</v>
      </c>
      <c r="E2013" t="s">
        <v>4</v>
      </c>
      <c r="F2013">
        <v>178</v>
      </c>
      <c r="G2013">
        <v>814</v>
      </c>
      <c r="H2013" t="s">
        <v>13</v>
      </c>
      <c r="I2013" t="b">
        <v>0</v>
      </c>
      <c r="J2013">
        <f t="shared" si="62"/>
        <v>0</v>
      </c>
      <c r="K2013" t="str">
        <f t="shared" si="63"/>
        <v>Neutral</v>
      </c>
    </row>
    <row r="2014" spans="1:11" x14ac:dyDescent="0.2">
      <c r="A2014" t="s">
        <v>18</v>
      </c>
      <c r="B2014" t="s">
        <v>19</v>
      </c>
      <c r="C2014" t="s">
        <v>20</v>
      </c>
      <c r="D2014" t="s">
        <v>21</v>
      </c>
      <c r="E2014" t="s">
        <v>4</v>
      </c>
      <c r="F2014">
        <v>1164</v>
      </c>
      <c r="G2014">
        <v>1998</v>
      </c>
      <c r="H2014" t="s">
        <v>13</v>
      </c>
      <c r="I2014" t="b">
        <v>0</v>
      </c>
      <c r="J2014">
        <f t="shared" si="62"/>
        <v>0</v>
      </c>
      <c r="K2014" t="str">
        <f t="shared" si="63"/>
        <v>Neutral</v>
      </c>
    </row>
    <row r="2015" spans="1:11" x14ac:dyDescent="0.2">
      <c r="A2015" t="s">
        <v>5578</v>
      </c>
      <c r="B2015" t="s">
        <v>5579</v>
      </c>
      <c r="C2015" t="s">
        <v>4605</v>
      </c>
      <c r="D2015" t="s">
        <v>5580</v>
      </c>
      <c r="E2015" t="s">
        <v>4</v>
      </c>
      <c r="F2015">
        <v>517</v>
      </c>
      <c r="G2015">
        <v>850</v>
      </c>
      <c r="H2015" t="s">
        <v>13</v>
      </c>
      <c r="I2015" t="b">
        <v>0</v>
      </c>
      <c r="J2015">
        <f t="shared" si="62"/>
        <v>10</v>
      </c>
      <c r="K2015" t="str">
        <f t="shared" si="63"/>
        <v>Positive</v>
      </c>
    </row>
    <row r="2016" spans="1:11" x14ac:dyDescent="0.2">
      <c r="A2016" t="s">
        <v>5627</v>
      </c>
      <c r="B2016" t="s">
        <v>5628</v>
      </c>
      <c r="C2016" t="s">
        <v>588</v>
      </c>
      <c r="D2016" t="s">
        <v>3</v>
      </c>
      <c r="E2016" t="s">
        <v>4</v>
      </c>
      <c r="F2016">
        <v>8724</v>
      </c>
      <c r="G2016">
        <v>268</v>
      </c>
      <c r="H2016" t="s">
        <v>13</v>
      </c>
      <c r="I2016" t="b">
        <v>0</v>
      </c>
      <c r="J2016">
        <f t="shared" si="62"/>
        <v>0</v>
      </c>
      <c r="K2016" t="str">
        <f t="shared" si="63"/>
        <v>Neutral</v>
      </c>
    </row>
    <row r="2017" spans="1:11" x14ac:dyDescent="0.2">
      <c r="A2017" t="s">
        <v>4454</v>
      </c>
      <c r="B2017" t="s">
        <v>4455</v>
      </c>
      <c r="C2017" t="s">
        <v>4456</v>
      </c>
      <c r="D2017" t="s">
        <v>4457</v>
      </c>
      <c r="E2017" t="s">
        <v>4</v>
      </c>
      <c r="F2017">
        <v>2685</v>
      </c>
      <c r="G2017">
        <v>1091</v>
      </c>
      <c r="H2017" t="s">
        <v>13</v>
      </c>
      <c r="I2017" t="b">
        <v>0</v>
      </c>
      <c r="J2017">
        <f t="shared" si="62"/>
        <v>0</v>
      </c>
      <c r="K2017" t="str">
        <f t="shared" si="63"/>
        <v>Neutral</v>
      </c>
    </row>
    <row r="2018" spans="1:11" x14ac:dyDescent="0.2">
      <c r="A2018" t="s">
        <v>4336</v>
      </c>
      <c r="B2018" t="s">
        <v>4337</v>
      </c>
      <c r="C2018" t="s">
        <v>1568</v>
      </c>
      <c r="D2018" t="s">
        <v>4338</v>
      </c>
      <c r="E2018" t="s">
        <v>4</v>
      </c>
      <c r="F2018">
        <v>21</v>
      </c>
      <c r="G2018">
        <v>132</v>
      </c>
      <c r="H2018" t="s">
        <v>13</v>
      </c>
      <c r="I2018" t="b">
        <v>0</v>
      </c>
      <c r="J2018">
        <f t="shared" si="62"/>
        <v>0</v>
      </c>
      <c r="K2018" t="str">
        <f t="shared" si="63"/>
        <v>Neutral</v>
      </c>
    </row>
    <row r="2019" spans="1:11" x14ac:dyDescent="0.2">
      <c r="A2019" t="s">
        <v>6515</v>
      </c>
      <c r="B2019" t="s">
        <v>6516</v>
      </c>
      <c r="C2019" t="s">
        <v>2558</v>
      </c>
      <c r="D2019" t="s">
        <v>3</v>
      </c>
      <c r="E2019" t="s">
        <v>4</v>
      </c>
      <c r="F2019">
        <v>38</v>
      </c>
      <c r="G2019">
        <v>274</v>
      </c>
      <c r="H2019" t="s">
        <v>867</v>
      </c>
      <c r="I2019" t="b">
        <v>0</v>
      </c>
      <c r="J2019">
        <f t="shared" si="62"/>
        <v>0</v>
      </c>
      <c r="K2019" t="str">
        <f t="shared" si="63"/>
        <v>Neutral</v>
      </c>
    </row>
    <row r="2020" spans="1:11" x14ac:dyDescent="0.2">
      <c r="A2020" t="s">
        <v>3922</v>
      </c>
      <c r="B2020" t="s">
        <v>3923</v>
      </c>
      <c r="C2020" t="s">
        <v>248</v>
      </c>
      <c r="D2020" t="s">
        <v>3924</v>
      </c>
      <c r="E2020" t="s">
        <v>4</v>
      </c>
      <c r="F2020">
        <v>139</v>
      </c>
      <c r="G2020">
        <v>447</v>
      </c>
      <c r="H2020" t="s">
        <v>342</v>
      </c>
      <c r="I2020" t="b">
        <v>0</v>
      </c>
      <c r="J2020">
        <f t="shared" si="62"/>
        <v>10</v>
      </c>
      <c r="K2020" t="str">
        <f t="shared" si="63"/>
        <v>Positive</v>
      </c>
    </row>
    <row r="2021" spans="1:11" x14ac:dyDescent="0.2">
      <c r="A2021" t="s">
        <v>3807</v>
      </c>
      <c r="B2021" t="s">
        <v>3808</v>
      </c>
      <c r="C2021" t="s">
        <v>3809</v>
      </c>
      <c r="D2021" t="s">
        <v>3</v>
      </c>
      <c r="E2021" t="s">
        <v>4</v>
      </c>
      <c r="F2021">
        <v>500</v>
      </c>
      <c r="G2021">
        <v>510</v>
      </c>
      <c r="H2021" t="s">
        <v>13</v>
      </c>
      <c r="I2021" t="b">
        <v>0</v>
      </c>
      <c r="J2021">
        <f t="shared" si="62"/>
        <v>10</v>
      </c>
      <c r="K2021" t="str">
        <f t="shared" si="63"/>
        <v>Positive</v>
      </c>
    </row>
    <row r="2022" spans="1:11" x14ac:dyDescent="0.2">
      <c r="A2022" t="s">
        <v>5964</v>
      </c>
      <c r="B2022" t="s">
        <v>5965</v>
      </c>
      <c r="C2022" t="s">
        <v>5966</v>
      </c>
      <c r="D2022" t="s">
        <v>5967</v>
      </c>
      <c r="E2022" t="s">
        <v>4</v>
      </c>
      <c r="F2022">
        <v>58</v>
      </c>
      <c r="G2022">
        <v>32</v>
      </c>
      <c r="H2022" t="s">
        <v>13</v>
      </c>
      <c r="I2022" t="b">
        <v>0</v>
      </c>
      <c r="J2022">
        <f t="shared" si="62"/>
        <v>0</v>
      </c>
      <c r="K2022" t="str">
        <f t="shared" si="63"/>
        <v>Neutral</v>
      </c>
    </row>
    <row r="2023" spans="1:11" x14ac:dyDescent="0.2">
      <c r="A2023" t="s">
        <v>1780</v>
      </c>
      <c r="B2023" t="s">
        <v>1781</v>
      </c>
      <c r="C2023" t="s">
        <v>293</v>
      </c>
      <c r="D2023" t="s">
        <v>3</v>
      </c>
      <c r="E2023" t="s">
        <v>4</v>
      </c>
      <c r="F2023">
        <v>3633</v>
      </c>
      <c r="G2023">
        <v>3731</v>
      </c>
      <c r="H2023" t="s">
        <v>13</v>
      </c>
      <c r="I2023" t="b">
        <v>0</v>
      </c>
      <c r="J2023">
        <f t="shared" si="62"/>
        <v>0</v>
      </c>
      <c r="K2023" t="str">
        <f t="shared" si="63"/>
        <v>Neutral</v>
      </c>
    </row>
    <row r="2024" spans="1:11" x14ac:dyDescent="0.2">
      <c r="A2024" t="s">
        <v>3603</v>
      </c>
      <c r="B2024" t="s">
        <v>3604</v>
      </c>
      <c r="C2024" t="s">
        <v>279</v>
      </c>
      <c r="D2024" t="s">
        <v>3605</v>
      </c>
      <c r="E2024" t="s">
        <v>4</v>
      </c>
      <c r="F2024">
        <v>1</v>
      </c>
      <c r="G2024">
        <v>9</v>
      </c>
      <c r="H2024" t="s">
        <v>13</v>
      </c>
      <c r="I2024" t="b">
        <v>0</v>
      </c>
      <c r="J2024">
        <f t="shared" si="62"/>
        <v>0</v>
      </c>
      <c r="K2024" t="str">
        <f t="shared" si="63"/>
        <v>Neutral</v>
      </c>
    </row>
    <row r="2025" spans="1:11" x14ac:dyDescent="0.2">
      <c r="A2025" t="s">
        <v>4179</v>
      </c>
      <c r="B2025" t="s">
        <v>4180</v>
      </c>
      <c r="C2025" t="s">
        <v>2490</v>
      </c>
      <c r="D2025" t="s">
        <v>4181</v>
      </c>
      <c r="E2025" t="s">
        <v>38</v>
      </c>
      <c r="F2025">
        <v>26488</v>
      </c>
      <c r="G2025">
        <v>4858</v>
      </c>
      <c r="H2025" t="s">
        <v>13</v>
      </c>
      <c r="I2025" t="b">
        <v>0</v>
      </c>
      <c r="J2025">
        <f t="shared" si="62"/>
        <v>0</v>
      </c>
      <c r="K2025" t="str">
        <f t="shared" si="63"/>
        <v>Neutral</v>
      </c>
    </row>
    <row r="2026" spans="1:11" x14ac:dyDescent="0.2">
      <c r="A2026" t="s">
        <v>4216</v>
      </c>
      <c r="B2026" t="s">
        <v>4217</v>
      </c>
      <c r="C2026" t="s">
        <v>4218</v>
      </c>
      <c r="D2026" t="s">
        <v>4219</v>
      </c>
      <c r="E2026" t="s">
        <v>4</v>
      </c>
      <c r="F2026">
        <v>9</v>
      </c>
      <c r="G2026">
        <v>47</v>
      </c>
      <c r="H2026" t="s">
        <v>13</v>
      </c>
      <c r="I2026" t="b">
        <v>0</v>
      </c>
      <c r="J2026">
        <f t="shared" si="62"/>
        <v>0</v>
      </c>
      <c r="K2026" t="str">
        <f t="shared" si="63"/>
        <v>Neutral</v>
      </c>
    </row>
    <row r="2027" spans="1:11" x14ac:dyDescent="0.2">
      <c r="A2027" t="s">
        <v>6980</v>
      </c>
      <c r="B2027" t="s">
        <v>6981</v>
      </c>
      <c r="C2027" t="s">
        <v>1230</v>
      </c>
      <c r="D2027" t="s">
        <v>6936</v>
      </c>
      <c r="E2027" t="s">
        <v>4</v>
      </c>
      <c r="F2027">
        <v>485</v>
      </c>
      <c r="G2027">
        <v>1409</v>
      </c>
      <c r="H2027" t="s">
        <v>13</v>
      </c>
      <c r="I2027" t="b">
        <v>0</v>
      </c>
      <c r="J2027">
        <f t="shared" si="62"/>
        <v>0</v>
      </c>
      <c r="K2027" t="str">
        <f t="shared" si="63"/>
        <v>Neutral</v>
      </c>
    </row>
    <row r="2028" spans="1:11" x14ac:dyDescent="0.2">
      <c r="A2028" t="s">
        <v>6556</v>
      </c>
      <c r="B2028" t="s">
        <v>6557</v>
      </c>
      <c r="C2028" t="s">
        <v>996</v>
      </c>
      <c r="D2028" t="s">
        <v>1077</v>
      </c>
      <c r="E2028" t="s">
        <v>4</v>
      </c>
      <c r="F2028">
        <v>28369</v>
      </c>
      <c r="G2028">
        <v>186</v>
      </c>
      <c r="H2028" t="s">
        <v>13</v>
      </c>
      <c r="I2028" t="b">
        <v>0</v>
      </c>
      <c r="J2028">
        <f t="shared" si="62"/>
        <v>0</v>
      </c>
      <c r="K2028" t="str">
        <f t="shared" si="63"/>
        <v>Neutral</v>
      </c>
    </row>
    <row r="2029" spans="1:11" x14ac:dyDescent="0.2">
      <c r="A2029" t="s">
        <v>4625</v>
      </c>
      <c r="B2029" t="s">
        <v>4626</v>
      </c>
      <c r="C2029" t="s">
        <v>712</v>
      </c>
      <c r="D2029" t="s">
        <v>64</v>
      </c>
      <c r="E2029" t="s">
        <v>4</v>
      </c>
      <c r="F2029">
        <v>1944</v>
      </c>
      <c r="G2029">
        <v>2200</v>
      </c>
      <c r="H2029" t="s">
        <v>13</v>
      </c>
      <c r="I2029" t="b">
        <v>0</v>
      </c>
      <c r="J2029">
        <f t="shared" si="62"/>
        <v>0</v>
      </c>
      <c r="K2029" t="str">
        <f t="shared" si="63"/>
        <v>Neutral</v>
      </c>
    </row>
    <row r="2030" spans="1:11" x14ac:dyDescent="0.2">
      <c r="A2030" t="s">
        <v>6305</v>
      </c>
      <c r="B2030" t="s">
        <v>6306</v>
      </c>
      <c r="C2030" t="s">
        <v>28</v>
      </c>
      <c r="D2030" t="s">
        <v>3</v>
      </c>
      <c r="E2030" t="s">
        <v>4</v>
      </c>
      <c r="F2030">
        <v>92</v>
      </c>
      <c r="G2030">
        <v>161</v>
      </c>
      <c r="H2030" t="s">
        <v>86</v>
      </c>
      <c r="I2030" t="b">
        <v>0</v>
      </c>
      <c r="J2030">
        <f t="shared" si="62"/>
        <v>0</v>
      </c>
      <c r="K2030" t="str">
        <f t="shared" si="63"/>
        <v>Neutral</v>
      </c>
    </row>
    <row r="2031" spans="1:11" x14ac:dyDescent="0.2">
      <c r="A2031" t="s">
        <v>2847</v>
      </c>
      <c r="B2031" t="s">
        <v>2848</v>
      </c>
      <c r="C2031" t="s">
        <v>2604</v>
      </c>
      <c r="D2031" t="s">
        <v>2605</v>
      </c>
      <c r="E2031" t="s">
        <v>4</v>
      </c>
      <c r="F2031">
        <v>504</v>
      </c>
      <c r="G2031">
        <v>673</v>
      </c>
      <c r="H2031" t="s">
        <v>50</v>
      </c>
      <c r="I2031" t="b">
        <v>0</v>
      </c>
      <c r="J2031">
        <f t="shared" si="62"/>
        <v>0</v>
      </c>
      <c r="K2031" t="str">
        <f t="shared" si="63"/>
        <v>Neutral</v>
      </c>
    </row>
    <row r="2032" spans="1:11" x14ac:dyDescent="0.2">
      <c r="A2032" t="s">
        <v>4096</v>
      </c>
      <c r="B2032" t="s">
        <v>4097</v>
      </c>
      <c r="C2032" t="s">
        <v>902</v>
      </c>
      <c r="D2032" t="s">
        <v>3</v>
      </c>
      <c r="E2032" t="s">
        <v>4</v>
      </c>
      <c r="F2032">
        <v>9</v>
      </c>
      <c r="G2032">
        <v>43</v>
      </c>
      <c r="H2032" t="s">
        <v>13</v>
      </c>
      <c r="I2032" t="b">
        <v>0</v>
      </c>
      <c r="J2032">
        <f t="shared" si="62"/>
        <v>0</v>
      </c>
      <c r="K2032" t="str">
        <f t="shared" si="63"/>
        <v>Neutral</v>
      </c>
    </row>
    <row r="2033" spans="1:11" x14ac:dyDescent="0.2">
      <c r="A2033" t="s">
        <v>2466</v>
      </c>
      <c r="B2033" t="s">
        <v>2467</v>
      </c>
      <c r="C2033" t="s">
        <v>1162</v>
      </c>
      <c r="D2033" t="s">
        <v>3</v>
      </c>
      <c r="E2033" t="s">
        <v>4</v>
      </c>
      <c r="F2033">
        <v>270</v>
      </c>
      <c r="G2033">
        <v>96</v>
      </c>
      <c r="H2033" t="s">
        <v>645</v>
      </c>
      <c r="I2033" t="b">
        <v>0</v>
      </c>
      <c r="J2033">
        <f t="shared" si="62"/>
        <v>0</v>
      </c>
      <c r="K2033" t="str">
        <f t="shared" si="63"/>
        <v>Neutral</v>
      </c>
    </row>
    <row r="2034" spans="1:11" x14ac:dyDescent="0.2">
      <c r="A2034" t="s">
        <v>6762</v>
      </c>
      <c r="B2034" t="s">
        <v>6765</v>
      </c>
      <c r="C2034" t="s">
        <v>6766</v>
      </c>
      <c r="D2034" t="s">
        <v>3</v>
      </c>
      <c r="E2034" t="s">
        <v>4</v>
      </c>
      <c r="F2034">
        <v>57</v>
      </c>
      <c r="G2034">
        <v>41</v>
      </c>
      <c r="H2034" t="s">
        <v>13</v>
      </c>
      <c r="I2034" t="b">
        <v>0</v>
      </c>
      <c r="J2034">
        <f t="shared" si="62"/>
        <v>0</v>
      </c>
      <c r="K2034" t="str">
        <f t="shared" si="63"/>
        <v>Neutral</v>
      </c>
    </row>
    <row r="2035" spans="1:11" x14ac:dyDescent="0.2">
      <c r="A2035" t="s">
        <v>4101</v>
      </c>
      <c r="B2035" t="s">
        <v>4103</v>
      </c>
      <c r="C2035" t="s">
        <v>4104</v>
      </c>
      <c r="D2035" t="s">
        <v>4105</v>
      </c>
      <c r="E2035" t="s">
        <v>4</v>
      </c>
      <c r="F2035">
        <v>1840</v>
      </c>
      <c r="G2035">
        <v>1255</v>
      </c>
      <c r="H2035" t="s">
        <v>13</v>
      </c>
      <c r="I2035" t="b">
        <v>0</v>
      </c>
      <c r="J2035">
        <f t="shared" si="62"/>
        <v>0</v>
      </c>
      <c r="K2035" t="str">
        <f t="shared" si="63"/>
        <v>Neutral</v>
      </c>
    </row>
    <row r="2036" spans="1:11" x14ac:dyDescent="0.2">
      <c r="A2036" t="s">
        <v>3599</v>
      </c>
      <c r="B2036" t="s">
        <v>3600</v>
      </c>
      <c r="C2036" t="s">
        <v>3601</v>
      </c>
      <c r="D2036" t="s">
        <v>3602</v>
      </c>
      <c r="E2036" t="s">
        <v>4</v>
      </c>
      <c r="F2036">
        <v>527</v>
      </c>
      <c r="G2036">
        <v>274</v>
      </c>
      <c r="H2036" t="s">
        <v>13</v>
      </c>
      <c r="I2036" t="b">
        <v>0</v>
      </c>
      <c r="J2036">
        <f t="shared" si="62"/>
        <v>0</v>
      </c>
      <c r="K2036" t="str">
        <f t="shared" si="63"/>
        <v>Neutral</v>
      </c>
    </row>
    <row r="2037" spans="1:11" x14ac:dyDescent="0.2">
      <c r="A2037" t="s">
        <v>6995</v>
      </c>
      <c r="B2037" t="s">
        <v>6996</v>
      </c>
      <c r="C2037" t="s">
        <v>1568</v>
      </c>
      <c r="D2037" t="s">
        <v>4338</v>
      </c>
      <c r="E2037" t="s">
        <v>4</v>
      </c>
      <c r="F2037">
        <v>21</v>
      </c>
      <c r="G2037">
        <v>130</v>
      </c>
      <c r="H2037" t="s">
        <v>13</v>
      </c>
      <c r="I2037" t="b">
        <v>0</v>
      </c>
      <c r="J2037">
        <f t="shared" si="62"/>
        <v>0</v>
      </c>
      <c r="K2037" t="str">
        <f t="shared" si="63"/>
        <v>Neutral</v>
      </c>
    </row>
    <row r="2038" spans="1:11" x14ac:dyDescent="0.2">
      <c r="A2038" t="s">
        <v>1802</v>
      </c>
      <c r="B2038" t="s">
        <v>1803</v>
      </c>
      <c r="C2038" t="s">
        <v>85</v>
      </c>
      <c r="D2038" t="s">
        <v>3</v>
      </c>
      <c r="E2038" t="s">
        <v>4</v>
      </c>
      <c r="F2038">
        <v>4</v>
      </c>
      <c r="G2038">
        <v>58</v>
      </c>
      <c r="H2038" t="s">
        <v>13</v>
      </c>
      <c r="I2038" t="b">
        <v>0</v>
      </c>
      <c r="J2038">
        <f t="shared" si="62"/>
        <v>0</v>
      </c>
      <c r="K2038" t="str">
        <f t="shared" si="63"/>
        <v>Neutral</v>
      </c>
    </row>
    <row r="2039" spans="1:11" x14ac:dyDescent="0.2">
      <c r="A2039" t="s">
        <v>949</v>
      </c>
      <c r="B2039" t="s">
        <v>950</v>
      </c>
      <c r="C2039" t="s">
        <v>821</v>
      </c>
      <c r="D2039" t="s">
        <v>182</v>
      </c>
      <c r="E2039" t="s">
        <v>4</v>
      </c>
      <c r="F2039">
        <v>691</v>
      </c>
      <c r="G2039">
        <v>1513</v>
      </c>
      <c r="H2039" t="s">
        <v>13</v>
      </c>
      <c r="I2039" t="b">
        <v>0</v>
      </c>
      <c r="J2039">
        <f t="shared" si="62"/>
        <v>10</v>
      </c>
      <c r="K2039" t="str">
        <f t="shared" si="63"/>
        <v>Positive</v>
      </c>
    </row>
    <row r="2040" spans="1:11" x14ac:dyDescent="0.2">
      <c r="A2040" t="s">
        <v>7211</v>
      </c>
      <c r="B2040" t="s">
        <v>7212</v>
      </c>
      <c r="C2040" t="s">
        <v>147</v>
      </c>
      <c r="D2040" t="s">
        <v>2808</v>
      </c>
      <c r="E2040" t="s">
        <v>4</v>
      </c>
      <c r="F2040">
        <v>227</v>
      </c>
      <c r="G2040">
        <v>219</v>
      </c>
      <c r="H2040" t="s">
        <v>13</v>
      </c>
      <c r="I2040" t="b">
        <v>0</v>
      </c>
      <c r="J2040">
        <f t="shared" si="62"/>
        <v>0</v>
      </c>
      <c r="K2040" t="str">
        <f t="shared" si="63"/>
        <v>Neutral</v>
      </c>
    </row>
    <row r="2041" spans="1:11" x14ac:dyDescent="0.2">
      <c r="A2041" t="s">
        <v>6963</v>
      </c>
      <c r="B2041" t="s">
        <v>6964</v>
      </c>
      <c r="C2041" t="s">
        <v>1906</v>
      </c>
      <c r="D2041" t="s">
        <v>6965</v>
      </c>
      <c r="E2041" t="s">
        <v>4</v>
      </c>
      <c r="F2041">
        <v>257</v>
      </c>
      <c r="G2041">
        <v>524</v>
      </c>
      <c r="H2041" t="s">
        <v>13</v>
      </c>
      <c r="I2041" t="b">
        <v>0</v>
      </c>
      <c r="J2041">
        <f t="shared" si="62"/>
        <v>0</v>
      </c>
      <c r="K2041" t="str">
        <f t="shared" si="63"/>
        <v>Neutral</v>
      </c>
    </row>
    <row r="2042" spans="1:11" x14ac:dyDescent="0.2">
      <c r="A2042" t="s">
        <v>6018</v>
      </c>
      <c r="B2042" t="s">
        <v>6019</v>
      </c>
      <c r="C2042" t="s">
        <v>1193</v>
      </c>
      <c r="D2042" t="s">
        <v>1194</v>
      </c>
      <c r="E2042" t="s">
        <v>4</v>
      </c>
      <c r="F2042">
        <v>7990</v>
      </c>
      <c r="G2042">
        <v>410</v>
      </c>
      <c r="H2042" t="s">
        <v>13</v>
      </c>
      <c r="I2042" t="b">
        <v>0</v>
      </c>
      <c r="J2042">
        <f t="shared" si="62"/>
        <v>0</v>
      </c>
      <c r="K2042" t="str">
        <f t="shared" si="63"/>
        <v>Neutral</v>
      </c>
    </row>
    <row r="2043" spans="1:11" x14ac:dyDescent="0.2">
      <c r="A2043" t="s">
        <v>632</v>
      </c>
      <c r="B2043" t="s">
        <v>633</v>
      </c>
      <c r="C2043" t="s">
        <v>634</v>
      </c>
      <c r="D2043" t="s">
        <v>3</v>
      </c>
      <c r="E2043" t="s">
        <v>4</v>
      </c>
      <c r="F2043">
        <v>192</v>
      </c>
      <c r="G2043">
        <v>28</v>
      </c>
      <c r="H2043" t="s">
        <v>13</v>
      </c>
      <c r="I2043" t="b">
        <v>0</v>
      </c>
      <c r="J2043">
        <f t="shared" si="62"/>
        <v>0</v>
      </c>
      <c r="K2043" t="str">
        <f t="shared" si="63"/>
        <v>Neutral</v>
      </c>
    </row>
    <row r="2044" spans="1:11" x14ac:dyDescent="0.2">
      <c r="A2044" t="s">
        <v>6806</v>
      </c>
      <c r="B2044" t="s">
        <v>6807</v>
      </c>
      <c r="C2044" t="s">
        <v>6808</v>
      </c>
      <c r="D2044" t="s">
        <v>3</v>
      </c>
      <c r="E2044" t="s">
        <v>4</v>
      </c>
      <c r="F2044">
        <v>101</v>
      </c>
      <c r="G2044">
        <v>198</v>
      </c>
      <c r="H2044" t="s">
        <v>13</v>
      </c>
      <c r="I2044" t="b">
        <v>0</v>
      </c>
      <c r="J2044">
        <f t="shared" si="62"/>
        <v>10</v>
      </c>
      <c r="K2044" t="str">
        <f t="shared" si="63"/>
        <v>Positive</v>
      </c>
    </row>
    <row r="2045" spans="1:11" x14ac:dyDescent="0.2">
      <c r="A2045" t="s">
        <v>2479</v>
      </c>
      <c r="B2045" t="s">
        <v>2480</v>
      </c>
      <c r="C2045" t="s">
        <v>1828</v>
      </c>
      <c r="D2045" t="s">
        <v>64</v>
      </c>
      <c r="E2045" t="s">
        <v>4</v>
      </c>
      <c r="F2045">
        <v>142</v>
      </c>
      <c r="G2045">
        <v>313</v>
      </c>
      <c r="H2045" t="s">
        <v>13</v>
      </c>
      <c r="I2045" t="b">
        <v>0</v>
      </c>
      <c r="J2045">
        <f t="shared" si="62"/>
        <v>10</v>
      </c>
      <c r="K2045" t="str">
        <f t="shared" si="63"/>
        <v>Positive</v>
      </c>
    </row>
    <row r="2046" spans="1:11" x14ac:dyDescent="0.2">
      <c r="A2046" t="s">
        <v>4915</v>
      </c>
      <c r="B2046" t="s">
        <v>4916</v>
      </c>
      <c r="C2046" t="s">
        <v>4754</v>
      </c>
      <c r="D2046" t="s">
        <v>3</v>
      </c>
      <c r="E2046" t="s">
        <v>4</v>
      </c>
      <c r="F2046">
        <v>18</v>
      </c>
      <c r="G2046">
        <v>107</v>
      </c>
      <c r="H2046" t="s">
        <v>13</v>
      </c>
      <c r="I2046" t="b">
        <v>0</v>
      </c>
      <c r="J2046">
        <f t="shared" si="62"/>
        <v>0</v>
      </c>
      <c r="K2046" t="str">
        <f t="shared" si="63"/>
        <v>Neutral</v>
      </c>
    </row>
    <row r="2047" spans="1:11" x14ac:dyDescent="0.2">
      <c r="A2047" t="s">
        <v>3883</v>
      </c>
      <c r="B2047" t="s">
        <v>3884</v>
      </c>
      <c r="C2047" t="s">
        <v>3885</v>
      </c>
      <c r="D2047" t="s">
        <v>3</v>
      </c>
      <c r="E2047" t="s">
        <v>4</v>
      </c>
      <c r="F2047">
        <v>20</v>
      </c>
      <c r="G2047">
        <v>89</v>
      </c>
      <c r="H2047" t="s">
        <v>13</v>
      </c>
      <c r="I2047" t="b">
        <v>0</v>
      </c>
      <c r="J2047">
        <f t="shared" si="62"/>
        <v>0</v>
      </c>
      <c r="K2047" t="str">
        <f t="shared" si="63"/>
        <v>Neutral</v>
      </c>
    </row>
    <row r="2048" spans="1:11" x14ac:dyDescent="0.2">
      <c r="A2048" t="s">
        <v>5286</v>
      </c>
      <c r="B2048" t="s">
        <v>5287</v>
      </c>
      <c r="C2048" t="s">
        <v>1095</v>
      </c>
      <c r="D2048" t="s">
        <v>3</v>
      </c>
      <c r="E2048" t="s">
        <v>4</v>
      </c>
      <c r="F2048">
        <v>19</v>
      </c>
      <c r="G2048">
        <v>11</v>
      </c>
      <c r="H2048" t="s">
        <v>13</v>
      </c>
      <c r="I2048" t="b">
        <v>0</v>
      </c>
      <c r="J2048">
        <f t="shared" si="62"/>
        <v>0</v>
      </c>
      <c r="K2048" t="str">
        <f t="shared" si="63"/>
        <v>Neutral</v>
      </c>
    </row>
    <row r="2049" spans="1:11" x14ac:dyDescent="0.2">
      <c r="A2049" t="s">
        <v>6095</v>
      </c>
      <c r="B2049" t="s">
        <v>6096</v>
      </c>
      <c r="C2049" t="s">
        <v>6097</v>
      </c>
      <c r="D2049" t="s">
        <v>3574</v>
      </c>
      <c r="E2049" t="s">
        <v>4</v>
      </c>
      <c r="F2049">
        <v>727</v>
      </c>
      <c r="G2049">
        <v>840</v>
      </c>
      <c r="H2049" t="s">
        <v>13</v>
      </c>
      <c r="I2049" t="b">
        <v>0</v>
      </c>
      <c r="J2049">
        <f t="shared" si="62"/>
        <v>0</v>
      </c>
      <c r="K2049" t="str">
        <f t="shared" si="63"/>
        <v>Neutral</v>
      </c>
    </row>
    <row r="2050" spans="1:11" x14ac:dyDescent="0.2">
      <c r="A2050" t="s">
        <v>4197</v>
      </c>
      <c r="B2050" t="s">
        <v>4198</v>
      </c>
      <c r="C2050" t="s">
        <v>752</v>
      </c>
      <c r="D2050" t="s">
        <v>753</v>
      </c>
      <c r="E2050" t="s">
        <v>4</v>
      </c>
      <c r="F2050">
        <v>3059</v>
      </c>
      <c r="G2050">
        <v>983</v>
      </c>
      <c r="H2050" t="s">
        <v>13</v>
      </c>
      <c r="I2050" t="b">
        <v>0</v>
      </c>
      <c r="J2050">
        <f t="shared" si="62"/>
        <v>0</v>
      </c>
      <c r="K2050" t="str">
        <f t="shared" si="63"/>
        <v>Neutral</v>
      </c>
    </row>
    <row r="2051" spans="1:11" x14ac:dyDescent="0.2">
      <c r="A2051" t="s">
        <v>5014</v>
      </c>
      <c r="B2051" t="s">
        <v>5015</v>
      </c>
      <c r="C2051" t="s">
        <v>293</v>
      </c>
      <c r="D2051" t="s">
        <v>3</v>
      </c>
      <c r="E2051" t="s">
        <v>4</v>
      </c>
      <c r="F2051">
        <v>3634</v>
      </c>
      <c r="G2051">
        <v>3732</v>
      </c>
      <c r="H2051" t="s">
        <v>13</v>
      </c>
      <c r="I2051" t="b">
        <v>0</v>
      </c>
      <c r="J2051">
        <f t="shared" ref="J2051:J2114" si="64">sentimentCalc(B2051)</f>
        <v>0</v>
      </c>
      <c r="K2051" t="str">
        <f t="shared" ref="K2051:K2114" si="65">sentimentCategory(J2051)</f>
        <v>Neutral</v>
      </c>
    </row>
    <row r="2052" spans="1:11" x14ac:dyDescent="0.2">
      <c r="A2052" t="s">
        <v>5977</v>
      </c>
      <c r="B2052" t="s">
        <v>5978</v>
      </c>
      <c r="C2052" t="s">
        <v>5979</v>
      </c>
      <c r="D2052" t="s">
        <v>5980</v>
      </c>
      <c r="E2052" t="s">
        <v>4</v>
      </c>
      <c r="F2052">
        <v>490</v>
      </c>
      <c r="G2052">
        <v>649</v>
      </c>
      <c r="H2052" t="s">
        <v>374</v>
      </c>
      <c r="I2052" t="b">
        <v>0</v>
      </c>
      <c r="J2052">
        <f t="shared" si="64"/>
        <v>10</v>
      </c>
      <c r="K2052" t="str">
        <f t="shared" si="65"/>
        <v>Positive</v>
      </c>
    </row>
    <row r="2053" spans="1:11" x14ac:dyDescent="0.2">
      <c r="A2053" t="s">
        <v>2515</v>
      </c>
      <c r="B2053" t="s">
        <v>2516</v>
      </c>
      <c r="C2053" t="s">
        <v>2517</v>
      </c>
      <c r="D2053" t="s">
        <v>3</v>
      </c>
      <c r="E2053" t="s">
        <v>4</v>
      </c>
      <c r="F2053">
        <v>1666</v>
      </c>
      <c r="G2053">
        <v>4978</v>
      </c>
      <c r="H2053" t="s">
        <v>5</v>
      </c>
      <c r="I2053" t="b">
        <v>0</v>
      </c>
      <c r="J2053">
        <f t="shared" si="64"/>
        <v>20</v>
      </c>
      <c r="K2053" t="str">
        <f t="shared" si="65"/>
        <v>Positive</v>
      </c>
    </row>
    <row r="2054" spans="1:11" x14ac:dyDescent="0.2">
      <c r="A2054" t="s">
        <v>6417</v>
      </c>
      <c r="B2054" t="s">
        <v>6418</v>
      </c>
      <c r="C2054" t="s">
        <v>5905</v>
      </c>
      <c r="D2054" t="s">
        <v>3</v>
      </c>
      <c r="E2054" t="s">
        <v>4</v>
      </c>
      <c r="F2054">
        <v>235</v>
      </c>
      <c r="G2054">
        <v>2</v>
      </c>
      <c r="H2054" t="s">
        <v>13</v>
      </c>
      <c r="I2054" t="b">
        <v>0</v>
      </c>
      <c r="J2054">
        <f t="shared" si="64"/>
        <v>0</v>
      </c>
      <c r="K2054" t="str">
        <f t="shared" si="65"/>
        <v>Neutral</v>
      </c>
    </row>
    <row r="2055" spans="1:11" x14ac:dyDescent="0.2">
      <c r="A2055" t="s">
        <v>6646</v>
      </c>
      <c r="B2055" t="s">
        <v>6647</v>
      </c>
      <c r="C2055" t="s">
        <v>2984</v>
      </c>
      <c r="D2055" t="s">
        <v>3</v>
      </c>
      <c r="E2055" t="s">
        <v>4</v>
      </c>
      <c r="F2055">
        <v>1</v>
      </c>
      <c r="G2055">
        <v>28</v>
      </c>
      <c r="H2055" t="s">
        <v>5</v>
      </c>
      <c r="I2055" t="b">
        <v>0</v>
      </c>
      <c r="J2055">
        <f t="shared" si="64"/>
        <v>0</v>
      </c>
      <c r="K2055" t="str">
        <f t="shared" si="65"/>
        <v>Neutral</v>
      </c>
    </row>
    <row r="2056" spans="1:11" x14ac:dyDescent="0.2">
      <c r="A2056" t="s">
        <v>6553</v>
      </c>
      <c r="B2056" t="s">
        <v>6554</v>
      </c>
      <c r="C2056" t="s">
        <v>1359</v>
      </c>
      <c r="D2056" t="s">
        <v>6555</v>
      </c>
      <c r="E2056" t="s">
        <v>4</v>
      </c>
      <c r="F2056">
        <v>1314</v>
      </c>
      <c r="G2056">
        <v>224</v>
      </c>
      <c r="H2056" t="s">
        <v>13</v>
      </c>
      <c r="I2056" t="b">
        <v>0</v>
      </c>
      <c r="J2056">
        <f t="shared" si="64"/>
        <v>0</v>
      </c>
      <c r="K2056" t="str">
        <f t="shared" si="65"/>
        <v>Neutral</v>
      </c>
    </row>
    <row r="2057" spans="1:11" x14ac:dyDescent="0.2">
      <c r="A2057" t="s">
        <v>3945</v>
      </c>
      <c r="B2057" t="s">
        <v>3946</v>
      </c>
      <c r="C2057" t="s">
        <v>1548</v>
      </c>
      <c r="D2057" t="s">
        <v>101</v>
      </c>
      <c r="E2057" t="s">
        <v>4</v>
      </c>
      <c r="F2057">
        <v>310</v>
      </c>
      <c r="G2057">
        <v>378</v>
      </c>
      <c r="H2057" t="s">
        <v>33</v>
      </c>
      <c r="I2057" t="b">
        <v>0</v>
      </c>
      <c r="J2057">
        <f t="shared" si="64"/>
        <v>0</v>
      </c>
      <c r="K2057" t="str">
        <f t="shared" si="65"/>
        <v>Neutral</v>
      </c>
    </row>
    <row r="2058" spans="1:11" x14ac:dyDescent="0.2">
      <c r="A2058" t="s">
        <v>2452</v>
      </c>
      <c r="B2058" t="s">
        <v>2453</v>
      </c>
      <c r="C2058" t="s">
        <v>884</v>
      </c>
      <c r="D2058" t="s">
        <v>3</v>
      </c>
      <c r="E2058" t="s">
        <v>4</v>
      </c>
      <c r="F2058">
        <v>1870</v>
      </c>
      <c r="G2058">
        <v>988</v>
      </c>
      <c r="H2058" t="s">
        <v>13</v>
      </c>
      <c r="I2058" t="b">
        <v>0</v>
      </c>
      <c r="J2058">
        <f t="shared" si="64"/>
        <v>0</v>
      </c>
      <c r="K2058" t="str">
        <f t="shared" si="65"/>
        <v>Neutral</v>
      </c>
    </row>
    <row r="2059" spans="1:11" x14ac:dyDescent="0.2">
      <c r="A2059" t="s">
        <v>2982</v>
      </c>
      <c r="B2059" t="s">
        <v>2983</v>
      </c>
      <c r="C2059" t="s">
        <v>2984</v>
      </c>
      <c r="D2059" t="s">
        <v>3</v>
      </c>
      <c r="E2059" t="s">
        <v>4</v>
      </c>
      <c r="F2059">
        <v>53</v>
      </c>
      <c r="G2059">
        <v>95</v>
      </c>
      <c r="H2059" t="s">
        <v>13</v>
      </c>
      <c r="I2059" t="b">
        <v>0</v>
      </c>
      <c r="J2059">
        <f t="shared" si="64"/>
        <v>0</v>
      </c>
      <c r="K2059" t="str">
        <f t="shared" si="65"/>
        <v>Neutral</v>
      </c>
    </row>
    <row r="2060" spans="1:11" x14ac:dyDescent="0.2">
      <c r="A2060" t="s">
        <v>5763</v>
      </c>
      <c r="B2060" t="s">
        <v>5764</v>
      </c>
      <c r="C2060" t="s">
        <v>97</v>
      </c>
      <c r="D2060" t="s">
        <v>5765</v>
      </c>
      <c r="E2060" t="s">
        <v>4</v>
      </c>
      <c r="F2060">
        <v>448</v>
      </c>
      <c r="G2060">
        <v>1336</v>
      </c>
      <c r="H2060" t="s">
        <v>13</v>
      </c>
      <c r="I2060" t="b">
        <v>0</v>
      </c>
      <c r="J2060">
        <f t="shared" si="64"/>
        <v>0</v>
      </c>
      <c r="K2060" t="str">
        <f t="shared" si="65"/>
        <v>Neutral</v>
      </c>
    </row>
    <row r="2061" spans="1:11" x14ac:dyDescent="0.2">
      <c r="A2061" t="s">
        <v>4405</v>
      </c>
      <c r="B2061" t="s">
        <v>4406</v>
      </c>
      <c r="C2061" t="s">
        <v>4407</v>
      </c>
      <c r="D2061" t="s">
        <v>3</v>
      </c>
      <c r="E2061" t="s">
        <v>4</v>
      </c>
      <c r="F2061">
        <v>6</v>
      </c>
      <c r="G2061">
        <v>31</v>
      </c>
      <c r="H2061" t="s">
        <v>13</v>
      </c>
      <c r="I2061" t="b">
        <v>0</v>
      </c>
      <c r="J2061">
        <f t="shared" si="64"/>
        <v>0</v>
      </c>
      <c r="K2061" t="str">
        <f t="shared" si="65"/>
        <v>Neutral</v>
      </c>
    </row>
    <row r="2062" spans="1:11" x14ac:dyDescent="0.2">
      <c r="A2062" t="s">
        <v>4688</v>
      </c>
      <c r="B2062" t="s">
        <v>4689</v>
      </c>
      <c r="C2062" t="s">
        <v>4690</v>
      </c>
      <c r="D2062" t="s">
        <v>1255</v>
      </c>
      <c r="E2062" t="s">
        <v>4</v>
      </c>
      <c r="F2062">
        <v>46</v>
      </c>
      <c r="G2062">
        <v>21</v>
      </c>
      <c r="H2062" t="s">
        <v>13</v>
      </c>
      <c r="I2062" t="b">
        <v>0</v>
      </c>
      <c r="J2062">
        <f t="shared" si="64"/>
        <v>0</v>
      </c>
      <c r="K2062" t="str">
        <f t="shared" si="65"/>
        <v>Neutral</v>
      </c>
    </row>
    <row r="2063" spans="1:11" x14ac:dyDescent="0.2">
      <c r="A2063" t="s">
        <v>99</v>
      </c>
      <c r="B2063" t="s">
        <v>100</v>
      </c>
      <c r="C2063" t="s">
        <v>31</v>
      </c>
      <c r="D2063" t="s">
        <v>101</v>
      </c>
      <c r="E2063" t="s">
        <v>4</v>
      </c>
      <c r="F2063">
        <v>526</v>
      </c>
      <c r="G2063">
        <v>558</v>
      </c>
      <c r="H2063" t="s">
        <v>33</v>
      </c>
      <c r="I2063" t="b">
        <v>0</v>
      </c>
      <c r="J2063">
        <f t="shared" si="64"/>
        <v>10</v>
      </c>
      <c r="K2063" t="str">
        <f t="shared" si="65"/>
        <v>Positive</v>
      </c>
    </row>
    <row r="2064" spans="1:11" x14ac:dyDescent="0.2">
      <c r="A2064" t="s">
        <v>2700</v>
      </c>
      <c r="B2064" t="s">
        <v>2701</v>
      </c>
      <c r="C2064" t="s">
        <v>2702</v>
      </c>
      <c r="D2064" t="s">
        <v>2703</v>
      </c>
      <c r="E2064" t="s">
        <v>4</v>
      </c>
      <c r="F2064">
        <v>25</v>
      </c>
      <c r="G2064">
        <v>7</v>
      </c>
      <c r="H2064" t="s">
        <v>13</v>
      </c>
      <c r="I2064" t="b">
        <v>0</v>
      </c>
      <c r="J2064">
        <f t="shared" si="64"/>
        <v>10</v>
      </c>
      <c r="K2064" t="str">
        <f t="shared" si="65"/>
        <v>Positive</v>
      </c>
    </row>
    <row r="2065" spans="1:11" x14ac:dyDescent="0.2">
      <c r="A2065" t="s">
        <v>6997</v>
      </c>
      <c r="B2065" t="s">
        <v>6998</v>
      </c>
      <c r="C2065" t="s">
        <v>219</v>
      </c>
      <c r="D2065" t="s">
        <v>6999</v>
      </c>
      <c r="E2065" t="s">
        <v>4</v>
      </c>
      <c r="F2065">
        <v>352</v>
      </c>
      <c r="G2065">
        <v>81</v>
      </c>
      <c r="H2065" t="s">
        <v>645</v>
      </c>
      <c r="I2065" t="b">
        <v>0</v>
      </c>
      <c r="J2065">
        <f t="shared" si="64"/>
        <v>0</v>
      </c>
      <c r="K2065" t="str">
        <f t="shared" si="65"/>
        <v>Neutral</v>
      </c>
    </row>
    <row r="2066" spans="1:11" x14ac:dyDescent="0.2">
      <c r="A2066" t="s">
        <v>3038</v>
      </c>
      <c r="B2066" t="s">
        <v>3040</v>
      </c>
      <c r="C2066" t="s">
        <v>3041</v>
      </c>
      <c r="D2066" t="s">
        <v>3</v>
      </c>
      <c r="E2066" t="s">
        <v>4</v>
      </c>
      <c r="F2066">
        <v>1411</v>
      </c>
      <c r="G2066">
        <v>1074</v>
      </c>
      <c r="H2066" t="s">
        <v>13</v>
      </c>
      <c r="I2066" t="b">
        <v>0</v>
      </c>
      <c r="J2066">
        <f t="shared" si="64"/>
        <v>0</v>
      </c>
      <c r="K2066" t="str">
        <f t="shared" si="65"/>
        <v>Neutral</v>
      </c>
    </row>
    <row r="2067" spans="1:11" x14ac:dyDescent="0.2">
      <c r="A2067" t="s">
        <v>3365</v>
      </c>
      <c r="B2067" t="s">
        <v>3366</v>
      </c>
      <c r="C2067" t="s">
        <v>999</v>
      </c>
      <c r="D2067" t="s">
        <v>1936</v>
      </c>
      <c r="E2067" t="s">
        <v>4</v>
      </c>
      <c r="F2067">
        <v>1364</v>
      </c>
      <c r="G2067">
        <v>2650</v>
      </c>
      <c r="H2067" t="s">
        <v>13</v>
      </c>
      <c r="I2067" t="b">
        <v>0</v>
      </c>
      <c r="J2067">
        <f t="shared" si="64"/>
        <v>0</v>
      </c>
      <c r="K2067" t="str">
        <f t="shared" si="65"/>
        <v>Neutral</v>
      </c>
    </row>
    <row r="2068" spans="1:11" x14ac:dyDescent="0.2">
      <c r="A2068" t="s">
        <v>882</v>
      </c>
      <c r="B2068" t="s">
        <v>883</v>
      </c>
      <c r="C2068" t="s">
        <v>884</v>
      </c>
      <c r="D2068" t="s">
        <v>3</v>
      </c>
      <c r="E2068" t="s">
        <v>4</v>
      </c>
      <c r="F2068">
        <v>18</v>
      </c>
      <c r="G2068">
        <v>119</v>
      </c>
      <c r="H2068" t="s">
        <v>13</v>
      </c>
      <c r="I2068" t="b">
        <v>0</v>
      </c>
      <c r="J2068">
        <f t="shared" si="64"/>
        <v>0</v>
      </c>
      <c r="K2068" t="str">
        <f t="shared" si="65"/>
        <v>Neutral</v>
      </c>
    </row>
    <row r="2069" spans="1:11" x14ac:dyDescent="0.2">
      <c r="A2069" t="s">
        <v>4465</v>
      </c>
      <c r="B2069" t="s">
        <v>4466</v>
      </c>
      <c r="C2069" t="s">
        <v>323</v>
      </c>
      <c r="D2069" t="s">
        <v>3</v>
      </c>
      <c r="E2069" t="s">
        <v>4</v>
      </c>
      <c r="F2069">
        <v>11278</v>
      </c>
      <c r="G2069">
        <v>126</v>
      </c>
      <c r="H2069" t="s">
        <v>363</v>
      </c>
      <c r="I2069" t="b">
        <v>0</v>
      </c>
      <c r="J2069">
        <f t="shared" si="64"/>
        <v>0</v>
      </c>
      <c r="K2069" t="str">
        <f t="shared" si="65"/>
        <v>Neutral</v>
      </c>
    </row>
    <row r="2070" spans="1:11" x14ac:dyDescent="0.2">
      <c r="A2070" t="s">
        <v>6710</v>
      </c>
      <c r="B2070" t="s">
        <v>6711</v>
      </c>
      <c r="C2070" t="s">
        <v>6712</v>
      </c>
      <c r="D2070" t="s">
        <v>481</v>
      </c>
      <c r="E2070" t="s">
        <v>4</v>
      </c>
      <c r="F2070">
        <v>304</v>
      </c>
      <c r="G2070">
        <v>560</v>
      </c>
      <c r="H2070" t="s">
        <v>13</v>
      </c>
      <c r="I2070" t="b">
        <v>0</v>
      </c>
      <c r="J2070">
        <f t="shared" si="64"/>
        <v>0</v>
      </c>
      <c r="K2070" t="str">
        <f t="shared" si="65"/>
        <v>Neutral</v>
      </c>
    </row>
    <row r="2071" spans="1:11" x14ac:dyDescent="0.2">
      <c r="A2071" t="s">
        <v>5143</v>
      </c>
      <c r="B2071" t="s">
        <v>5144</v>
      </c>
      <c r="C2071" t="s">
        <v>5145</v>
      </c>
      <c r="D2071" t="s">
        <v>5146</v>
      </c>
      <c r="E2071" t="s">
        <v>4</v>
      </c>
      <c r="F2071">
        <v>29</v>
      </c>
      <c r="G2071">
        <v>27</v>
      </c>
      <c r="H2071" t="s">
        <v>13</v>
      </c>
      <c r="I2071" t="b">
        <v>0</v>
      </c>
      <c r="J2071">
        <f t="shared" si="64"/>
        <v>0</v>
      </c>
      <c r="K2071" t="str">
        <f t="shared" si="65"/>
        <v>Neutral</v>
      </c>
    </row>
    <row r="2072" spans="1:11" x14ac:dyDescent="0.2">
      <c r="A2072" t="s">
        <v>303</v>
      </c>
      <c r="B2072" t="s">
        <v>304</v>
      </c>
      <c r="C2072" t="s">
        <v>305</v>
      </c>
      <c r="D2072" t="s">
        <v>306</v>
      </c>
      <c r="E2072" t="s">
        <v>4</v>
      </c>
      <c r="F2072">
        <v>456</v>
      </c>
      <c r="G2072">
        <v>132</v>
      </c>
      <c r="H2072" t="s">
        <v>13</v>
      </c>
      <c r="I2072" t="b">
        <v>0</v>
      </c>
      <c r="J2072">
        <f t="shared" si="64"/>
        <v>10</v>
      </c>
      <c r="K2072" t="str">
        <f t="shared" si="65"/>
        <v>Positive</v>
      </c>
    </row>
    <row r="2073" spans="1:11" x14ac:dyDescent="0.2">
      <c r="A2073" t="s">
        <v>3207</v>
      </c>
      <c r="B2073" t="s">
        <v>3208</v>
      </c>
      <c r="C2073" t="s">
        <v>3209</v>
      </c>
      <c r="D2073" t="s">
        <v>3210</v>
      </c>
      <c r="E2073" t="s">
        <v>4</v>
      </c>
      <c r="F2073">
        <v>88</v>
      </c>
      <c r="G2073">
        <v>192</v>
      </c>
      <c r="H2073" t="s">
        <v>13</v>
      </c>
      <c r="I2073" t="b">
        <v>0</v>
      </c>
      <c r="J2073">
        <f t="shared" si="64"/>
        <v>0</v>
      </c>
      <c r="K2073" t="str">
        <f t="shared" si="65"/>
        <v>Neutral</v>
      </c>
    </row>
    <row r="2074" spans="1:11" x14ac:dyDescent="0.2">
      <c r="A2074" t="s">
        <v>4467</v>
      </c>
      <c r="B2074" t="s">
        <v>4468</v>
      </c>
      <c r="C2074" t="s">
        <v>28</v>
      </c>
      <c r="D2074" t="s">
        <v>3</v>
      </c>
      <c r="E2074" t="s">
        <v>4</v>
      </c>
      <c r="F2074">
        <v>3</v>
      </c>
      <c r="G2074">
        <v>1</v>
      </c>
      <c r="H2074" t="s">
        <v>13</v>
      </c>
      <c r="I2074" t="b">
        <v>0</v>
      </c>
      <c r="J2074">
        <f t="shared" si="64"/>
        <v>0</v>
      </c>
      <c r="K2074" t="str">
        <f t="shared" si="65"/>
        <v>Neutral</v>
      </c>
    </row>
    <row r="2075" spans="1:11" x14ac:dyDescent="0.2">
      <c r="A2075" t="s">
        <v>5471</v>
      </c>
      <c r="B2075" t="s">
        <v>5472</v>
      </c>
      <c r="C2075" t="s">
        <v>1896</v>
      </c>
      <c r="D2075" t="s">
        <v>3</v>
      </c>
      <c r="E2075" t="s">
        <v>4</v>
      </c>
      <c r="F2075">
        <v>223</v>
      </c>
      <c r="G2075">
        <v>292</v>
      </c>
      <c r="H2075" t="s">
        <v>645</v>
      </c>
      <c r="I2075" t="b">
        <v>0</v>
      </c>
      <c r="J2075">
        <f t="shared" si="64"/>
        <v>0</v>
      </c>
      <c r="K2075" t="str">
        <f t="shared" si="65"/>
        <v>Neutral</v>
      </c>
    </row>
    <row r="2076" spans="1:11" x14ac:dyDescent="0.2">
      <c r="A2076" t="s">
        <v>6037</v>
      </c>
      <c r="B2076" t="s">
        <v>6038</v>
      </c>
      <c r="C2076" t="s">
        <v>1152</v>
      </c>
      <c r="D2076" t="s">
        <v>1848</v>
      </c>
      <c r="E2076" t="s">
        <v>4</v>
      </c>
      <c r="F2076">
        <v>41</v>
      </c>
      <c r="G2076">
        <v>240</v>
      </c>
      <c r="H2076" t="s">
        <v>13</v>
      </c>
      <c r="I2076" t="b">
        <v>0</v>
      </c>
      <c r="J2076">
        <f t="shared" si="64"/>
        <v>0</v>
      </c>
      <c r="K2076" t="str">
        <f t="shared" si="65"/>
        <v>Neutral</v>
      </c>
    </row>
    <row r="2077" spans="1:11" x14ac:dyDescent="0.2">
      <c r="A2077" t="s">
        <v>6745</v>
      </c>
      <c r="B2077" t="s">
        <v>6746</v>
      </c>
      <c r="C2077" t="s">
        <v>6747</v>
      </c>
      <c r="D2077" t="s">
        <v>2315</v>
      </c>
      <c r="E2077" t="s">
        <v>4</v>
      </c>
      <c r="F2077">
        <v>210</v>
      </c>
      <c r="G2077">
        <v>103</v>
      </c>
      <c r="H2077" t="s">
        <v>13</v>
      </c>
      <c r="I2077" t="b">
        <v>0</v>
      </c>
      <c r="J2077">
        <f t="shared" si="64"/>
        <v>-10</v>
      </c>
      <c r="K2077" t="str">
        <f t="shared" si="65"/>
        <v>Negative</v>
      </c>
    </row>
    <row r="2078" spans="1:11" x14ac:dyDescent="0.2">
      <c r="A2078" t="s">
        <v>1814</v>
      </c>
      <c r="B2078" t="s">
        <v>1815</v>
      </c>
      <c r="C2078" t="s">
        <v>1816</v>
      </c>
      <c r="D2078" t="s">
        <v>1817</v>
      </c>
      <c r="E2078" t="s">
        <v>4</v>
      </c>
      <c r="F2078">
        <v>1</v>
      </c>
      <c r="G2078">
        <v>42</v>
      </c>
      <c r="H2078" t="s">
        <v>50</v>
      </c>
      <c r="I2078" t="b">
        <v>0</v>
      </c>
      <c r="J2078">
        <f t="shared" si="64"/>
        <v>0</v>
      </c>
      <c r="K2078" t="str">
        <f t="shared" si="65"/>
        <v>Neutral</v>
      </c>
    </row>
    <row r="2079" spans="1:11" x14ac:dyDescent="0.2">
      <c r="A2079" t="s">
        <v>2682</v>
      </c>
      <c r="B2079" t="s">
        <v>2683</v>
      </c>
      <c r="C2079" t="s">
        <v>2684</v>
      </c>
      <c r="D2079" t="s">
        <v>71</v>
      </c>
      <c r="E2079" t="s">
        <v>4</v>
      </c>
      <c r="F2079">
        <v>395</v>
      </c>
      <c r="G2079">
        <v>671</v>
      </c>
      <c r="H2079" t="s">
        <v>13</v>
      </c>
      <c r="I2079" t="b">
        <v>0</v>
      </c>
      <c r="J2079">
        <f t="shared" si="64"/>
        <v>0</v>
      </c>
      <c r="K2079" t="str">
        <f t="shared" si="65"/>
        <v>Neutral</v>
      </c>
    </row>
    <row r="2080" spans="1:11" x14ac:dyDescent="0.2">
      <c r="A2080" t="s">
        <v>7128</v>
      </c>
      <c r="B2080" t="s">
        <v>7129</v>
      </c>
      <c r="C2080" t="s">
        <v>7130</v>
      </c>
      <c r="D2080" t="s">
        <v>3</v>
      </c>
      <c r="E2080" t="s">
        <v>4</v>
      </c>
      <c r="F2080">
        <v>10</v>
      </c>
      <c r="G2080">
        <v>106</v>
      </c>
      <c r="H2080" t="s">
        <v>13</v>
      </c>
      <c r="I2080" t="b">
        <v>0</v>
      </c>
      <c r="J2080">
        <f t="shared" si="64"/>
        <v>0</v>
      </c>
      <c r="K2080" t="str">
        <f t="shared" si="65"/>
        <v>Neutral</v>
      </c>
    </row>
    <row r="2081" spans="1:11" x14ac:dyDescent="0.2">
      <c r="A2081" t="s">
        <v>2946</v>
      </c>
      <c r="B2081" t="s">
        <v>2947</v>
      </c>
      <c r="C2081" t="s">
        <v>2948</v>
      </c>
      <c r="D2081" t="s">
        <v>2949</v>
      </c>
      <c r="E2081" t="s">
        <v>4</v>
      </c>
      <c r="F2081">
        <v>1030</v>
      </c>
      <c r="G2081">
        <v>1010</v>
      </c>
      <c r="H2081" t="s">
        <v>13</v>
      </c>
      <c r="I2081" t="b">
        <v>0</v>
      </c>
      <c r="J2081">
        <f t="shared" si="64"/>
        <v>0</v>
      </c>
      <c r="K2081" t="str">
        <f t="shared" si="65"/>
        <v>Neutral</v>
      </c>
    </row>
    <row r="2082" spans="1:11" x14ac:dyDescent="0.2">
      <c r="A2082" t="s">
        <v>1598</v>
      </c>
      <c r="B2082" t="s">
        <v>1599</v>
      </c>
      <c r="C2082" t="s">
        <v>1197</v>
      </c>
      <c r="D2082" t="s">
        <v>1198</v>
      </c>
      <c r="E2082" t="s">
        <v>4</v>
      </c>
      <c r="F2082">
        <v>42</v>
      </c>
      <c r="G2082">
        <v>122</v>
      </c>
      <c r="H2082" t="s">
        <v>13</v>
      </c>
      <c r="I2082" t="b">
        <v>0</v>
      </c>
      <c r="J2082">
        <f t="shared" si="64"/>
        <v>0</v>
      </c>
      <c r="K2082" t="str">
        <f t="shared" si="65"/>
        <v>Neutral</v>
      </c>
    </row>
    <row r="2083" spans="1:11" x14ac:dyDescent="0.2">
      <c r="A2083" t="s">
        <v>5066</v>
      </c>
      <c r="B2083" t="s">
        <v>5067</v>
      </c>
      <c r="C2083" t="s">
        <v>786</v>
      </c>
      <c r="D2083" t="s">
        <v>1352</v>
      </c>
      <c r="E2083" t="s">
        <v>4</v>
      </c>
      <c r="F2083">
        <v>4</v>
      </c>
      <c r="G2083">
        <v>14</v>
      </c>
      <c r="H2083" t="s">
        <v>13</v>
      </c>
      <c r="I2083" t="b">
        <v>0</v>
      </c>
      <c r="J2083">
        <f t="shared" si="64"/>
        <v>0</v>
      </c>
      <c r="K2083" t="str">
        <f t="shared" si="65"/>
        <v>Neutral</v>
      </c>
    </row>
    <row r="2084" spans="1:11" x14ac:dyDescent="0.2">
      <c r="A2084" t="s">
        <v>3572</v>
      </c>
      <c r="B2084" t="s">
        <v>3573</v>
      </c>
      <c r="C2084" t="s">
        <v>406</v>
      </c>
      <c r="D2084" t="s">
        <v>3574</v>
      </c>
      <c r="E2084" t="s">
        <v>4</v>
      </c>
      <c r="F2084">
        <v>93</v>
      </c>
      <c r="G2084">
        <v>65</v>
      </c>
      <c r="H2084" t="s">
        <v>13</v>
      </c>
      <c r="I2084" t="b">
        <v>0</v>
      </c>
      <c r="J2084">
        <f t="shared" si="64"/>
        <v>0</v>
      </c>
      <c r="K2084" t="str">
        <f t="shared" si="65"/>
        <v>Neutral</v>
      </c>
    </row>
    <row r="2085" spans="1:11" x14ac:dyDescent="0.2">
      <c r="A2085" t="s">
        <v>51</v>
      </c>
      <c r="B2085" t="s">
        <v>55</v>
      </c>
      <c r="C2085" t="s">
        <v>56</v>
      </c>
      <c r="D2085" t="s">
        <v>57</v>
      </c>
      <c r="E2085" t="s">
        <v>4</v>
      </c>
      <c r="F2085">
        <v>6</v>
      </c>
      <c r="G2085">
        <v>16</v>
      </c>
      <c r="H2085" t="s">
        <v>50</v>
      </c>
      <c r="I2085" t="b">
        <v>0</v>
      </c>
      <c r="J2085">
        <f t="shared" si="64"/>
        <v>0</v>
      </c>
      <c r="K2085" t="str">
        <f t="shared" si="65"/>
        <v>Neutral</v>
      </c>
    </row>
    <row r="2086" spans="1:11" x14ac:dyDescent="0.2">
      <c r="A2086" t="s">
        <v>4503</v>
      </c>
      <c r="B2086" t="s">
        <v>4504</v>
      </c>
      <c r="C2086" t="s">
        <v>2425</v>
      </c>
      <c r="D2086" t="s">
        <v>4505</v>
      </c>
      <c r="E2086" t="s">
        <v>4</v>
      </c>
      <c r="F2086">
        <v>866</v>
      </c>
      <c r="G2086">
        <v>1918</v>
      </c>
      <c r="H2086" t="s">
        <v>13</v>
      </c>
      <c r="I2086" t="b">
        <v>0</v>
      </c>
      <c r="J2086">
        <f t="shared" si="64"/>
        <v>10</v>
      </c>
      <c r="K2086" t="str">
        <f t="shared" si="65"/>
        <v>Positive</v>
      </c>
    </row>
    <row r="2087" spans="1:11" x14ac:dyDescent="0.2">
      <c r="A2087" t="s">
        <v>5377</v>
      </c>
      <c r="B2087" t="s">
        <v>5378</v>
      </c>
      <c r="C2087" t="s">
        <v>5379</v>
      </c>
      <c r="D2087" t="s">
        <v>3</v>
      </c>
      <c r="E2087" t="s">
        <v>4</v>
      </c>
      <c r="F2087">
        <v>103</v>
      </c>
      <c r="G2087">
        <v>581</v>
      </c>
      <c r="H2087" t="s">
        <v>13</v>
      </c>
      <c r="I2087" t="b">
        <v>0</v>
      </c>
      <c r="J2087">
        <f t="shared" si="64"/>
        <v>20</v>
      </c>
      <c r="K2087" t="str">
        <f t="shared" si="65"/>
        <v>Positive</v>
      </c>
    </row>
    <row r="2088" spans="1:11" x14ac:dyDescent="0.2">
      <c r="A2088" t="s">
        <v>6313</v>
      </c>
      <c r="B2088" t="s">
        <v>6314</v>
      </c>
      <c r="C2088" t="s">
        <v>2043</v>
      </c>
      <c r="D2088" t="s">
        <v>1698</v>
      </c>
      <c r="E2088" t="s">
        <v>4</v>
      </c>
      <c r="F2088">
        <v>238</v>
      </c>
      <c r="G2088">
        <v>145</v>
      </c>
      <c r="H2088" t="s">
        <v>13</v>
      </c>
      <c r="I2088" t="b">
        <v>0</v>
      </c>
      <c r="J2088">
        <f t="shared" si="64"/>
        <v>0</v>
      </c>
      <c r="K2088" t="str">
        <f t="shared" si="65"/>
        <v>Neutral</v>
      </c>
    </row>
    <row r="2089" spans="1:11" x14ac:dyDescent="0.2">
      <c r="A2089" t="s">
        <v>2657</v>
      </c>
      <c r="B2089" t="s">
        <v>2658</v>
      </c>
      <c r="C2089" t="s">
        <v>505</v>
      </c>
      <c r="D2089" t="s">
        <v>3</v>
      </c>
      <c r="E2089" t="s">
        <v>4</v>
      </c>
      <c r="F2089">
        <v>9</v>
      </c>
      <c r="G2089">
        <v>76</v>
      </c>
      <c r="H2089" t="s">
        <v>13</v>
      </c>
      <c r="I2089" t="b">
        <v>0</v>
      </c>
      <c r="J2089">
        <f t="shared" si="64"/>
        <v>0</v>
      </c>
      <c r="K2089" t="str">
        <f t="shared" si="65"/>
        <v>Neutral</v>
      </c>
    </row>
    <row r="2090" spans="1:11" x14ac:dyDescent="0.2">
      <c r="A2090" t="s">
        <v>5867</v>
      </c>
      <c r="B2090" t="s">
        <v>5868</v>
      </c>
      <c r="C2090" t="s">
        <v>2705</v>
      </c>
      <c r="D2090" t="s">
        <v>3</v>
      </c>
      <c r="E2090" t="s">
        <v>4</v>
      </c>
      <c r="F2090">
        <v>29</v>
      </c>
      <c r="G2090">
        <v>48</v>
      </c>
      <c r="H2090" t="s">
        <v>13</v>
      </c>
      <c r="I2090" t="b">
        <v>0</v>
      </c>
      <c r="J2090">
        <f t="shared" si="64"/>
        <v>0</v>
      </c>
      <c r="K2090" t="str">
        <f t="shared" si="65"/>
        <v>Neutral</v>
      </c>
    </row>
    <row r="2091" spans="1:11" x14ac:dyDescent="0.2">
      <c r="A2091" t="s">
        <v>3973</v>
      </c>
      <c r="B2091" t="s">
        <v>3974</v>
      </c>
      <c r="C2091" t="s">
        <v>296</v>
      </c>
      <c r="D2091" t="s">
        <v>3</v>
      </c>
      <c r="E2091" t="s">
        <v>4</v>
      </c>
      <c r="F2091">
        <v>26</v>
      </c>
      <c r="G2091">
        <v>94</v>
      </c>
      <c r="H2091" t="s">
        <v>13</v>
      </c>
      <c r="I2091" t="b">
        <v>0</v>
      </c>
      <c r="J2091">
        <f t="shared" si="64"/>
        <v>-10</v>
      </c>
      <c r="K2091" t="str">
        <f t="shared" si="65"/>
        <v>Negative</v>
      </c>
    </row>
    <row r="2092" spans="1:11" x14ac:dyDescent="0.2">
      <c r="A2092" t="s">
        <v>6395</v>
      </c>
      <c r="B2092" t="s">
        <v>6396</v>
      </c>
      <c r="C2092" t="s">
        <v>3601</v>
      </c>
      <c r="D2092" t="s">
        <v>3</v>
      </c>
      <c r="E2092" t="s">
        <v>4</v>
      </c>
      <c r="F2092">
        <v>33</v>
      </c>
      <c r="G2092">
        <v>125</v>
      </c>
      <c r="H2092" t="s">
        <v>13</v>
      </c>
      <c r="I2092" t="b">
        <v>0</v>
      </c>
      <c r="J2092">
        <f t="shared" si="64"/>
        <v>20</v>
      </c>
      <c r="K2092" t="str">
        <f t="shared" si="65"/>
        <v>Positive</v>
      </c>
    </row>
    <row r="2093" spans="1:11" x14ac:dyDescent="0.2">
      <c r="A2093" t="s">
        <v>4210</v>
      </c>
      <c r="B2093" t="s">
        <v>4211</v>
      </c>
      <c r="C2093" t="s">
        <v>4212</v>
      </c>
      <c r="D2093" t="s">
        <v>4213</v>
      </c>
      <c r="E2093" t="s">
        <v>4</v>
      </c>
      <c r="F2093">
        <v>2486</v>
      </c>
      <c r="G2093">
        <v>3126</v>
      </c>
      <c r="H2093" t="s">
        <v>13</v>
      </c>
      <c r="I2093" t="b">
        <v>0</v>
      </c>
      <c r="J2093">
        <f t="shared" si="64"/>
        <v>0</v>
      </c>
      <c r="K2093" t="str">
        <f t="shared" si="65"/>
        <v>Neutral</v>
      </c>
    </row>
    <row r="2094" spans="1:11" x14ac:dyDescent="0.2">
      <c r="A2094" t="s">
        <v>6931</v>
      </c>
      <c r="B2094" t="s">
        <v>6932</v>
      </c>
      <c r="C2094" t="s">
        <v>2761</v>
      </c>
      <c r="D2094" t="s">
        <v>6933</v>
      </c>
      <c r="E2094" t="s">
        <v>4</v>
      </c>
      <c r="F2094">
        <v>45</v>
      </c>
      <c r="G2094">
        <v>276</v>
      </c>
      <c r="H2094" t="s">
        <v>13</v>
      </c>
      <c r="I2094" t="b">
        <v>0</v>
      </c>
      <c r="J2094">
        <f t="shared" si="64"/>
        <v>20</v>
      </c>
      <c r="K2094" t="str">
        <f t="shared" si="65"/>
        <v>Positive</v>
      </c>
    </row>
    <row r="2095" spans="1:11" x14ac:dyDescent="0.2">
      <c r="A2095" t="s">
        <v>6545</v>
      </c>
      <c r="B2095" t="s">
        <v>6546</v>
      </c>
      <c r="C2095" t="s">
        <v>2643</v>
      </c>
      <c r="D2095" t="s">
        <v>3</v>
      </c>
      <c r="E2095" t="s">
        <v>4</v>
      </c>
      <c r="F2095">
        <v>3036</v>
      </c>
      <c r="G2095">
        <v>611</v>
      </c>
      <c r="H2095" t="s">
        <v>13</v>
      </c>
      <c r="I2095" t="b">
        <v>0</v>
      </c>
      <c r="J2095">
        <f t="shared" si="64"/>
        <v>0</v>
      </c>
      <c r="K2095" t="str">
        <f t="shared" si="65"/>
        <v>Neutral</v>
      </c>
    </row>
    <row r="2096" spans="1:11" x14ac:dyDescent="0.2">
      <c r="A2096" t="s">
        <v>885</v>
      </c>
      <c r="B2096" t="s">
        <v>886</v>
      </c>
      <c r="C2096" t="s">
        <v>887</v>
      </c>
      <c r="D2096" t="s">
        <v>3</v>
      </c>
      <c r="E2096" t="s">
        <v>4</v>
      </c>
      <c r="F2096">
        <v>63</v>
      </c>
      <c r="G2096">
        <v>345</v>
      </c>
      <c r="H2096" t="s">
        <v>50</v>
      </c>
      <c r="I2096" t="b">
        <v>0</v>
      </c>
      <c r="J2096">
        <f t="shared" si="64"/>
        <v>0</v>
      </c>
      <c r="K2096" t="str">
        <f t="shared" si="65"/>
        <v>Neutral</v>
      </c>
    </row>
    <row r="2097" spans="1:11" x14ac:dyDescent="0.2">
      <c r="A2097" t="s">
        <v>7222</v>
      </c>
      <c r="B2097" t="s">
        <v>7223</v>
      </c>
      <c r="C2097" t="s">
        <v>7224</v>
      </c>
      <c r="D2097" t="s">
        <v>3</v>
      </c>
      <c r="E2097" t="s">
        <v>4</v>
      </c>
      <c r="F2097">
        <v>4</v>
      </c>
      <c r="G2097">
        <v>6</v>
      </c>
      <c r="H2097" t="s">
        <v>13</v>
      </c>
      <c r="I2097" t="b">
        <v>0</v>
      </c>
      <c r="J2097">
        <f t="shared" si="64"/>
        <v>0</v>
      </c>
      <c r="K2097" t="str">
        <f t="shared" si="65"/>
        <v>Neutral</v>
      </c>
    </row>
    <row r="2098" spans="1:11" x14ac:dyDescent="0.2">
      <c r="A2098" t="s">
        <v>2250</v>
      </c>
      <c r="B2098" t="s">
        <v>2251</v>
      </c>
      <c r="C2098" t="s">
        <v>1991</v>
      </c>
      <c r="D2098" t="s">
        <v>2252</v>
      </c>
      <c r="E2098" t="s">
        <v>4</v>
      </c>
      <c r="F2098">
        <v>58</v>
      </c>
      <c r="G2098">
        <v>257</v>
      </c>
      <c r="H2098" t="s">
        <v>13</v>
      </c>
      <c r="I2098" t="b">
        <v>0</v>
      </c>
      <c r="J2098">
        <f t="shared" si="64"/>
        <v>0</v>
      </c>
      <c r="K2098" t="str">
        <f t="shared" si="65"/>
        <v>Neutral</v>
      </c>
    </row>
    <row r="2099" spans="1:11" x14ac:dyDescent="0.2">
      <c r="A2099" t="s">
        <v>2630</v>
      </c>
      <c r="B2099" t="s">
        <v>2631</v>
      </c>
      <c r="C2099" t="s">
        <v>2632</v>
      </c>
      <c r="D2099" t="s">
        <v>101</v>
      </c>
      <c r="E2099" t="s">
        <v>4</v>
      </c>
      <c r="F2099">
        <v>84</v>
      </c>
      <c r="G2099">
        <v>57</v>
      </c>
      <c r="H2099" t="s">
        <v>13</v>
      </c>
      <c r="I2099" t="b">
        <v>0</v>
      </c>
      <c r="J2099">
        <f t="shared" si="64"/>
        <v>10</v>
      </c>
      <c r="K2099" t="str">
        <f t="shared" si="65"/>
        <v>Positive</v>
      </c>
    </row>
    <row r="2100" spans="1:11" x14ac:dyDescent="0.2">
      <c r="A2100" t="s">
        <v>2680</v>
      </c>
      <c r="B2100" t="s">
        <v>2681</v>
      </c>
      <c r="C2100" t="s">
        <v>1241</v>
      </c>
      <c r="D2100" t="s">
        <v>3</v>
      </c>
      <c r="E2100" t="s">
        <v>4</v>
      </c>
      <c r="F2100">
        <v>7208</v>
      </c>
      <c r="G2100">
        <v>2811</v>
      </c>
      <c r="H2100" t="s">
        <v>13</v>
      </c>
      <c r="I2100" t="b">
        <v>0</v>
      </c>
      <c r="J2100">
        <f t="shared" si="64"/>
        <v>0</v>
      </c>
      <c r="K2100" t="str">
        <f t="shared" si="65"/>
        <v>Neutral</v>
      </c>
    </row>
    <row r="2101" spans="1:11" x14ac:dyDescent="0.2">
      <c r="A2101" t="s">
        <v>4169</v>
      </c>
      <c r="B2101" t="s">
        <v>4170</v>
      </c>
      <c r="C2101" t="s">
        <v>1386</v>
      </c>
      <c r="D2101" t="s">
        <v>3</v>
      </c>
      <c r="E2101" t="s">
        <v>4</v>
      </c>
      <c r="F2101">
        <v>733</v>
      </c>
      <c r="G2101">
        <v>491</v>
      </c>
      <c r="H2101" t="s">
        <v>13</v>
      </c>
      <c r="I2101" t="b">
        <v>0</v>
      </c>
      <c r="J2101">
        <f t="shared" si="64"/>
        <v>0</v>
      </c>
      <c r="K2101" t="str">
        <f t="shared" si="65"/>
        <v>Neutral</v>
      </c>
    </row>
    <row r="2102" spans="1:11" x14ac:dyDescent="0.2">
      <c r="A2102" t="s">
        <v>3609</v>
      </c>
      <c r="B2102" t="s">
        <v>3610</v>
      </c>
      <c r="C2102" t="s">
        <v>3611</v>
      </c>
      <c r="D2102" t="s">
        <v>734</v>
      </c>
      <c r="E2102" t="s">
        <v>4</v>
      </c>
      <c r="F2102">
        <v>5264</v>
      </c>
      <c r="G2102">
        <v>130</v>
      </c>
      <c r="H2102" t="s">
        <v>13</v>
      </c>
      <c r="I2102" t="b">
        <v>0</v>
      </c>
      <c r="J2102">
        <f t="shared" si="64"/>
        <v>0</v>
      </c>
      <c r="K2102" t="str">
        <f t="shared" si="65"/>
        <v>Neutral</v>
      </c>
    </row>
    <row r="2103" spans="1:11" x14ac:dyDescent="0.2">
      <c r="A2103" t="s">
        <v>1400</v>
      </c>
      <c r="B2103" t="s">
        <v>1401</v>
      </c>
      <c r="C2103" t="s">
        <v>1402</v>
      </c>
      <c r="D2103" t="s">
        <v>3</v>
      </c>
      <c r="E2103" t="s">
        <v>4</v>
      </c>
      <c r="F2103">
        <v>2</v>
      </c>
      <c r="G2103">
        <v>19</v>
      </c>
      <c r="H2103" t="s">
        <v>13</v>
      </c>
      <c r="I2103" t="b">
        <v>0</v>
      </c>
      <c r="J2103">
        <f t="shared" si="64"/>
        <v>10</v>
      </c>
      <c r="K2103" t="str">
        <f t="shared" si="65"/>
        <v>Positive</v>
      </c>
    </row>
    <row r="2104" spans="1:11" x14ac:dyDescent="0.2">
      <c r="A2104" t="s">
        <v>6648</v>
      </c>
      <c r="B2104" t="s">
        <v>6649</v>
      </c>
      <c r="C2104" t="s">
        <v>28</v>
      </c>
      <c r="D2104" t="s">
        <v>3</v>
      </c>
      <c r="E2104" t="s">
        <v>4</v>
      </c>
      <c r="F2104">
        <v>3</v>
      </c>
      <c r="G2104">
        <v>1</v>
      </c>
      <c r="H2104" t="s">
        <v>13</v>
      </c>
      <c r="I2104" t="b">
        <v>0</v>
      </c>
      <c r="J2104">
        <f t="shared" si="64"/>
        <v>0</v>
      </c>
      <c r="K2104" t="str">
        <f t="shared" si="65"/>
        <v>Neutral</v>
      </c>
    </row>
    <row r="2105" spans="1:11" x14ac:dyDescent="0.2">
      <c r="A2105" t="s">
        <v>940</v>
      </c>
      <c r="B2105" t="s">
        <v>941</v>
      </c>
      <c r="C2105" t="s">
        <v>942</v>
      </c>
      <c r="D2105" t="s">
        <v>113</v>
      </c>
      <c r="E2105" t="s">
        <v>4</v>
      </c>
      <c r="F2105">
        <v>300</v>
      </c>
      <c r="G2105">
        <v>551</v>
      </c>
      <c r="H2105" t="s">
        <v>13</v>
      </c>
      <c r="I2105" t="b">
        <v>0</v>
      </c>
      <c r="J2105">
        <f t="shared" si="64"/>
        <v>0</v>
      </c>
      <c r="K2105" t="str">
        <f t="shared" si="65"/>
        <v>Neutral</v>
      </c>
    </row>
    <row r="2106" spans="1:11" x14ac:dyDescent="0.2">
      <c r="A2106" t="s">
        <v>5030</v>
      </c>
      <c r="B2106" t="s">
        <v>5031</v>
      </c>
      <c r="C2106" t="s">
        <v>5032</v>
      </c>
      <c r="D2106" t="s">
        <v>5033</v>
      </c>
      <c r="E2106" t="s">
        <v>4</v>
      </c>
      <c r="F2106">
        <v>9</v>
      </c>
      <c r="G2106">
        <v>25</v>
      </c>
      <c r="H2106" t="s">
        <v>13</v>
      </c>
      <c r="I2106" t="b">
        <v>0</v>
      </c>
      <c r="J2106">
        <f t="shared" si="64"/>
        <v>0</v>
      </c>
      <c r="K2106" t="str">
        <f t="shared" si="65"/>
        <v>Neutral</v>
      </c>
    </row>
    <row r="2107" spans="1:11" x14ac:dyDescent="0.2">
      <c r="A2107" t="s">
        <v>3122</v>
      </c>
      <c r="B2107" t="s">
        <v>3123</v>
      </c>
      <c r="C2107" t="s">
        <v>615</v>
      </c>
      <c r="D2107" t="s">
        <v>64</v>
      </c>
      <c r="E2107" t="s">
        <v>38</v>
      </c>
      <c r="F2107">
        <v>13326</v>
      </c>
      <c r="G2107">
        <v>476</v>
      </c>
      <c r="H2107" t="s">
        <v>13</v>
      </c>
      <c r="I2107" t="b">
        <v>0</v>
      </c>
      <c r="J2107">
        <f t="shared" si="64"/>
        <v>0</v>
      </c>
      <c r="K2107" t="str">
        <f t="shared" si="65"/>
        <v>Neutral</v>
      </c>
    </row>
    <row r="2108" spans="1:11" x14ac:dyDescent="0.2">
      <c r="A2108" t="s">
        <v>3089</v>
      </c>
      <c r="B2108" t="s">
        <v>3090</v>
      </c>
      <c r="C2108" t="s">
        <v>615</v>
      </c>
      <c r="D2108" t="s">
        <v>64</v>
      </c>
      <c r="E2108" t="s">
        <v>38</v>
      </c>
      <c r="F2108">
        <v>13326</v>
      </c>
      <c r="G2108">
        <v>476</v>
      </c>
      <c r="H2108" t="s">
        <v>13</v>
      </c>
      <c r="I2108" t="b">
        <v>0</v>
      </c>
      <c r="J2108">
        <f t="shared" si="64"/>
        <v>0</v>
      </c>
      <c r="K2108" t="str">
        <f t="shared" si="65"/>
        <v>Neutral</v>
      </c>
    </row>
    <row r="2109" spans="1:11" x14ac:dyDescent="0.2">
      <c r="A2109" t="s">
        <v>3126</v>
      </c>
      <c r="B2109" t="s">
        <v>3127</v>
      </c>
      <c r="C2109" t="s">
        <v>3128</v>
      </c>
      <c r="D2109" t="s">
        <v>3129</v>
      </c>
      <c r="E2109" t="s">
        <v>4</v>
      </c>
      <c r="F2109">
        <v>4640</v>
      </c>
      <c r="G2109">
        <v>3750</v>
      </c>
      <c r="H2109" t="s">
        <v>13</v>
      </c>
      <c r="I2109" t="b">
        <v>0</v>
      </c>
      <c r="J2109">
        <f t="shared" si="64"/>
        <v>0</v>
      </c>
      <c r="K2109" t="str">
        <f t="shared" si="65"/>
        <v>Neutral</v>
      </c>
    </row>
    <row r="2110" spans="1:11" x14ac:dyDescent="0.2">
      <c r="A2110" t="s">
        <v>3172</v>
      </c>
      <c r="B2110" t="s">
        <v>3173</v>
      </c>
      <c r="C2110" t="s">
        <v>28</v>
      </c>
      <c r="D2110" t="s">
        <v>3</v>
      </c>
      <c r="E2110" t="s">
        <v>4</v>
      </c>
      <c r="F2110">
        <v>2</v>
      </c>
      <c r="G2110">
        <v>29</v>
      </c>
      <c r="H2110" t="s">
        <v>13</v>
      </c>
      <c r="I2110" t="b">
        <v>0</v>
      </c>
      <c r="J2110">
        <f t="shared" si="64"/>
        <v>-10</v>
      </c>
      <c r="K2110" t="str">
        <f t="shared" si="65"/>
        <v>Negative</v>
      </c>
    </row>
    <row r="2111" spans="1:11" x14ac:dyDescent="0.2">
      <c r="A2111" t="s">
        <v>3020</v>
      </c>
      <c r="B2111" t="s">
        <v>3021</v>
      </c>
      <c r="C2111" t="s">
        <v>3022</v>
      </c>
      <c r="D2111" t="s">
        <v>833</v>
      </c>
      <c r="E2111" t="s">
        <v>4</v>
      </c>
      <c r="F2111">
        <v>4050</v>
      </c>
      <c r="G2111">
        <v>1677</v>
      </c>
      <c r="H2111" t="s">
        <v>13</v>
      </c>
      <c r="I2111" t="b">
        <v>0</v>
      </c>
      <c r="J2111">
        <f t="shared" si="64"/>
        <v>0</v>
      </c>
      <c r="K2111" t="str">
        <f t="shared" si="65"/>
        <v>Neutral</v>
      </c>
    </row>
    <row r="2112" spans="1:11" x14ac:dyDescent="0.2">
      <c r="A2112" t="s">
        <v>1741</v>
      </c>
      <c r="B2112" t="s">
        <v>1742</v>
      </c>
      <c r="C2112" t="s">
        <v>1743</v>
      </c>
      <c r="D2112" t="s">
        <v>101</v>
      </c>
      <c r="E2112" t="s">
        <v>4</v>
      </c>
      <c r="F2112">
        <v>1223</v>
      </c>
      <c r="G2112">
        <v>2150</v>
      </c>
      <c r="H2112" t="s">
        <v>13</v>
      </c>
      <c r="I2112" t="b">
        <v>0</v>
      </c>
      <c r="J2112">
        <f t="shared" si="64"/>
        <v>0</v>
      </c>
      <c r="K2112" t="str">
        <f t="shared" si="65"/>
        <v>Neutral</v>
      </c>
    </row>
    <row r="2113" spans="1:11" x14ac:dyDescent="0.2">
      <c r="A2113" t="s">
        <v>6223</v>
      </c>
      <c r="B2113" t="s">
        <v>6224</v>
      </c>
      <c r="C2113" t="s">
        <v>6225</v>
      </c>
      <c r="D2113" t="s">
        <v>3</v>
      </c>
      <c r="E2113" t="s">
        <v>4</v>
      </c>
      <c r="F2113">
        <v>377</v>
      </c>
      <c r="G2113">
        <v>2338</v>
      </c>
      <c r="H2113" t="s">
        <v>13</v>
      </c>
      <c r="I2113" t="b">
        <v>0</v>
      </c>
      <c r="J2113">
        <f t="shared" si="64"/>
        <v>0</v>
      </c>
      <c r="K2113" t="str">
        <f t="shared" si="65"/>
        <v>Neutral</v>
      </c>
    </row>
    <row r="2114" spans="1:11" x14ac:dyDescent="0.2">
      <c r="A2114" t="s">
        <v>4301</v>
      </c>
      <c r="B2114" t="s">
        <v>4302</v>
      </c>
      <c r="C2114" t="s">
        <v>4303</v>
      </c>
      <c r="D2114" t="s">
        <v>3</v>
      </c>
      <c r="E2114" t="s">
        <v>4</v>
      </c>
      <c r="F2114">
        <v>3414</v>
      </c>
      <c r="G2114">
        <v>3547</v>
      </c>
      <c r="H2114" t="s">
        <v>13</v>
      </c>
      <c r="I2114" t="b">
        <v>0</v>
      </c>
      <c r="J2114">
        <f t="shared" si="64"/>
        <v>0</v>
      </c>
      <c r="K2114" t="str">
        <f t="shared" si="65"/>
        <v>Neutral</v>
      </c>
    </row>
    <row r="2115" spans="1:11" x14ac:dyDescent="0.2">
      <c r="A2115" t="s">
        <v>3259</v>
      </c>
      <c r="B2115" t="s">
        <v>3260</v>
      </c>
      <c r="C2115" t="s">
        <v>1596</v>
      </c>
      <c r="D2115" t="s">
        <v>1597</v>
      </c>
      <c r="E2115" t="s">
        <v>4</v>
      </c>
      <c r="F2115">
        <v>4</v>
      </c>
      <c r="G2115">
        <v>0</v>
      </c>
      <c r="H2115" t="s">
        <v>13</v>
      </c>
      <c r="I2115" t="b">
        <v>0</v>
      </c>
      <c r="J2115">
        <f t="shared" ref="J2115:J2178" si="66">sentimentCalc(B2115)</f>
        <v>0</v>
      </c>
      <c r="K2115" t="str">
        <f t="shared" ref="K2115:K2178" si="67">sentimentCategory(J2115)</f>
        <v>Neutral</v>
      </c>
    </row>
    <row r="2116" spans="1:11" x14ac:dyDescent="0.2">
      <c r="A2116" t="s">
        <v>1613</v>
      </c>
      <c r="B2116" t="s">
        <v>1614</v>
      </c>
      <c r="C2116" t="s">
        <v>323</v>
      </c>
      <c r="D2116" t="s">
        <v>1615</v>
      </c>
      <c r="E2116" t="s">
        <v>4</v>
      </c>
      <c r="F2116">
        <v>417</v>
      </c>
      <c r="G2116">
        <v>74</v>
      </c>
      <c r="H2116" t="s">
        <v>13</v>
      </c>
      <c r="I2116" t="b">
        <v>0</v>
      </c>
      <c r="J2116">
        <f t="shared" si="66"/>
        <v>0</v>
      </c>
      <c r="K2116" t="str">
        <f t="shared" si="67"/>
        <v>Neutral</v>
      </c>
    </row>
    <row r="2117" spans="1:11" x14ac:dyDescent="0.2">
      <c r="A2117" t="s">
        <v>2972</v>
      </c>
      <c r="B2117" t="s">
        <v>2973</v>
      </c>
      <c r="C2117" t="s">
        <v>2974</v>
      </c>
      <c r="D2117" t="s">
        <v>3</v>
      </c>
      <c r="E2117" t="s">
        <v>4</v>
      </c>
      <c r="F2117">
        <v>708</v>
      </c>
      <c r="G2117">
        <v>374</v>
      </c>
      <c r="H2117" t="s">
        <v>13</v>
      </c>
      <c r="I2117" t="b">
        <v>0</v>
      </c>
      <c r="J2117">
        <f t="shared" si="66"/>
        <v>0</v>
      </c>
      <c r="K2117" t="str">
        <f t="shared" si="67"/>
        <v>Neutral</v>
      </c>
    </row>
    <row r="2118" spans="1:11" x14ac:dyDescent="0.2">
      <c r="A2118" t="s">
        <v>6389</v>
      </c>
      <c r="B2118" t="s">
        <v>6390</v>
      </c>
      <c r="C2118" t="s">
        <v>1328</v>
      </c>
      <c r="D2118" t="s">
        <v>3</v>
      </c>
      <c r="E2118" t="s">
        <v>4</v>
      </c>
      <c r="F2118">
        <v>16</v>
      </c>
      <c r="G2118">
        <v>8</v>
      </c>
      <c r="H2118" t="s">
        <v>13</v>
      </c>
      <c r="I2118" t="b">
        <v>0</v>
      </c>
      <c r="J2118">
        <f t="shared" si="66"/>
        <v>0</v>
      </c>
      <c r="K2118" t="str">
        <f t="shared" si="67"/>
        <v>Neutral</v>
      </c>
    </row>
    <row r="2119" spans="1:11" x14ac:dyDescent="0.2">
      <c r="A2119" t="s">
        <v>702</v>
      </c>
      <c r="B2119" t="s">
        <v>703</v>
      </c>
      <c r="C2119" t="s">
        <v>704</v>
      </c>
      <c r="D2119" t="s">
        <v>705</v>
      </c>
      <c r="E2119" t="s">
        <v>4</v>
      </c>
      <c r="F2119">
        <v>1996</v>
      </c>
      <c r="G2119">
        <v>2545</v>
      </c>
      <c r="H2119" t="s">
        <v>13</v>
      </c>
      <c r="I2119" t="b">
        <v>0</v>
      </c>
      <c r="J2119">
        <f t="shared" si="66"/>
        <v>0</v>
      </c>
      <c r="K2119" t="str">
        <f t="shared" si="67"/>
        <v>Neutral</v>
      </c>
    </row>
    <row r="2120" spans="1:11" x14ac:dyDescent="0.2">
      <c r="A2120" t="s">
        <v>6652</v>
      </c>
      <c r="B2120" t="s">
        <v>6653</v>
      </c>
      <c r="C2120" t="s">
        <v>2402</v>
      </c>
      <c r="D2120" t="s">
        <v>1242</v>
      </c>
      <c r="E2120" t="s">
        <v>4</v>
      </c>
      <c r="F2120">
        <v>4935</v>
      </c>
      <c r="G2120">
        <v>497</v>
      </c>
      <c r="H2120" t="s">
        <v>13</v>
      </c>
      <c r="I2120" t="b">
        <v>0</v>
      </c>
      <c r="J2120">
        <f t="shared" si="66"/>
        <v>0</v>
      </c>
      <c r="K2120" t="str">
        <f t="shared" si="67"/>
        <v>Neutral</v>
      </c>
    </row>
    <row r="2121" spans="1:11" x14ac:dyDescent="0.2">
      <c r="A2121" t="s">
        <v>3713</v>
      </c>
      <c r="B2121" t="s">
        <v>3714</v>
      </c>
      <c r="C2121" t="s">
        <v>3715</v>
      </c>
      <c r="D2121" t="s">
        <v>3716</v>
      </c>
      <c r="E2121" t="s">
        <v>4</v>
      </c>
      <c r="F2121">
        <v>15</v>
      </c>
      <c r="G2121">
        <v>84</v>
      </c>
      <c r="H2121" t="s">
        <v>13</v>
      </c>
      <c r="I2121" t="b">
        <v>0</v>
      </c>
      <c r="J2121">
        <f t="shared" si="66"/>
        <v>-10</v>
      </c>
      <c r="K2121" t="str">
        <f t="shared" si="67"/>
        <v>Negative</v>
      </c>
    </row>
    <row r="2122" spans="1:11" x14ac:dyDescent="0.2">
      <c r="A2122" t="s">
        <v>3080</v>
      </c>
      <c r="B2122" t="s">
        <v>3081</v>
      </c>
      <c r="C2122" t="s">
        <v>1851</v>
      </c>
      <c r="D2122" t="s">
        <v>3</v>
      </c>
      <c r="E2122" t="s">
        <v>4</v>
      </c>
      <c r="F2122">
        <v>37</v>
      </c>
      <c r="G2122">
        <v>104</v>
      </c>
      <c r="H2122" t="s">
        <v>3082</v>
      </c>
      <c r="I2122" t="b">
        <v>0</v>
      </c>
      <c r="J2122">
        <f t="shared" si="66"/>
        <v>0</v>
      </c>
      <c r="K2122" t="str">
        <f t="shared" si="67"/>
        <v>Neutral</v>
      </c>
    </row>
    <row r="2123" spans="1:11" x14ac:dyDescent="0.2">
      <c r="A2123" t="s">
        <v>6360</v>
      </c>
      <c r="B2123" t="s">
        <v>6361</v>
      </c>
      <c r="C2123" t="s">
        <v>3337</v>
      </c>
      <c r="D2123" t="s">
        <v>2720</v>
      </c>
      <c r="E2123" t="s">
        <v>4</v>
      </c>
      <c r="F2123">
        <v>671</v>
      </c>
      <c r="G2123">
        <v>217</v>
      </c>
      <c r="H2123" t="s">
        <v>13</v>
      </c>
      <c r="I2123" t="b">
        <v>0</v>
      </c>
      <c r="J2123">
        <f t="shared" si="66"/>
        <v>0</v>
      </c>
      <c r="K2123" t="str">
        <f t="shared" si="67"/>
        <v>Neutral</v>
      </c>
    </row>
    <row r="2124" spans="1:11" x14ac:dyDescent="0.2">
      <c r="A2124" t="s">
        <v>5255</v>
      </c>
      <c r="B2124" t="s">
        <v>5256</v>
      </c>
      <c r="C2124" t="s">
        <v>773</v>
      </c>
      <c r="D2124" t="s">
        <v>3</v>
      </c>
      <c r="E2124" t="s">
        <v>4</v>
      </c>
      <c r="F2124">
        <v>4</v>
      </c>
      <c r="G2124">
        <v>0</v>
      </c>
      <c r="H2124" t="s">
        <v>13</v>
      </c>
      <c r="I2124" t="b">
        <v>0</v>
      </c>
      <c r="J2124">
        <f t="shared" si="66"/>
        <v>0</v>
      </c>
      <c r="K2124" t="str">
        <f t="shared" si="67"/>
        <v>Neutral</v>
      </c>
    </row>
    <row r="2125" spans="1:11" x14ac:dyDescent="0.2">
      <c r="A2125" t="s">
        <v>6090</v>
      </c>
      <c r="B2125" t="s">
        <v>6091</v>
      </c>
      <c r="C2125" t="s">
        <v>2379</v>
      </c>
      <c r="D2125" t="s">
        <v>3</v>
      </c>
      <c r="E2125" t="s">
        <v>4</v>
      </c>
      <c r="F2125">
        <v>610</v>
      </c>
      <c r="G2125">
        <v>389</v>
      </c>
      <c r="H2125" t="s">
        <v>13</v>
      </c>
      <c r="I2125" t="b">
        <v>0</v>
      </c>
      <c r="J2125">
        <f t="shared" si="66"/>
        <v>0</v>
      </c>
      <c r="K2125" t="str">
        <f t="shared" si="67"/>
        <v>Neutral</v>
      </c>
    </row>
    <row r="2126" spans="1:11" x14ac:dyDescent="0.2">
      <c r="A2126" t="s">
        <v>1722</v>
      </c>
      <c r="B2126" t="s">
        <v>1723</v>
      </c>
      <c r="C2126" t="s">
        <v>1724</v>
      </c>
      <c r="D2126" t="s">
        <v>1725</v>
      </c>
      <c r="E2126" t="s">
        <v>4</v>
      </c>
      <c r="F2126">
        <v>1848</v>
      </c>
      <c r="G2126">
        <v>1184</v>
      </c>
      <c r="H2126" t="s">
        <v>13</v>
      </c>
      <c r="I2126" t="b">
        <v>0</v>
      </c>
      <c r="J2126">
        <f t="shared" si="66"/>
        <v>0</v>
      </c>
      <c r="K2126" t="str">
        <f t="shared" si="67"/>
        <v>Neutral</v>
      </c>
    </row>
    <row r="2127" spans="1:11" x14ac:dyDescent="0.2">
      <c r="A2127" t="s">
        <v>972</v>
      </c>
      <c r="B2127" t="s">
        <v>973</v>
      </c>
      <c r="C2127" t="s">
        <v>974</v>
      </c>
      <c r="D2127" t="s">
        <v>975</v>
      </c>
      <c r="E2127" t="s">
        <v>4</v>
      </c>
      <c r="F2127">
        <v>320</v>
      </c>
      <c r="G2127">
        <v>304</v>
      </c>
      <c r="H2127" t="s">
        <v>13</v>
      </c>
      <c r="I2127" t="b">
        <v>0</v>
      </c>
      <c r="J2127">
        <f t="shared" si="66"/>
        <v>0</v>
      </c>
      <c r="K2127" t="str">
        <f t="shared" si="67"/>
        <v>Neutral</v>
      </c>
    </row>
    <row r="2128" spans="1:11" x14ac:dyDescent="0.2">
      <c r="A2128" t="s">
        <v>3331</v>
      </c>
      <c r="B2128" t="s">
        <v>3332</v>
      </c>
      <c r="C2128" t="s">
        <v>3333</v>
      </c>
      <c r="D2128" t="s">
        <v>3334</v>
      </c>
      <c r="E2128" t="s">
        <v>4</v>
      </c>
      <c r="F2128">
        <v>424</v>
      </c>
      <c r="G2128">
        <v>377</v>
      </c>
      <c r="H2128" t="s">
        <v>13</v>
      </c>
      <c r="I2128" t="b">
        <v>0</v>
      </c>
      <c r="J2128">
        <f t="shared" si="66"/>
        <v>0</v>
      </c>
      <c r="K2128" t="str">
        <f t="shared" si="67"/>
        <v>Neutral</v>
      </c>
    </row>
    <row r="2129" spans="1:11" x14ac:dyDescent="0.2">
      <c r="A2129" t="s">
        <v>6032</v>
      </c>
      <c r="B2129" t="s">
        <v>6033</v>
      </c>
      <c r="C2129" t="s">
        <v>6034</v>
      </c>
      <c r="D2129" t="s">
        <v>71</v>
      </c>
      <c r="E2129" t="s">
        <v>4</v>
      </c>
      <c r="F2129">
        <v>9</v>
      </c>
      <c r="G2129">
        <v>42</v>
      </c>
      <c r="H2129" t="s">
        <v>13</v>
      </c>
      <c r="I2129" t="b">
        <v>0</v>
      </c>
      <c r="J2129">
        <f t="shared" si="66"/>
        <v>0</v>
      </c>
      <c r="K2129" t="str">
        <f t="shared" si="67"/>
        <v>Neutral</v>
      </c>
    </row>
    <row r="2130" spans="1:11" x14ac:dyDescent="0.2">
      <c r="A2130" t="s">
        <v>7159</v>
      </c>
      <c r="B2130" t="s">
        <v>7162</v>
      </c>
      <c r="C2130" t="s">
        <v>5512</v>
      </c>
      <c r="D2130" t="s">
        <v>7163</v>
      </c>
      <c r="E2130" t="s">
        <v>4</v>
      </c>
      <c r="F2130">
        <v>31617</v>
      </c>
      <c r="G2130">
        <v>156</v>
      </c>
      <c r="H2130" t="s">
        <v>13</v>
      </c>
      <c r="I2130" t="b">
        <v>0</v>
      </c>
      <c r="J2130">
        <f t="shared" si="66"/>
        <v>10</v>
      </c>
      <c r="K2130" t="str">
        <f t="shared" si="67"/>
        <v>Positive</v>
      </c>
    </row>
    <row r="2131" spans="1:11" x14ac:dyDescent="0.2">
      <c r="A2131" t="s">
        <v>6574</v>
      </c>
      <c r="B2131" t="s">
        <v>6575</v>
      </c>
      <c r="C2131" t="s">
        <v>6576</v>
      </c>
      <c r="D2131" t="s">
        <v>3</v>
      </c>
      <c r="E2131" t="s">
        <v>4</v>
      </c>
      <c r="F2131">
        <v>10</v>
      </c>
      <c r="G2131">
        <v>56</v>
      </c>
      <c r="H2131" t="s">
        <v>13</v>
      </c>
      <c r="I2131" t="b">
        <v>0</v>
      </c>
      <c r="J2131">
        <f t="shared" si="66"/>
        <v>0</v>
      </c>
      <c r="K2131" t="str">
        <f t="shared" si="67"/>
        <v>Neutral</v>
      </c>
    </row>
    <row r="2132" spans="1:11" x14ac:dyDescent="0.2">
      <c r="A2132" t="s">
        <v>4358</v>
      </c>
      <c r="B2132" t="s">
        <v>4359</v>
      </c>
      <c r="C2132" t="s">
        <v>1911</v>
      </c>
      <c r="D2132" t="s">
        <v>4360</v>
      </c>
      <c r="E2132" t="s">
        <v>4</v>
      </c>
      <c r="F2132">
        <v>371</v>
      </c>
      <c r="G2132">
        <v>42</v>
      </c>
      <c r="H2132" t="s">
        <v>76</v>
      </c>
      <c r="I2132" t="b">
        <v>0</v>
      </c>
      <c r="J2132">
        <f t="shared" si="66"/>
        <v>-10</v>
      </c>
      <c r="K2132" t="str">
        <f t="shared" si="67"/>
        <v>Negative</v>
      </c>
    </row>
    <row r="2133" spans="1:11" x14ac:dyDescent="0.2">
      <c r="A2133" t="s">
        <v>6351</v>
      </c>
      <c r="B2133" t="s">
        <v>6352</v>
      </c>
      <c r="C2133" t="s">
        <v>631</v>
      </c>
      <c r="D2133" t="s">
        <v>3</v>
      </c>
      <c r="E2133" t="s">
        <v>4</v>
      </c>
      <c r="F2133">
        <v>18</v>
      </c>
      <c r="G2133">
        <v>118</v>
      </c>
      <c r="H2133" t="s">
        <v>50</v>
      </c>
      <c r="I2133" t="b">
        <v>0</v>
      </c>
      <c r="J2133">
        <f t="shared" si="66"/>
        <v>0</v>
      </c>
      <c r="K2133" t="str">
        <f t="shared" si="67"/>
        <v>Neutral</v>
      </c>
    </row>
    <row r="2134" spans="1:11" x14ac:dyDescent="0.2">
      <c r="A2134" t="s">
        <v>2166</v>
      </c>
      <c r="B2134" t="s">
        <v>2167</v>
      </c>
      <c r="C2134" t="s">
        <v>2062</v>
      </c>
      <c r="D2134" t="s">
        <v>705</v>
      </c>
      <c r="E2134" t="s">
        <v>4</v>
      </c>
      <c r="F2134">
        <v>792</v>
      </c>
      <c r="G2134">
        <v>310</v>
      </c>
      <c r="H2134" t="s">
        <v>13</v>
      </c>
      <c r="I2134" t="b">
        <v>0</v>
      </c>
      <c r="J2134">
        <f t="shared" si="66"/>
        <v>0</v>
      </c>
      <c r="K2134" t="str">
        <f t="shared" si="67"/>
        <v>Neutral</v>
      </c>
    </row>
    <row r="2135" spans="1:11" x14ac:dyDescent="0.2">
      <c r="A2135" t="s">
        <v>857</v>
      </c>
      <c r="B2135" t="s">
        <v>858</v>
      </c>
      <c r="C2135" t="s">
        <v>859</v>
      </c>
      <c r="D2135" t="s">
        <v>3</v>
      </c>
      <c r="E2135" t="s">
        <v>4</v>
      </c>
      <c r="F2135">
        <v>20</v>
      </c>
      <c r="G2135">
        <v>188</v>
      </c>
      <c r="H2135" t="s">
        <v>13</v>
      </c>
      <c r="I2135" t="b">
        <v>0</v>
      </c>
      <c r="J2135">
        <f t="shared" si="66"/>
        <v>0</v>
      </c>
      <c r="K2135" t="str">
        <f t="shared" si="67"/>
        <v>Neutral</v>
      </c>
    </row>
    <row r="2136" spans="1:11" x14ac:dyDescent="0.2">
      <c r="A2136" t="s">
        <v>1132</v>
      </c>
      <c r="B2136" t="s">
        <v>1133</v>
      </c>
      <c r="C2136" t="s">
        <v>704</v>
      </c>
      <c r="D2136" t="s">
        <v>3</v>
      </c>
      <c r="E2136" t="s">
        <v>4</v>
      </c>
      <c r="F2136">
        <v>35</v>
      </c>
      <c r="G2136">
        <v>45</v>
      </c>
      <c r="H2136" t="s">
        <v>13</v>
      </c>
      <c r="I2136" t="b">
        <v>0</v>
      </c>
      <c r="J2136">
        <f t="shared" si="66"/>
        <v>0</v>
      </c>
      <c r="K2136" t="str">
        <f t="shared" si="67"/>
        <v>Neutral</v>
      </c>
    </row>
    <row r="2137" spans="1:11" x14ac:dyDescent="0.2">
      <c r="A2137" t="s">
        <v>4514</v>
      </c>
      <c r="B2137" t="s">
        <v>4515</v>
      </c>
      <c r="C2137" t="s">
        <v>1328</v>
      </c>
      <c r="D2137" t="s">
        <v>1901</v>
      </c>
      <c r="E2137" t="s">
        <v>4</v>
      </c>
      <c r="F2137">
        <v>101</v>
      </c>
      <c r="G2137">
        <v>89</v>
      </c>
      <c r="H2137" t="s">
        <v>13</v>
      </c>
      <c r="I2137" t="b">
        <v>0</v>
      </c>
      <c r="J2137">
        <f t="shared" si="66"/>
        <v>0</v>
      </c>
      <c r="K2137" t="str">
        <f t="shared" si="67"/>
        <v>Neutral</v>
      </c>
    </row>
    <row r="2138" spans="1:11" x14ac:dyDescent="0.2">
      <c r="A2138" t="s">
        <v>3842</v>
      </c>
      <c r="B2138" t="s">
        <v>3843</v>
      </c>
      <c r="C2138" t="s">
        <v>3844</v>
      </c>
      <c r="D2138" t="s">
        <v>64</v>
      </c>
      <c r="E2138" t="s">
        <v>4</v>
      </c>
      <c r="F2138">
        <v>72</v>
      </c>
      <c r="G2138">
        <v>516</v>
      </c>
      <c r="H2138" t="s">
        <v>13</v>
      </c>
      <c r="I2138" t="b">
        <v>0</v>
      </c>
      <c r="J2138">
        <f t="shared" si="66"/>
        <v>0</v>
      </c>
      <c r="K2138" t="str">
        <f t="shared" si="67"/>
        <v>Neutral</v>
      </c>
    </row>
    <row r="2139" spans="1:11" x14ac:dyDescent="0.2">
      <c r="A2139" t="s">
        <v>58</v>
      </c>
      <c r="B2139" t="s">
        <v>59</v>
      </c>
      <c r="C2139" t="s">
        <v>60</v>
      </c>
      <c r="D2139" t="s">
        <v>61</v>
      </c>
      <c r="E2139" t="s">
        <v>4</v>
      </c>
      <c r="F2139">
        <v>238</v>
      </c>
      <c r="G2139">
        <v>1394</v>
      </c>
      <c r="H2139" t="s">
        <v>13</v>
      </c>
      <c r="I2139" t="b">
        <v>0</v>
      </c>
      <c r="J2139">
        <f t="shared" si="66"/>
        <v>0</v>
      </c>
      <c r="K2139" t="str">
        <f t="shared" si="67"/>
        <v>Neutral</v>
      </c>
    </row>
    <row r="2140" spans="1:11" x14ac:dyDescent="0.2">
      <c r="A2140" t="s">
        <v>2407</v>
      </c>
      <c r="B2140" t="s">
        <v>2408</v>
      </c>
      <c r="C2140" t="s">
        <v>1823</v>
      </c>
      <c r="D2140" t="s">
        <v>2409</v>
      </c>
      <c r="E2140" t="s">
        <v>4</v>
      </c>
      <c r="F2140">
        <v>460</v>
      </c>
      <c r="G2140">
        <v>277</v>
      </c>
      <c r="H2140" t="s">
        <v>13</v>
      </c>
      <c r="I2140" t="b">
        <v>0</v>
      </c>
      <c r="J2140">
        <f t="shared" si="66"/>
        <v>0</v>
      </c>
      <c r="K2140" t="str">
        <f t="shared" si="67"/>
        <v>Neutral</v>
      </c>
    </row>
    <row r="2141" spans="1:11" x14ac:dyDescent="0.2">
      <c r="A2141" t="s">
        <v>3017</v>
      </c>
      <c r="B2141" t="s">
        <v>3018</v>
      </c>
      <c r="C2141" t="s">
        <v>1625</v>
      </c>
      <c r="D2141" t="s">
        <v>3019</v>
      </c>
      <c r="E2141" t="s">
        <v>4</v>
      </c>
      <c r="F2141">
        <v>125</v>
      </c>
      <c r="G2141">
        <v>191</v>
      </c>
      <c r="H2141" t="s">
        <v>114</v>
      </c>
      <c r="I2141" t="b">
        <v>0</v>
      </c>
      <c r="J2141">
        <f t="shared" si="66"/>
        <v>0</v>
      </c>
      <c r="K2141" t="str">
        <f t="shared" si="67"/>
        <v>Neutral</v>
      </c>
    </row>
    <row r="2142" spans="1:11" x14ac:dyDescent="0.2">
      <c r="A2142" t="s">
        <v>4098</v>
      </c>
      <c r="B2142" t="s">
        <v>4099</v>
      </c>
      <c r="C2142" t="s">
        <v>1481</v>
      </c>
      <c r="D2142" t="s">
        <v>4100</v>
      </c>
      <c r="E2142" t="s">
        <v>4</v>
      </c>
      <c r="F2142">
        <v>13777</v>
      </c>
      <c r="G2142">
        <v>1750</v>
      </c>
      <c r="H2142" t="s">
        <v>13</v>
      </c>
      <c r="I2142" t="b">
        <v>0</v>
      </c>
      <c r="J2142">
        <f t="shared" si="66"/>
        <v>-20</v>
      </c>
      <c r="K2142" t="str">
        <f t="shared" si="67"/>
        <v>Negative</v>
      </c>
    </row>
    <row r="2143" spans="1:11" x14ac:dyDescent="0.2">
      <c r="A2143" t="s">
        <v>5869</v>
      </c>
      <c r="B2143" t="s">
        <v>5870</v>
      </c>
      <c r="C2143" t="s">
        <v>2106</v>
      </c>
      <c r="D2143" t="s">
        <v>932</v>
      </c>
      <c r="E2143" t="s">
        <v>4</v>
      </c>
      <c r="F2143">
        <v>27</v>
      </c>
      <c r="G2143">
        <v>167</v>
      </c>
      <c r="H2143" t="s">
        <v>13</v>
      </c>
      <c r="I2143" t="b">
        <v>0</v>
      </c>
      <c r="J2143">
        <f t="shared" si="66"/>
        <v>0</v>
      </c>
      <c r="K2143" t="str">
        <f t="shared" si="67"/>
        <v>Neutral</v>
      </c>
    </row>
    <row r="2144" spans="1:11" x14ac:dyDescent="0.2">
      <c r="A2144" t="s">
        <v>4480</v>
      </c>
      <c r="B2144" t="s">
        <v>4481</v>
      </c>
      <c r="C2144" t="s">
        <v>4482</v>
      </c>
      <c r="D2144" t="s">
        <v>3</v>
      </c>
      <c r="E2144" t="s">
        <v>4</v>
      </c>
      <c r="F2144">
        <v>2</v>
      </c>
      <c r="G2144">
        <v>82</v>
      </c>
      <c r="H2144" t="s">
        <v>13</v>
      </c>
      <c r="I2144" t="b">
        <v>0</v>
      </c>
      <c r="J2144">
        <f t="shared" si="66"/>
        <v>10</v>
      </c>
      <c r="K2144" t="str">
        <f t="shared" si="67"/>
        <v>Positive</v>
      </c>
    </row>
    <row r="2145" spans="1:11" x14ac:dyDescent="0.2">
      <c r="A2145" t="s">
        <v>3803</v>
      </c>
      <c r="B2145" t="s">
        <v>3804</v>
      </c>
      <c r="C2145" t="s">
        <v>2375</v>
      </c>
      <c r="D2145" t="s">
        <v>3</v>
      </c>
      <c r="E2145" t="s">
        <v>4</v>
      </c>
      <c r="F2145">
        <v>153</v>
      </c>
      <c r="G2145">
        <v>438</v>
      </c>
      <c r="H2145" t="s">
        <v>13</v>
      </c>
      <c r="I2145" t="b">
        <v>0</v>
      </c>
      <c r="J2145">
        <f t="shared" si="66"/>
        <v>0</v>
      </c>
      <c r="K2145" t="str">
        <f t="shared" si="67"/>
        <v>Neutral</v>
      </c>
    </row>
    <row r="2146" spans="1:11" x14ac:dyDescent="0.2">
      <c r="A2146" t="s">
        <v>5072</v>
      </c>
      <c r="B2146" t="s">
        <v>5073</v>
      </c>
      <c r="C2146" t="s">
        <v>3544</v>
      </c>
      <c r="D2146" t="s">
        <v>3</v>
      </c>
      <c r="E2146" t="s">
        <v>4</v>
      </c>
      <c r="F2146">
        <v>37</v>
      </c>
      <c r="G2146">
        <v>144</v>
      </c>
      <c r="H2146" t="s">
        <v>13</v>
      </c>
      <c r="I2146" t="b">
        <v>0</v>
      </c>
      <c r="J2146">
        <f t="shared" si="66"/>
        <v>-10</v>
      </c>
      <c r="K2146" t="str">
        <f t="shared" si="67"/>
        <v>Negative</v>
      </c>
    </row>
    <row r="2147" spans="1:11" x14ac:dyDescent="0.2">
      <c r="A2147" t="s">
        <v>4051</v>
      </c>
      <c r="B2147" t="s">
        <v>4052</v>
      </c>
      <c r="C2147" t="s">
        <v>4053</v>
      </c>
      <c r="D2147" t="s">
        <v>3</v>
      </c>
      <c r="E2147" t="s">
        <v>4</v>
      </c>
      <c r="F2147">
        <v>287</v>
      </c>
      <c r="G2147">
        <v>250</v>
      </c>
      <c r="H2147" t="s">
        <v>13</v>
      </c>
      <c r="I2147" t="b">
        <v>0</v>
      </c>
      <c r="J2147">
        <f t="shared" si="66"/>
        <v>-10</v>
      </c>
      <c r="K2147" t="str">
        <f t="shared" si="67"/>
        <v>Negative</v>
      </c>
    </row>
    <row r="2148" spans="1:11" x14ac:dyDescent="0.2">
      <c r="A2148" t="s">
        <v>2880</v>
      </c>
      <c r="B2148" t="s">
        <v>2881</v>
      </c>
      <c r="C2148" t="s">
        <v>97</v>
      </c>
      <c r="D2148" t="s">
        <v>2882</v>
      </c>
      <c r="E2148" t="s">
        <v>4</v>
      </c>
      <c r="F2148">
        <v>19</v>
      </c>
      <c r="G2148">
        <v>32</v>
      </c>
      <c r="H2148" t="s">
        <v>13</v>
      </c>
      <c r="I2148" t="b">
        <v>0</v>
      </c>
      <c r="J2148">
        <f t="shared" si="66"/>
        <v>0</v>
      </c>
      <c r="K2148" t="str">
        <f t="shared" si="67"/>
        <v>Neutral</v>
      </c>
    </row>
    <row r="2149" spans="1:11" x14ac:dyDescent="0.2">
      <c r="A2149" t="s">
        <v>3941</v>
      </c>
      <c r="B2149" t="s">
        <v>3942</v>
      </c>
      <c r="C2149" t="s">
        <v>530</v>
      </c>
      <c r="D2149" t="s">
        <v>3</v>
      </c>
      <c r="E2149" t="s">
        <v>4</v>
      </c>
      <c r="F2149">
        <v>3125</v>
      </c>
      <c r="G2149">
        <v>4907</v>
      </c>
      <c r="H2149" t="s">
        <v>342</v>
      </c>
      <c r="I2149" t="b">
        <v>0</v>
      </c>
      <c r="J2149">
        <f t="shared" si="66"/>
        <v>0</v>
      </c>
      <c r="K2149" t="str">
        <f t="shared" si="67"/>
        <v>Neutral</v>
      </c>
    </row>
    <row r="2150" spans="1:11" x14ac:dyDescent="0.2">
      <c r="A2150" t="s">
        <v>2538</v>
      </c>
      <c r="B2150" t="s">
        <v>2539</v>
      </c>
      <c r="C2150" t="s">
        <v>720</v>
      </c>
      <c r="D2150" t="s">
        <v>2540</v>
      </c>
      <c r="E2150" t="s">
        <v>4</v>
      </c>
      <c r="F2150">
        <v>3247</v>
      </c>
      <c r="G2150">
        <v>196</v>
      </c>
      <c r="H2150" t="s">
        <v>13</v>
      </c>
      <c r="I2150" t="b">
        <v>0</v>
      </c>
      <c r="J2150">
        <f t="shared" si="66"/>
        <v>-10</v>
      </c>
      <c r="K2150" t="str">
        <f t="shared" si="67"/>
        <v>Negative</v>
      </c>
    </row>
    <row r="2151" spans="1:11" x14ac:dyDescent="0.2">
      <c r="A2151" t="s">
        <v>2000</v>
      </c>
      <c r="B2151" t="s">
        <v>2001</v>
      </c>
      <c r="C2151" t="s">
        <v>2002</v>
      </c>
      <c r="D2151" t="s">
        <v>3</v>
      </c>
      <c r="E2151" t="s">
        <v>4</v>
      </c>
      <c r="F2151">
        <v>4296</v>
      </c>
      <c r="G2151">
        <v>210</v>
      </c>
      <c r="H2151" t="s">
        <v>13</v>
      </c>
      <c r="I2151" t="b">
        <v>0</v>
      </c>
      <c r="J2151">
        <f t="shared" si="66"/>
        <v>10</v>
      </c>
      <c r="K2151" t="str">
        <f t="shared" si="67"/>
        <v>Positive</v>
      </c>
    </row>
    <row r="2152" spans="1:11" x14ac:dyDescent="0.2">
      <c r="A2152" t="s">
        <v>6611</v>
      </c>
      <c r="B2152" t="s">
        <v>6612</v>
      </c>
      <c r="C2152" t="s">
        <v>1201</v>
      </c>
      <c r="D2152" t="s">
        <v>6613</v>
      </c>
      <c r="E2152" t="s">
        <v>4</v>
      </c>
      <c r="F2152">
        <v>199</v>
      </c>
      <c r="G2152">
        <v>1865</v>
      </c>
      <c r="H2152" t="s">
        <v>13</v>
      </c>
      <c r="I2152" t="b">
        <v>0</v>
      </c>
      <c r="J2152">
        <f t="shared" si="66"/>
        <v>0</v>
      </c>
      <c r="K2152" t="str">
        <f t="shared" si="67"/>
        <v>Neutral</v>
      </c>
    </row>
    <row r="2153" spans="1:11" x14ac:dyDescent="0.2">
      <c r="A2153" t="s">
        <v>389</v>
      </c>
      <c r="B2153" t="s">
        <v>390</v>
      </c>
      <c r="C2153" t="s">
        <v>391</v>
      </c>
      <c r="D2153" t="s">
        <v>392</v>
      </c>
      <c r="E2153" t="s">
        <v>4</v>
      </c>
      <c r="F2153">
        <v>2251</v>
      </c>
      <c r="G2153">
        <v>3132</v>
      </c>
      <c r="H2153" t="s">
        <v>13</v>
      </c>
      <c r="I2153" t="b">
        <v>0</v>
      </c>
      <c r="J2153">
        <f t="shared" si="66"/>
        <v>10</v>
      </c>
      <c r="K2153" t="str">
        <f t="shared" si="67"/>
        <v>Positive</v>
      </c>
    </row>
    <row r="2154" spans="1:11" x14ac:dyDescent="0.2">
      <c r="A2154" t="s">
        <v>2089</v>
      </c>
      <c r="B2154" t="s">
        <v>2090</v>
      </c>
      <c r="C2154" t="s">
        <v>2091</v>
      </c>
      <c r="D2154" t="s">
        <v>3</v>
      </c>
      <c r="E2154" t="s">
        <v>4</v>
      </c>
      <c r="F2154">
        <v>28</v>
      </c>
      <c r="G2154">
        <v>241</v>
      </c>
      <c r="H2154" t="s">
        <v>13</v>
      </c>
      <c r="I2154" t="b">
        <v>0</v>
      </c>
      <c r="J2154">
        <f t="shared" si="66"/>
        <v>0</v>
      </c>
      <c r="K2154" t="str">
        <f t="shared" si="67"/>
        <v>Neutral</v>
      </c>
    </row>
    <row r="2155" spans="1:11" x14ac:dyDescent="0.2">
      <c r="A2155" t="s">
        <v>5416</v>
      </c>
      <c r="B2155" t="s">
        <v>5417</v>
      </c>
      <c r="C2155" t="s">
        <v>5418</v>
      </c>
      <c r="D2155" t="s">
        <v>566</v>
      </c>
      <c r="E2155" t="s">
        <v>4</v>
      </c>
      <c r="F2155">
        <v>2</v>
      </c>
      <c r="G2155">
        <v>9</v>
      </c>
      <c r="H2155" t="s">
        <v>363</v>
      </c>
      <c r="I2155" t="b">
        <v>0</v>
      </c>
      <c r="J2155">
        <f t="shared" si="66"/>
        <v>0</v>
      </c>
      <c r="K2155" t="str">
        <f t="shared" si="67"/>
        <v>Neutral</v>
      </c>
    </row>
    <row r="2156" spans="1:11" x14ac:dyDescent="0.2">
      <c r="A2156" t="s">
        <v>1380</v>
      </c>
      <c r="B2156" t="s">
        <v>1381</v>
      </c>
      <c r="C2156" t="s">
        <v>226</v>
      </c>
      <c r="D2156" t="s">
        <v>227</v>
      </c>
      <c r="E2156" t="s">
        <v>4</v>
      </c>
      <c r="F2156">
        <v>9224</v>
      </c>
      <c r="G2156">
        <v>7169</v>
      </c>
      <c r="H2156" t="s">
        <v>13</v>
      </c>
      <c r="I2156" t="b">
        <v>0</v>
      </c>
      <c r="J2156">
        <f t="shared" si="66"/>
        <v>0</v>
      </c>
      <c r="K2156" t="str">
        <f t="shared" si="67"/>
        <v>Neutral</v>
      </c>
    </row>
    <row r="2157" spans="1:11" x14ac:dyDescent="0.2">
      <c r="A2157" t="s">
        <v>4036</v>
      </c>
      <c r="B2157" t="s">
        <v>4037</v>
      </c>
      <c r="C2157" t="s">
        <v>4038</v>
      </c>
      <c r="D2157" t="s">
        <v>566</v>
      </c>
      <c r="E2157" t="s">
        <v>4</v>
      </c>
      <c r="F2157">
        <v>144</v>
      </c>
      <c r="G2157">
        <v>355</v>
      </c>
      <c r="H2157" t="s">
        <v>13</v>
      </c>
      <c r="I2157" t="b">
        <v>0</v>
      </c>
      <c r="J2157">
        <f t="shared" si="66"/>
        <v>0</v>
      </c>
      <c r="K2157" t="str">
        <f t="shared" si="67"/>
        <v>Neutral</v>
      </c>
    </row>
    <row r="2158" spans="1:11" x14ac:dyDescent="0.2">
      <c r="A2158" t="s">
        <v>232</v>
      </c>
      <c r="B2158" t="s">
        <v>233</v>
      </c>
      <c r="C2158" t="s">
        <v>234</v>
      </c>
      <c r="D2158" t="s">
        <v>235</v>
      </c>
      <c r="E2158" t="s">
        <v>4</v>
      </c>
      <c r="F2158">
        <v>22</v>
      </c>
      <c r="G2158">
        <v>105</v>
      </c>
      <c r="H2158" t="s">
        <v>13</v>
      </c>
      <c r="I2158" t="b">
        <v>0</v>
      </c>
      <c r="J2158">
        <f t="shared" si="66"/>
        <v>20</v>
      </c>
      <c r="K2158" t="str">
        <f t="shared" si="67"/>
        <v>Positive</v>
      </c>
    </row>
    <row r="2159" spans="1:11" x14ac:dyDescent="0.2">
      <c r="A2159" t="s">
        <v>3433</v>
      </c>
      <c r="B2159" t="s">
        <v>3434</v>
      </c>
      <c r="C2159" t="s">
        <v>3435</v>
      </c>
      <c r="D2159" t="s">
        <v>1657</v>
      </c>
      <c r="E2159" t="s">
        <v>4</v>
      </c>
      <c r="F2159">
        <v>227</v>
      </c>
      <c r="G2159">
        <v>390</v>
      </c>
      <c r="H2159" t="s">
        <v>13</v>
      </c>
      <c r="I2159" t="b">
        <v>0</v>
      </c>
      <c r="J2159">
        <f t="shared" si="66"/>
        <v>0</v>
      </c>
      <c r="K2159" t="str">
        <f t="shared" si="67"/>
        <v>Neutral</v>
      </c>
    </row>
    <row r="2160" spans="1:11" x14ac:dyDescent="0.2">
      <c r="A2160" t="s">
        <v>808</v>
      </c>
      <c r="B2160" t="s">
        <v>809</v>
      </c>
      <c r="C2160" t="s">
        <v>810</v>
      </c>
      <c r="D2160" t="s">
        <v>101</v>
      </c>
      <c r="E2160" t="s">
        <v>4</v>
      </c>
      <c r="F2160">
        <v>2287</v>
      </c>
      <c r="G2160">
        <v>42</v>
      </c>
      <c r="H2160" t="s">
        <v>5</v>
      </c>
      <c r="I2160" t="b">
        <v>0</v>
      </c>
      <c r="J2160">
        <f t="shared" si="66"/>
        <v>0</v>
      </c>
      <c r="K2160" t="str">
        <f t="shared" si="67"/>
        <v>Neutral</v>
      </c>
    </row>
    <row r="2161" spans="1:11" x14ac:dyDescent="0.2">
      <c r="A2161" t="s">
        <v>3706</v>
      </c>
      <c r="B2161" t="s">
        <v>3707</v>
      </c>
      <c r="C2161" t="s">
        <v>2930</v>
      </c>
      <c r="D2161" t="s">
        <v>3</v>
      </c>
      <c r="E2161" t="s">
        <v>4</v>
      </c>
      <c r="F2161">
        <v>67</v>
      </c>
      <c r="G2161">
        <v>366</v>
      </c>
      <c r="H2161" t="s">
        <v>13</v>
      </c>
      <c r="I2161" t="b">
        <v>0</v>
      </c>
      <c r="J2161">
        <f t="shared" si="66"/>
        <v>10</v>
      </c>
      <c r="K2161" t="str">
        <f t="shared" si="67"/>
        <v>Positive</v>
      </c>
    </row>
    <row r="2162" spans="1:11" x14ac:dyDescent="0.2">
      <c r="A2162" t="s">
        <v>7003</v>
      </c>
      <c r="B2162" t="s">
        <v>7004</v>
      </c>
      <c r="C2162" t="s">
        <v>2904</v>
      </c>
      <c r="D2162" t="s">
        <v>3</v>
      </c>
      <c r="E2162" t="s">
        <v>4</v>
      </c>
      <c r="F2162">
        <v>304</v>
      </c>
      <c r="G2162">
        <v>116</v>
      </c>
      <c r="H2162" t="s">
        <v>13</v>
      </c>
      <c r="I2162" t="b">
        <v>0</v>
      </c>
      <c r="J2162">
        <f t="shared" si="66"/>
        <v>0</v>
      </c>
      <c r="K2162" t="str">
        <f t="shared" si="67"/>
        <v>Neutral</v>
      </c>
    </row>
    <row r="2163" spans="1:11" x14ac:dyDescent="0.2">
      <c r="A2163" t="s">
        <v>4778</v>
      </c>
      <c r="B2163" t="s">
        <v>4779</v>
      </c>
      <c r="C2163" t="s">
        <v>2065</v>
      </c>
      <c r="D2163" t="s">
        <v>2066</v>
      </c>
      <c r="E2163" t="s">
        <v>4</v>
      </c>
      <c r="F2163">
        <v>9754</v>
      </c>
      <c r="G2163">
        <v>399</v>
      </c>
      <c r="H2163" t="s">
        <v>13</v>
      </c>
      <c r="I2163" t="b">
        <v>0</v>
      </c>
      <c r="J2163">
        <f t="shared" si="66"/>
        <v>0</v>
      </c>
      <c r="K2163" t="str">
        <f t="shared" si="67"/>
        <v>Neutral</v>
      </c>
    </row>
    <row r="2164" spans="1:11" x14ac:dyDescent="0.2">
      <c r="A2164" t="s">
        <v>7262</v>
      </c>
      <c r="B2164" t="s">
        <v>7263</v>
      </c>
      <c r="C2164" t="s">
        <v>104</v>
      </c>
      <c r="D2164" t="s">
        <v>105</v>
      </c>
      <c r="E2164" t="s">
        <v>4</v>
      </c>
      <c r="F2164">
        <v>4</v>
      </c>
      <c r="G2164">
        <v>54</v>
      </c>
      <c r="H2164" t="s">
        <v>13</v>
      </c>
      <c r="I2164" t="b">
        <v>0</v>
      </c>
      <c r="J2164">
        <f t="shared" si="66"/>
        <v>0</v>
      </c>
      <c r="K2164" t="str">
        <f t="shared" si="67"/>
        <v>Neutral</v>
      </c>
    </row>
    <row r="2165" spans="1:11" x14ac:dyDescent="0.2">
      <c r="A2165" t="s">
        <v>7255</v>
      </c>
      <c r="B2165" t="s">
        <v>7256</v>
      </c>
      <c r="C2165" t="s">
        <v>773</v>
      </c>
      <c r="D2165" t="s">
        <v>3</v>
      </c>
      <c r="E2165" t="s">
        <v>4</v>
      </c>
      <c r="F2165">
        <v>5</v>
      </c>
      <c r="G2165">
        <v>3</v>
      </c>
      <c r="H2165" t="s">
        <v>13</v>
      </c>
      <c r="I2165" t="b">
        <v>0</v>
      </c>
      <c r="J2165">
        <f t="shared" si="66"/>
        <v>0</v>
      </c>
      <c r="K2165" t="str">
        <f t="shared" si="67"/>
        <v>Neutral</v>
      </c>
    </row>
    <row r="2166" spans="1:11" x14ac:dyDescent="0.2">
      <c r="A2166" t="s">
        <v>3097</v>
      </c>
      <c r="B2166" t="s">
        <v>3098</v>
      </c>
      <c r="C2166" t="s">
        <v>2212</v>
      </c>
      <c r="D2166" t="s">
        <v>3</v>
      </c>
      <c r="E2166" t="s">
        <v>4</v>
      </c>
      <c r="F2166">
        <v>0</v>
      </c>
      <c r="G2166">
        <v>7</v>
      </c>
      <c r="H2166" t="s">
        <v>13</v>
      </c>
      <c r="I2166" t="b">
        <v>0</v>
      </c>
      <c r="J2166">
        <f t="shared" si="66"/>
        <v>0</v>
      </c>
      <c r="K2166" t="str">
        <f t="shared" si="67"/>
        <v>Neutral</v>
      </c>
    </row>
    <row r="2167" spans="1:11" x14ac:dyDescent="0.2">
      <c r="A2167" t="s">
        <v>5172</v>
      </c>
      <c r="B2167" t="s">
        <v>5173</v>
      </c>
      <c r="C2167" t="s">
        <v>773</v>
      </c>
      <c r="D2167" t="s">
        <v>1813</v>
      </c>
      <c r="E2167" t="s">
        <v>4</v>
      </c>
      <c r="F2167">
        <v>56</v>
      </c>
      <c r="G2167">
        <v>227</v>
      </c>
      <c r="H2167" t="s">
        <v>13</v>
      </c>
      <c r="I2167" t="b">
        <v>0</v>
      </c>
      <c r="J2167">
        <f t="shared" si="66"/>
        <v>10</v>
      </c>
      <c r="K2167" t="str">
        <f t="shared" si="67"/>
        <v>Positive</v>
      </c>
    </row>
    <row r="2168" spans="1:11" x14ac:dyDescent="0.2">
      <c r="A2168" t="s">
        <v>83</v>
      </c>
      <c r="B2168" t="s">
        <v>84</v>
      </c>
      <c r="C2168" t="s">
        <v>85</v>
      </c>
      <c r="D2168" t="s">
        <v>3</v>
      </c>
      <c r="E2168" t="s">
        <v>4</v>
      </c>
      <c r="F2168">
        <v>706</v>
      </c>
      <c r="G2168">
        <v>493</v>
      </c>
      <c r="H2168" t="s">
        <v>86</v>
      </c>
      <c r="I2168" t="b">
        <v>0</v>
      </c>
      <c r="J2168">
        <f t="shared" si="66"/>
        <v>0</v>
      </c>
      <c r="K2168" t="str">
        <f t="shared" si="67"/>
        <v>Neutral</v>
      </c>
    </row>
    <row r="2169" spans="1:11" x14ac:dyDescent="0.2">
      <c r="A2169" t="s">
        <v>1902</v>
      </c>
      <c r="B2169" t="s">
        <v>1903</v>
      </c>
      <c r="C2169" t="s">
        <v>1889</v>
      </c>
      <c r="D2169">
        <v>1988</v>
      </c>
      <c r="E2169" t="s">
        <v>4</v>
      </c>
      <c r="F2169">
        <v>134</v>
      </c>
      <c r="G2169">
        <v>196</v>
      </c>
      <c r="H2169" t="s">
        <v>13</v>
      </c>
      <c r="I2169" t="b">
        <v>0</v>
      </c>
      <c r="J2169">
        <f t="shared" si="66"/>
        <v>0</v>
      </c>
      <c r="K2169" t="str">
        <f t="shared" si="67"/>
        <v>Neutral</v>
      </c>
    </row>
    <row r="2170" spans="1:11" x14ac:dyDescent="0.2">
      <c r="A2170" t="s">
        <v>6373</v>
      </c>
      <c r="B2170" t="s">
        <v>6374</v>
      </c>
      <c r="C2170" t="s">
        <v>6375</v>
      </c>
      <c r="D2170" t="s">
        <v>6376</v>
      </c>
      <c r="E2170" t="s">
        <v>4</v>
      </c>
      <c r="F2170">
        <v>811</v>
      </c>
      <c r="G2170">
        <v>1814</v>
      </c>
      <c r="H2170" t="s">
        <v>13</v>
      </c>
      <c r="I2170" t="b">
        <v>0</v>
      </c>
      <c r="J2170">
        <f t="shared" si="66"/>
        <v>0</v>
      </c>
      <c r="K2170" t="str">
        <f t="shared" si="67"/>
        <v>Neutral</v>
      </c>
    </row>
    <row r="2171" spans="1:11" x14ac:dyDescent="0.2">
      <c r="A2171" t="s">
        <v>3952</v>
      </c>
      <c r="B2171" t="s">
        <v>3953</v>
      </c>
      <c r="C2171" t="s">
        <v>2558</v>
      </c>
      <c r="D2171" t="s">
        <v>3</v>
      </c>
      <c r="E2171" t="s">
        <v>4</v>
      </c>
      <c r="F2171">
        <v>888</v>
      </c>
      <c r="G2171">
        <v>1446</v>
      </c>
      <c r="H2171" t="s">
        <v>13</v>
      </c>
      <c r="I2171" t="b">
        <v>0</v>
      </c>
      <c r="J2171">
        <f t="shared" si="66"/>
        <v>0</v>
      </c>
      <c r="K2171" t="str">
        <f t="shared" si="67"/>
        <v>Neutral</v>
      </c>
    </row>
    <row r="2172" spans="1:11" x14ac:dyDescent="0.2">
      <c r="A2172" t="s">
        <v>6939</v>
      </c>
      <c r="B2172" t="s">
        <v>6940</v>
      </c>
      <c r="C2172" t="s">
        <v>2608</v>
      </c>
      <c r="D2172" t="s">
        <v>403</v>
      </c>
      <c r="E2172" t="s">
        <v>4</v>
      </c>
      <c r="F2172">
        <v>3515</v>
      </c>
      <c r="G2172">
        <v>4998</v>
      </c>
      <c r="H2172" t="s">
        <v>13</v>
      </c>
      <c r="I2172" t="b">
        <v>0</v>
      </c>
      <c r="J2172">
        <f t="shared" si="66"/>
        <v>0</v>
      </c>
      <c r="K2172" t="str">
        <f t="shared" si="67"/>
        <v>Neutral</v>
      </c>
    </row>
    <row r="2173" spans="1:11" x14ac:dyDescent="0.2">
      <c r="A2173" t="s">
        <v>4191</v>
      </c>
      <c r="B2173" t="s">
        <v>4192</v>
      </c>
      <c r="C2173" t="s">
        <v>336</v>
      </c>
      <c r="D2173" t="s">
        <v>4193</v>
      </c>
      <c r="E2173" t="s">
        <v>4</v>
      </c>
      <c r="F2173">
        <v>492</v>
      </c>
      <c r="G2173">
        <v>1211</v>
      </c>
      <c r="H2173" t="s">
        <v>13</v>
      </c>
      <c r="I2173" t="b">
        <v>0</v>
      </c>
      <c r="J2173">
        <f t="shared" si="66"/>
        <v>0</v>
      </c>
      <c r="K2173" t="str">
        <f t="shared" si="67"/>
        <v>Neutral</v>
      </c>
    </row>
    <row r="2174" spans="1:11" x14ac:dyDescent="0.2">
      <c r="A2174" t="s">
        <v>6958</v>
      </c>
      <c r="B2174" t="s">
        <v>6959</v>
      </c>
      <c r="C2174" t="s">
        <v>185</v>
      </c>
      <c r="D2174" t="s">
        <v>5465</v>
      </c>
      <c r="E2174" t="s">
        <v>4</v>
      </c>
      <c r="F2174">
        <v>3715</v>
      </c>
      <c r="G2174">
        <v>3679</v>
      </c>
      <c r="H2174" t="s">
        <v>13</v>
      </c>
      <c r="I2174" t="b">
        <v>0</v>
      </c>
      <c r="J2174">
        <f t="shared" si="66"/>
        <v>0</v>
      </c>
      <c r="K2174" t="str">
        <f t="shared" si="67"/>
        <v>Neutral</v>
      </c>
    </row>
    <row r="2175" spans="1:11" x14ac:dyDescent="0.2">
      <c r="A2175" t="s">
        <v>5038</v>
      </c>
      <c r="B2175" t="s">
        <v>5039</v>
      </c>
      <c r="C2175" t="s">
        <v>1291</v>
      </c>
      <c r="D2175" t="s">
        <v>3</v>
      </c>
      <c r="E2175" t="s">
        <v>4</v>
      </c>
      <c r="F2175">
        <v>70</v>
      </c>
      <c r="G2175">
        <v>194</v>
      </c>
      <c r="H2175" t="s">
        <v>13</v>
      </c>
      <c r="I2175" t="b">
        <v>0</v>
      </c>
      <c r="J2175">
        <f t="shared" si="66"/>
        <v>0</v>
      </c>
      <c r="K2175" t="str">
        <f t="shared" si="67"/>
        <v>Neutral</v>
      </c>
    </row>
    <row r="2176" spans="1:11" x14ac:dyDescent="0.2">
      <c r="A2176" t="s">
        <v>6248</v>
      </c>
      <c r="B2176" t="s">
        <v>6249</v>
      </c>
      <c r="C2176" t="s">
        <v>6250</v>
      </c>
      <c r="D2176" t="s">
        <v>3</v>
      </c>
      <c r="E2176" t="s">
        <v>4</v>
      </c>
      <c r="F2176">
        <v>13</v>
      </c>
      <c r="G2176">
        <v>33</v>
      </c>
      <c r="H2176" t="s">
        <v>13</v>
      </c>
      <c r="I2176" t="b">
        <v>0</v>
      </c>
      <c r="J2176">
        <f t="shared" si="66"/>
        <v>0</v>
      </c>
      <c r="K2176" t="str">
        <f t="shared" si="67"/>
        <v>Neutral</v>
      </c>
    </row>
    <row r="2177" spans="1:11" x14ac:dyDescent="0.2">
      <c r="A2177" t="s">
        <v>4707</v>
      </c>
      <c r="B2177" t="s">
        <v>4708</v>
      </c>
      <c r="C2177" t="s">
        <v>4709</v>
      </c>
      <c r="D2177" t="s">
        <v>2403</v>
      </c>
      <c r="E2177" t="s">
        <v>4</v>
      </c>
      <c r="F2177">
        <v>884</v>
      </c>
      <c r="G2177">
        <v>1704</v>
      </c>
      <c r="H2177" t="s">
        <v>13</v>
      </c>
      <c r="I2177" t="b">
        <v>0</v>
      </c>
      <c r="J2177">
        <f t="shared" si="66"/>
        <v>10</v>
      </c>
      <c r="K2177" t="str">
        <f t="shared" si="67"/>
        <v>Positive</v>
      </c>
    </row>
    <row r="2178" spans="1:11" x14ac:dyDescent="0.2">
      <c r="A2178" t="s">
        <v>2689</v>
      </c>
      <c r="B2178" t="s">
        <v>2690</v>
      </c>
      <c r="C2178" t="s">
        <v>2691</v>
      </c>
      <c r="D2178" t="s">
        <v>2692</v>
      </c>
      <c r="E2178" t="s">
        <v>4</v>
      </c>
      <c r="F2178">
        <v>231</v>
      </c>
      <c r="G2178">
        <v>1002</v>
      </c>
      <c r="H2178" t="s">
        <v>13</v>
      </c>
      <c r="I2178" t="b">
        <v>0</v>
      </c>
      <c r="J2178">
        <f t="shared" si="66"/>
        <v>0</v>
      </c>
      <c r="K2178" t="str">
        <f t="shared" si="67"/>
        <v>Neutral</v>
      </c>
    </row>
    <row r="2179" spans="1:11" x14ac:dyDescent="0.2">
      <c r="A2179" t="s">
        <v>2554</v>
      </c>
      <c r="B2179" t="s">
        <v>2555</v>
      </c>
      <c r="C2179" t="s">
        <v>704</v>
      </c>
      <c r="D2179" t="s">
        <v>3</v>
      </c>
      <c r="E2179" t="s">
        <v>4</v>
      </c>
      <c r="F2179">
        <v>3543</v>
      </c>
      <c r="G2179">
        <v>964</v>
      </c>
      <c r="H2179" t="s">
        <v>13</v>
      </c>
      <c r="I2179" t="b">
        <v>0</v>
      </c>
      <c r="J2179">
        <f t="shared" ref="J2179:J2242" si="68">sentimentCalc(B2179)</f>
        <v>0</v>
      </c>
      <c r="K2179" t="str">
        <f t="shared" ref="K2179:K2242" si="69">sentimentCategory(J2179)</f>
        <v>Neutral</v>
      </c>
    </row>
    <row r="2180" spans="1:11" x14ac:dyDescent="0.2">
      <c r="A2180" t="s">
        <v>3459</v>
      </c>
      <c r="B2180" t="s">
        <v>3460</v>
      </c>
      <c r="C2180" t="s">
        <v>3461</v>
      </c>
      <c r="D2180" t="s">
        <v>3462</v>
      </c>
      <c r="E2180" t="s">
        <v>4</v>
      </c>
      <c r="F2180">
        <v>22</v>
      </c>
      <c r="G2180">
        <v>39</v>
      </c>
      <c r="H2180" t="s">
        <v>13</v>
      </c>
      <c r="I2180" t="b">
        <v>0</v>
      </c>
      <c r="J2180">
        <f t="shared" si="68"/>
        <v>0</v>
      </c>
      <c r="K2180" t="str">
        <f t="shared" si="69"/>
        <v>Neutral</v>
      </c>
    </row>
    <row r="2181" spans="1:11" x14ac:dyDescent="0.2">
      <c r="A2181" t="s">
        <v>7000</v>
      </c>
      <c r="B2181" t="s">
        <v>7001</v>
      </c>
      <c r="C2181" t="s">
        <v>7002</v>
      </c>
      <c r="D2181" t="s">
        <v>1657</v>
      </c>
      <c r="E2181" t="s">
        <v>4</v>
      </c>
      <c r="F2181">
        <v>34</v>
      </c>
      <c r="G2181">
        <v>337</v>
      </c>
      <c r="H2181" t="s">
        <v>13</v>
      </c>
      <c r="I2181" t="b">
        <v>0</v>
      </c>
      <c r="J2181">
        <f t="shared" si="68"/>
        <v>0</v>
      </c>
      <c r="K2181" t="str">
        <f t="shared" si="69"/>
        <v>Neutral</v>
      </c>
    </row>
    <row r="2182" spans="1:11" x14ac:dyDescent="0.2">
      <c r="A2182" t="s">
        <v>313</v>
      </c>
      <c r="B2182" t="s">
        <v>314</v>
      </c>
      <c r="C2182" t="s">
        <v>315</v>
      </c>
      <c r="D2182" t="s">
        <v>316</v>
      </c>
      <c r="E2182" t="s">
        <v>4</v>
      </c>
      <c r="F2182">
        <v>207</v>
      </c>
      <c r="G2182">
        <v>630</v>
      </c>
      <c r="H2182" t="s">
        <v>13</v>
      </c>
      <c r="I2182" t="b">
        <v>0</v>
      </c>
      <c r="J2182">
        <f t="shared" si="68"/>
        <v>0</v>
      </c>
      <c r="K2182" t="str">
        <f t="shared" si="69"/>
        <v>Neutral</v>
      </c>
    </row>
    <row r="2183" spans="1:11" x14ac:dyDescent="0.2">
      <c r="A2183" t="s">
        <v>2663</v>
      </c>
      <c r="B2183" t="s">
        <v>2664</v>
      </c>
      <c r="C2183" t="s">
        <v>2665</v>
      </c>
      <c r="D2183" t="s">
        <v>2666</v>
      </c>
      <c r="E2183" t="s">
        <v>4</v>
      </c>
      <c r="F2183">
        <v>7</v>
      </c>
      <c r="G2183">
        <v>282</v>
      </c>
      <c r="H2183" t="s">
        <v>13</v>
      </c>
      <c r="I2183" t="b">
        <v>0</v>
      </c>
      <c r="J2183">
        <f t="shared" si="68"/>
        <v>10</v>
      </c>
      <c r="K2183" t="str">
        <f t="shared" si="69"/>
        <v>Positive</v>
      </c>
    </row>
    <row r="2184" spans="1:11" x14ac:dyDescent="0.2">
      <c r="A2184" t="s">
        <v>3910</v>
      </c>
      <c r="B2184" t="s">
        <v>3911</v>
      </c>
      <c r="C2184" t="s">
        <v>3912</v>
      </c>
      <c r="D2184" t="s">
        <v>3</v>
      </c>
      <c r="E2184" t="s">
        <v>4</v>
      </c>
      <c r="F2184">
        <v>748</v>
      </c>
      <c r="G2184">
        <v>1337</v>
      </c>
      <c r="H2184" t="s">
        <v>13</v>
      </c>
      <c r="I2184" t="b">
        <v>0</v>
      </c>
      <c r="J2184">
        <f t="shared" si="68"/>
        <v>0</v>
      </c>
      <c r="K2184" t="str">
        <f t="shared" si="69"/>
        <v>Neutral</v>
      </c>
    </row>
    <row r="2185" spans="1:11" x14ac:dyDescent="0.2">
      <c r="A2185" t="s">
        <v>4439</v>
      </c>
      <c r="B2185" t="s">
        <v>4440</v>
      </c>
      <c r="C2185" t="s">
        <v>648</v>
      </c>
      <c r="D2185" t="s">
        <v>320</v>
      </c>
      <c r="E2185" t="s">
        <v>4</v>
      </c>
      <c r="F2185">
        <v>194</v>
      </c>
      <c r="G2185">
        <v>297</v>
      </c>
      <c r="H2185" t="s">
        <v>13</v>
      </c>
      <c r="I2185" t="b">
        <v>0</v>
      </c>
      <c r="J2185">
        <f t="shared" si="68"/>
        <v>0</v>
      </c>
      <c r="K2185" t="str">
        <f t="shared" si="69"/>
        <v>Neutral</v>
      </c>
    </row>
    <row r="2186" spans="1:11" x14ac:dyDescent="0.2">
      <c r="A2186" t="s">
        <v>1954</v>
      </c>
      <c r="B2186" t="s">
        <v>1955</v>
      </c>
      <c r="C2186" t="s">
        <v>1545</v>
      </c>
      <c r="D2186" t="s">
        <v>3</v>
      </c>
      <c r="E2186" t="s">
        <v>4</v>
      </c>
      <c r="F2186">
        <v>4</v>
      </c>
      <c r="G2186">
        <v>113</v>
      </c>
      <c r="H2186" t="s">
        <v>13</v>
      </c>
      <c r="I2186" t="b">
        <v>0</v>
      </c>
      <c r="J2186">
        <f t="shared" si="68"/>
        <v>0</v>
      </c>
      <c r="K2186" t="str">
        <f t="shared" si="69"/>
        <v>Neutral</v>
      </c>
    </row>
    <row r="2187" spans="1:11" x14ac:dyDescent="0.2">
      <c r="A2187" t="s">
        <v>860</v>
      </c>
      <c r="B2187" t="s">
        <v>861</v>
      </c>
      <c r="C2187" t="s">
        <v>862</v>
      </c>
      <c r="D2187" t="s">
        <v>3</v>
      </c>
      <c r="E2187" t="s">
        <v>4</v>
      </c>
      <c r="F2187">
        <v>280</v>
      </c>
      <c r="G2187">
        <v>505</v>
      </c>
      <c r="H2187" t="s">
        <v>13</v>
      </c>
      <c r="I2187" t="b">
        <v>0</v>
      </c>
      <c r="J2187">
        <f t="shared" si="68"/>
        <v>0</v>
      </c>
      <c r="K2187" t="str">
        <f t="shared" si="69"/>
        <v>Neutral</v>
      </c>
    </row>
    <row r="2188" spans="1:11" x14ac:dyDescent="0.2">
      <c r="A2188" t="s">
        <v>3977</v>
      </c>
      <c r="B2188" t="s">
        <v>3978</v>
      </c>
      <c r="C2188" t="s">
        <v>3076</v>
      </c>
      <c r="D2188" t="s">
        <v>510</v>
      </c>
      <c r="E2188" t="s">
        <v>4</v>
      </c>
      <c r="F2188">
        <v>8</v>
      </c>
      <c r="G2188">
        <v>35</v>
      </c>
      <c r="H2188" t="s">
        <v>13</v>
      </c>
      <c r="I2188" t="b">
        <v>0</v>
      </c>
      <c r="J2188">
        <f t="shared" si="68"/>
        <v>0</v>
      </c>
      <c r="K2188" t="str">
        <f t="shared" si="69"/>
        <v>Neutral</v>
      </c>
    </row>
    <row r="2189" spans="1:11" x14ac:dyDescent="0.2">
      <c r="A2189" t="s">
        <v>6245</v>
      </c>
      <c r="B2189" t="s">
        <v>6246</v>
      </c>
      <c r="C2189" t="s">
        <v>6247</v>
      </c>
      <c r="D2189" t="s">
        <v>3</v>
      </c>
      <c r="E2189" t="s">
        <v>4</v>
      </c>
      <c r="F2189">
        <v>3</v>
      </c>
      <c r="G2189">
        <v>15</v>
      </c>
      <c r="H2189" t="s">
        <v>50</v>
      </c>
      <c r="I2189" t="b">
        <v>0</v>
      </c>
      <c r="J2189">
        <f t="shared" si="68"/>
        <v>0</v>
      </c>
      <c r="K2189" t="str">
        <f t="shared" si="69"/>
        <v>Neutral</v>
      </c>
    </row>
    <row r="2190" spans="1:11" x14ac:dyDescent="0.2">
      <c r="A2190" t="s">
        <v>1078</v>
      </c>
      <c r="B2190" t="s">
        <v>1079</v>
      </c>
      <c r="C2190" t="s">
        <v>279</v>
      </c>
      <c r="D2190" t="s">
        <v>569</v>
      </c>
      <c r="E2190" t="s">
        <v>4</v>
      </c>
      <c r="F2190">
        <v>299</v>
      </c>
      <c r="G2190">
        <v>310</v>
      </c>
      <c r="H2190" t="s">
        <v>13</v>
      </c>
      <c r="I2190" t="b">
        <v>0</v>
      </c>
      <c r="J2190">
        <f t="shared" si="68"/>
        <v>0</v>
      </c>
      <c r="K2190" t="str">
        <f t="shared" si="69"/>
        <v>Neutral</v>
      </c>
    </row>
    <row r="2191" spans="1:11" x14ac:dyDescent="0.2">
      <c r="A2191" t="s">
        <v>5238</v>
      </c>
      <c r="B2191" t="s">
        <v>5239</v>
      </c>
      <c r="C2191" t="s">
        <v>5167</v>
      </c>
      <c r="D2191" t="s">
        <v>5240</v>
      </c>
      <c r="E2191" t="s">
        <v>4</v>
      </c>
      <c r="F2191">
        <v>224</v>
      </c>
      <c r="G2191">
        <v>572</v>
      </c>
      <c r="H2191" t="s">
        <v>13</v>
      </c>
      <c r="I2191" t="b">
        <v>0</v>
      </c>
      <c r="J2191">
        <f t="shared" si="68"/>
        <v>0</v>
      </c>
      <c r="K2191" t="str">
        <f t="shared" si="69"/>
        <v>Neutral</v>
      </c>
    </row>
    <row r="2192" spans="1:11" x14ac:dyDescent="0.2">
      <c r="A2192" t="s">
        <v>3626</v>
      </c>
      <c r="B2192" t="s">
        <v>3627</v>
      </c>
      <c r="C2192" t="s">
        <v>439</v>
      </c>
      <c r="D2192" t="s">
        <v>3628</v>
      </c>
      <c r="E2192" t="s">
        <v>4</v>
      </c>
      <c r="F2192">
        <v>7</v>
      </c>
      <c r="G2192">
        <v>13</v>
      </c>
      <c r="H2192" t="s">
        <v>2184</v>
      </c>
      <c r="I2192" t="b">
        <v>0</v>
      </c>
      <c r="J2192">
        <f t="shared" si="68"/>
        <v>0</v>
      </c>
      <c r="K2192" t="str">
        <f t="shared" si="69"/>
        <v>Neutral</v>
      </c>
    </row>
    <row r="2193" spans="1:11" x14ac:dyDescent="0.2">
      <c r="A2193" t="s">
        <v>4554</v>
      </c>
      <c r="B2193" t="s">
        <v>4555</v>
      </c>
      <c r="C2193" t="s">
        <v>410</v>
      </c>
      <c r="D2193" t="s">
        <v>4556</v>
      </c>
      <c r="E2193" t="s">
        <v>4</v>
      </c>
      <c r="F2193">
        <v>2089</v>
      </c>
      <c r="G2193">
        <v>4647</v>
      </c>
      <c r="H2193" t="s">
        <v>13</v>
      </c>
      <c r="I2193" t="b">
        <v>0</v>
      </c>
      <c r="J2193">
        <f t="shared" si="68"/>
        <v>0</v>
      </c>
      <c r="K2193" t="str">
        <f t="shared" si="69"/>
        <v>Neutral</v>
      </c>
    </row>
    <row r="2194" spans="1:11" x14ac:dyDescent="0.2">
      <c r="A2194" t="s">
        <v>3246</v>
      </c>
      <c r="B2194" t="s">
        <v>3247</v>
      </c>
      <c r="C2194" t="s">
        <v>3248</v>
      </c>
      <c r="D2194" t="s">
        <v>3</v>
      </c>
      <c r="E2194" t="s">
        <v>4</v>
      </c>
      <c r="F2194">
        <v>10</v>
      </c>
      <c r="G2194">
        <v>28</v>
      </c>
      <c r="H2194" t="s">
        <v>13</v>
      </c>
      <c r="I2194" t="b">
        <v>0</v>
      </c>
      <c r="J2194">
        <f t="shared" si="68"/>
        <v>0</v>
      </c>
      <c r="K2194" t="str">
        <f t="shared" si="69"/>
        <v>Neutral</v>
      </c>
    </row>
    <row r="2195" spans="1:11" x14ac:dyDescent="0.2">
      <c r="A2195" t="s">
        <v>3927</v>
      </c>
      <c r="B2195" t="s">
        <v>3928</v>
      </c>
      <c r="C2195" t="s">
        <v>279</v>
      </c>
      <c r="D2195" t="s">
        <v>98</v>
      </c>
      <c r="E2195" t="s">
        <v>4</v>
      </c>
      <c r="F2195">
        <v>707</v>
      </c>
      <c r="G2195">
        <v>0</v>
      </c>
      <c r="H2195" t="s">
        <v>13</v>
      </c>
      <c r="I2195" t="b">
        <v>0</v>
      </c>
      <c r="J2195">
        <f t="shared" si="68"/>
        <v>0</v>
      </c>
      <c r="K2195" t="str">
        <f t="shared" si="69"/>
        <v>Neutral</v>
      </c>
    </row>
    <row r="2196" spans="1:11" x14ac:dyDescent="0.2">
      <c r="A2196" t="s">
        <v>3162</v>
      </c>
      <c r="B2196" t="s">
        <v>3163</v>
      </c>
      <c r="C2196" t="s">
        <v>3164</v>
      </c>
      <c r="D2196" t="s">
        <v>3165</v>
      </c>
      <c r="E2196" t="s">
        <v>4</v>
      </c>
      <c r="F2196">
        <v>66</v>
      </c>
      <c r="G2196">
        <v>97</v>
      </c>
      <c r="H2196" t="s">
        <v>13</v>
      </c>
      <c r="I2196" t="b">
        <v>0</v>
      </c>
      <c r="J2196">
        <f t="shared" si="68"/>
        <v>0</v>
      </c>
      <c r="K2196" t="str">
        <f t="shared" si="69"/>
        <v>Neutral</v>
      </c>
    </row>
    <row r="2197" spans="1:11" x14ac:dyDescent="0.2">
      <c r="A2197" t="s">
        <v>7233</v>
      </c>
      <c r="B2197" t="s">
        <v>7234</v>
      </c>
      <c r="C2197" t="s">
        <v>2558</v>
      </c>
      <c r="D2197" t="s">
        <v>3</v>
      </c>
      <c r="E2197" t="s">
        <v>4</v>
      </c>
      <c r="F2197">
        <v>894</v>
      </c>
      <c r="G2197">
        <v>1448</v>
      </c>
      <c r="H2197" t="s">
        <v>13</v>
      </c>
      <c r="I2197" t="b">
        <v>0</v>
      </c>
      <c r="J2197">
        <f t="shared" si="68"/>
        <v>0</v>
      </c>
      <c r="K2197" t="str">
        <f t="shared" si="69"/>
        <v>Neutral</v>
      </c>
    </row>
    <row r="2198" spans="1:11" x14ac:dyDescent="0.2">
      <c r="A2198" t="s">
        <v>4353</v>
      </c>
      <c r="B2198" t="s">
        <v>4354</v>
      </c>
      <c r="C2198" t="s">
        <v>3821</v>
      </c>
      <c r="D2198" t="s">
        <v>4355</v>
      </c>
      <c r="E2198" t="s">
        <v>4</v>
      </c>
      <c r="F2198">
        <v>33</v>
      </c>
      <c r="G2198">
        <v>428</v>
      </c>
      <c r="H2198" t="s">
        <v>13</v>
      </c>
      <c r="I2198" t="b">
        <v>0</v>
      </c>
      <c r="J2198">
        <f t="shared" si="68"/>
        <v>0</v>
      </c>
      <c r="K2198" t="str">
        <f t="shared" si="69"/>
        <v>Neutral</v>
      </c>
    </row>
    <row r="2199" spans="1:11" x14ac:dyDescent="0.2">
      <c r="A2199" t="s">
        <v>4963</v>
      </c>
      <c r="B2199" t="s">
        <v>4964</v>
      </c>
      <c r="C2199" t="s">
        <v>773</v>
      </c>
      <c r="D2199" t="s">
        <v>3</v>
      </c>
      <c r="E2199" t="s">
        <v>4</v>
      </c>
      <c r="F2199">
        <v>1</v>
      </c>
      <c r="G2199">
        <v>0</v>
      </c>
      <c r="H2199" t="s">
        <v>13</v>
      </c>
      <c r="I2199" t="b">
        <v>0</v>
      </c>
      <c r="J2199">
        <f t="shared" si="68"/>
        <v>0</v>
      </c>
      <c r="K2199" t="str">
        <f t="shared" si="69"/>
        <v>Neutral</v>
      </c>
    </row>
    <row r="2200" spans="1:11" x14ac:dyDescent="0.2">
      <c r="A2200" t="s">
        <v>4618</v>
      </c>
      <c r="B2200" t="s">
        <v>4619</v>
      </c>
      <c r="C2200" t="s">
        <v>2900</v>
      </c>
      <c r="D2200" t="s">
        <v>4620</v>
      </c>
      <c r="E2200" t="s">
        <v>4</v>
      </c>
      <c r="F2200">
        <v>362</v>
      </c>
      <c r="G2200">
        <v>652</v>
      </c>
      <c r="H2200" t="s">
        <v>13</v>
      </c>
      <c r="I2200" t="b">
        <v>0</v>
      </c>
      <c r="J2200">
        <f t="shared" si="68"/>
        <v>0</v>
      </c>
      <c r="K2200" t="str">
        <f t="shared" si="69"/>
        <v>Neutral</v>
      </c>
    </row>
    <row r="2201" spans="1:11" x14ac:dyDescent="0.2">
      <c r="A2201" t="s">
        <v>3548</v>
      </c>
      <c r="B2201" t="s">
        <v>3549</v>
      </c>
      <c r="C2201" t="s">
        <v>226</v>
      </c>
      <c r="D2201" t="s">
        <v>3550</v>
      </c>
      <c r="E2201" t="s">
        <v>4</v>
      </c>
      <c r="F2201">
        <v>3236</v>
      </c>
      <c r="G2201">
        <v>3407</v>
      </c>
      <c r="H2201" t="s">
        <v>13</v>
      </c>
      <c r="I2201" t="b">
        <v>0</v>
      </c>
      <c r="J2201">
        <f t="shared" si="68"/>
        <v>0</v>
      </c>
      <c r="K2201" t="str">
        <f t="shared" si="69"/>
        <v>Neutral</v>
      </c>
    </row>
    <row r="2202" spans="1:11" x14ac:dyDescent="0.2">
      <c r="A2202" t="s">
        <v>5133</v>
      </c>
      <c r="B2202" t="s">
        <v>5134</v>
      </c>
      <c r="C2202" t="s">
        <v>615</v>
      </c>
      <c r="D2202" t="s">
        <v>616</v>
      </c>
      <c r="E2202" t="s">
        <v>4</v>
      </c>
      <c r="F2202">
        <v>14</v>
      </c>
      <c r="G2202">
        <v>27</v>
      </c>
      <c r="H2202" t="s">
        <v>50</v>
      </c>
      <c r="I2202" t="b">
        <v>0</v>
      </c>
      <c r="J2202">
        <f t="shared" si="68"/>
        <v>0</v>
      </c>
      <c r="K2202" t="str">
        <f t="shared" si="69"/>
        <v>Neutral</v>
      </c>
    </row>
    <row r="2203" spans="1:11" x14ac:dyDescent="0.2">
      <c r="A2203" t="s">
        <v>3431</v>
      </c>
      <c r="B2203" t="s">
        <v>3432</v>
      </c>
      <c r="C2203" t="s">
        <v>197</v>
      </c>
      <c r="D2203" t="s">
        <v>3</v>
      </c>
      <c r="E2203" t="s">
        <v>4</v>
      </c>
      <c r="F2203">
        <v>153</v>
      </c>
      <c r="G2203">
        <v>500</v>
      </c>
      <c r="H2203" t="s">
        <v>13</v>
      </c>
      <c r="I2203" t="b">
        <v>0</v>
      </c>
      <c r="J2203">
        <f t="shared" si="68"/>
        <v>0</v>
      </c>
      <c r="K2203" t="str">
        <f t="shared" si="69"/>
        <v>Neutral</v>
      </c>
    </row>
    <row r="2204" spans="1:11" x14ac:dyDescent="0.2">
      <c r="A2204" t="s">
        <v>3779</v>
      </c>
      <c r="B2204" t="s">
        <v>3780</v>
      </c>
      <c r="C2204" t="s">
        <v>3769</v>
      </c>
      <c r="D2204" t="s">
        <v>3781</v>
      </c>
      <c r="E2204" t="s">
        <v>4</v>
      </c>
      <c r="F2204">
        <v>2014</v>
      </c>
      <c r="G2204">
        <v>402</v>
      </c>
      <c r="H2204" t="s">
        <v>13</v>
      </c>
      <c r="I2204" t="b">
        <v>0</v>
      </c>
      <c r="J2204">
        <f t="shared" si="68"/>
        <v>10</v>
      </c>
      <c r="K2204" t="str">
        <f t="shared" si="69"/>
        <v>Positive</v>
      </c>
    </row>
    <row r="2205" spans="1:11" x14ac:dyDescent="0.2">
      <c r="A2205" t="s">
        <v>4857</v>
      </c>
      <c r="B2205" t="s">
        <v>4858</v>
      </c>
      <c r="C2205" t="s">
        <v>3443</v>
      </c>
      <c r="D2205" t="s">
        <v>3716</v>
      </c>
      <c r="E2205" t="s">
        <v>4</v>
      </c>
      <c r="F2205">
        <v>2423</v>
      </c>
      <c r="G2205">
        <v>1340</v>
      </c>
      <c r="H2205" t="s">
        <v>13</v>
      </c>
      <c r="I2205" t="b">
        <v>0</v>
      </c>
      <c r="J2205">
        <f t="shared" si="68"/>
        <v>0</v>
      </c>
      <c r="K2205" t="str">
        <f t="shared" si="69"/>
        <v>Neutral</v>
      </c>
    </row>
    <row r="2206" spans="1:11" x14ac:dyDescent="0.2">
      <c r="A2206" t="s">
        <v>747</v>
      </c>
      <c r="B2206" t="s">
        <v>748</v>
      </c>
      <c r="C2206" t="s">
        <v>749</v>
      </c>
      <c r="D2206" t="s">
        <v>3</v>
      </c>
      <c r="E2206" t="s">
        <v>4</v>
      </c>
      <c r="F2206">
        <v>32</v>
      </c>
      <c r="G2206">
        <v>0</v>
      </c>
      <c r="H2206" t="s">
        <v>13</v>
      </c>
      <c r="I2206" t="b">
        <v>0</v>
      </c>
      <c r="J2206">
        <f t="shared" si="68"/>
        <v>0</v>
      </c>
      <c r="K2206" t="str">
        <f t="shared" si="69"/>
        <v>Neutral</v>
      </c>
    </row>
    <row r="2207" spans="1:11" x14ac:dyDescent="0.2">
      <c r="A2207" t="s">
        <v>2072</v>
      </c>
      <c r="B2207" t="s">
        <v>2073</v>
      </c>
      <c r="C2207" t="s">
        <v>293</v>
      </c>
      <c r="D2207" t="s">
        <v>3</v>
      </c>
      <c r="E2207" t="s">
        <v>4</v>
      </c>
      <c r="F2207">
        <v>3634</v>
      </c>
      <c r="G2207">
        <v>3732</v>
      </c>
      <c r="H2207" t="s">
        <v>13</v>
      </c>
      <c r="I2207" t="b">
        <v>0</v>
      </c>
      <c r="J2207">
        <f t="shared" si="68"/>
        <v>-10</v>
      </c>
      <c r="K2207" t="str">
        <f t="shared" si="69"/>
        <v>Negative</v>
      </c>
    </row>
    <row r="2208" spans="1:11" x14ac:dyDescent="0.2">
      <c r="A2208" t="s">
        <v>3855</v>
      </c>
      <c r="B2208" t="s">
        <v>3856</v>
      </c>
      <c r="C2208" t="s">
        <v>3857</v>
      </c>
      <c r="D2208" t="s">
        <v>3</v>
      </c>
      <c r="E2208" t="s">
        <v>4</v>
      </c>
      <c r="F2208">
        <v>21</v>
      </c>
      <c r="G2208">
        <v>137</v>
      </c>
      <c r="H2208" t="s">
        <v>86</v>
      </c>
      <c r="I2208" t="b">
        <v>0</v>
      </c>
      <c r="J2208">
        <f t="shared" si="68"/>
        <v>0</v>
      </c>
      <c r="K2208" t="str">
        <f t="shared" si="69"/>
        <v>Neutral</v>
      </c>
    </row>
    <row r="2209" spans="1:11" x14ac:dyDescent="0.2">
      <c r="A2209" t="s">
        <v>6202</v>
      </c>
      <c r="B2209" t="s">
        <v>6203</v>
      </c>
      <c r="C2209" t="s">
        <v>226</v>
      </c>
      <c r="D2209" t="s">
        <v>6204</v>
      </c>
      <c r="E2209" t="s">
        <v>4</v>
      </c>
      <c r="F2209">
        <v>390</v>
      </c>
      <c r="G2209">
        <v>500</v>
      </c>
      <c r="H2209" t="s">
        <v>13</v>
      </c>
      <c r="I2209" t="b">
        <v>0</v>
      </c>
      <c r="J2209">
        <f t="shared" si="68"/>
        <v>0</v>
      </c>
      <c r="K2209" t="str">
        <f t="shared" si="69"/>
        <v>Neutral</v>
      </c>
    </row>
    <row r="2210" spans="1:11" x14ac:dyDescent="0.2">
      <c r="A2210" t="s">
        <v>206</v>
      </c>
      <c r="B2210" t="s">
        <v>207</v>
      </c>
      <c r="C2210" t="s">
        <v>208</v>
      </c>
      <c r="D2210" t="s">
        <v>209</v>
      </c>
      <c r="E2210" t="s">
        <v>4</v>
      </c>
      <c r="F2210">
        <v>562</v>
      </c>
      <c r="G2210">
        <v>588</v>
      </c>
      <c r="H2210" t="s">
        <v>13</v>
      </c>
      <c r="I2210" t="b">
        <v>0</v>
      </c>
      <c r="J2210">
        <f t="shared" si="68"/>
        <v>0</v>
      </c>
      <c r="K2210" t="str">
        <f t="shared" si="69"/>
        <v>Neutral</v>
      </c>
    </row>
    <row r="2211" spans="1:11" x14ac:dyDescent="0.2">
      <c r="A2211" t="s">
        <v>1140</v>
      </c>
      <c r="B2211" t="s">
        <v>1141</v>
      </c>
      <c r="C2211" t="s">
        <v>1142</v>
      </c>
      <c r="D2211" t="s">
        <v>1143</v>
      </c>
      <c r="E2211" t="s">
        <v>4</v>
      </c>
      <c r="F2211">
        <v>4774</v>
      </c>
      <c r="G2211">
        <v>1095</v>
      </c>
      <c r="H2211" t="s">
        <v>13</v>
      </c>
      <c r="I2211" t="b">
        <v>0</v>
      </c>
      <c r="J2211">
        <f t="shared" si="68"/>
        <v>10</v>
      </c>
      <c r="K2211" t="str">
        <f t="shared" si="69"/>
        <v>Positive</v>
      </c>
    </row>
    <row r="2212" spans="1:11" x14ac:dyDescent="0.2">
      <c r="A2212" t="s">
        <v>5034</v>
      </c>
      <c r="B2212" t="s">
        <v>5035</v>
      </c>
      <c r="C2212" t="s">
        <v>5036</v>
      </c>
      <c r="D2212" t="s">
        <v>5037</v>
      </c>
      <c r="E2212" t="s">
        <v>4</v>
      </c>
      <c r="F2212">
        <v>45</v>
      </c>
      <c r="G2212">
        <v>386</v>
      </c>
      <c r="H2212" t="s">
        <v>13</v>
      </c>
      <c r="I2212" t="b">
        <v>0</v>
      </c>
      <c r="J2212">
        <f t="shared" si="68"/>
        <v>20</v>
      </c>
      <c r="K2212" t="str">
        <f t="shared" si="69"/>
        <v>Positive</v>
      </c>
    </row>
    <row r="2213" spans="1:11" x14ac:dyDescent="0.2">
      <c r="A2213" t="s">
        <v>3633</v>
      </c>
      <c r="B2213" t="s">
        <v>3634</v>
      </c>
      <c r="C2213" t="s">
        <v>3635</v>
      </c>
      <c r="D2213" t="s">
        <v>538</v>
      </c>
      <c r="E2213" t="s">
        <v>4</v>
      </c>
      <c r="F2213">
        <v>126</v>
      </c>
      <c r="G2213">
        <v>240</v>
      </c>
      <c r="H2213" t="s">
        <v>13</v>
      </c>
      <c r="I2213" t="b">
        <v>0</v>
      </c>
      <c r="J2213">
        <f t="shared" si="68"/>
        <v>0</v>
      </c>
      <c r="K2213" t="str">
        <f t="shared" si="69"/>
        <v>Neutral</v>
      </c>
    </row>
    <row r="2214" spans="1:11" x14ac:dyDescent="0.2">
      <c r="A2214" t="s">
        <v>2772</v>
      </c>
      <c r="B2214" t="s">
        <v>2773</v>
      </c>
      <c r="C2214" t="s">
        <v>2447</v>
      </c>
      <c r="D2214" t="s">
        <v>2774</v>
      </c>
      <c r="E2214" t="s">
        <v>4</v>
      </c>
      <c r="F2214">
        <v>131</v>
      </c>
      <c r="G2214">
        <v>317</v>
      </c>
      <c r="H2214" t="s">
        <v>13</v>
      </c>
      <c r="I2214" t="b">
        <v>0</v>
      </c>
      <c r="J2214">
        <f t="shared" si="68"/>
        <v>0</v>
      </c>
      <c r="K2214" t="str">
        <f t="shared" si="69"/>
        <v>Neutral</v>
      </c>
    </row>
    <row r="2215" spans="1:11" x14ac:dyDescent="0.2">
      <c r="A2215" t="s">
        <v>4632</v>
      </c>
      <c r="B2215" t="s">
        <v>4633</v>
      </c>
      <c r="C2215" t="s">
        <v>4495</v>
      </c>
      <c r="D2215" t="s">
        <v>1817</v>
      </c>
      <c r="E2215" t="s">
        <v>4</v>
      </c>
      <c r="F2215">
        <v>2629</v>
      </c>
      <c r="G2215">
        <v>1126</v>
      </c>
      <c r="H2215" t="s">
        <v>13</v>
      </c>
      <c r="I2215" t="b">
        <v>0</v>
      </c>
      <c r="J2215">
        <f t="shared" si="68"/>
        <v>10</v>
      </c>
      <c r="K2215" t="str">
        <f t="shared" si="69"/>
        <v>Positive</v>
      </c>
    </row>
    <row r="2216" spans="1:11" x14ac:dyDescent="0.2">
      <c r="A2216" t="s">
        <v>5513</v>
      </c>
      <c r="B2216" t="s">
        <v>5514</v>
      </c>
      <c r="C2216" t="s">
        <v>3821</v>
      </c>
      <c r="D2216" t="s">
        <v>3</v>
      </c>
      <c r="E2216" t="s">
        <v>4</v>
      </c>
      <c r="F2216">
        <v>117</v>
      </c>
      <c r="G2216">
        <v>328</v>
      </c>
      <c r="H2216" t="s">
        <v>645</v>
      </c>
      <c r="I2216" t="b">
        <v>0</v>
      </c>
      <c r="J2216">
        <f t="shared" si="68"/>
        <v>0</v>
      </c>
      <c r="K2216" t="str">
        <f t="shared" si="69"/>
        <v>Neutral</v>
      </c>
    </row>
    <row r="2217" spans="1:11" x14ac:dyDescent="0.2">
      <c r="A2217" t="s">
        <v>3297</v>
      </c>
      <c r="B2217" t="s">
        <v>3298</v>
      </c>
      <c r="C2217" t="s">
        <v>3299</v>
      </c>
      <c r="D2217" t="s">
        <v>3300</v>
      </c>
      <c r="E2217" t="s">
        <v>4</v>
      </c>
      <c r="F2217">
        <v>7127</v>
      </c>
      <c r="G2217">
        <v>610</v>
      </c>
      <c r="H2217" t="s">
        <v>13</v>
      </c>
      <c r="I2217" t="b">
        <v>0</v>
      </c>
      <c r="J2217">
        <f t="shared" si="68"/>
        <v>0</v>
      </c>
      <c r="K2217" t="str">
        <f t="shared" si="69"/>
        <v>Neutral</v>
      </c>
    </row>
    <row r="2218" spans="1:11" x14ac:dyDescent="0.2">
      <c r="A2218" t="s">
        <v>3979</v>
      </c>
      <c r="B2218" t="s">
        <v>3980</v>
      </c>
      <c r="C2218" t="s">
        <v>1099</v>
      </c>
      <c r="D2218" t="s">
        <v>3981</v>
      </c>
      <c r="E2218" t="s">
        <v>4</v>
      </c>
      <c r="F2218">
        <v>241</v>
      </c>
      <c r="G2218">
        <v>733</v>
      </c>
      <c r="H2218" t="s">
        <v>13</v>
      </c>
      <c r="I2218" t="b">
        <v>0</v>
      </c>
      <c r="J2218">
        <f t="shared" si="68"/>
        <v>0</v>
      </c>
      <c r="K2218" t="str">
        <f t="shared" si="69"/>
        <v>Neutral</v>
      </c>
    </row>
    <row r="2219" spans="1:11" x14ac:dyDescent="0.2">
      <c r="A2219" t="s">
        <v>5025</v>
      </c>
      <c r="B2219" t="s">
        <v>5026</v>
      </c>
      <c r="C2219" t="s">
        <v>3253</v>
      </c>
      <c r="D2219" t="s">
        <v>2565</v>
      </c>
      <c r="E2219" t="s">
        <v>4</v>
      </c>
      <c r="F2219">
        <v>74</v>
      </c>
      <c r="G2219">
        <v>1238</v>
      </c>
      <c r="H2219" t="s">
        <v>50</v>
      </c>
      <c r="I2219" t="b">
        <v>0</v>
      </c>
      <c r="J2219">
        <f t="shared" si="68"/>
        <v>0</v>
      </c>
      <c r="K2219" t="str">
        <f t="shared" si="69"/>
        <v>Neutral</v>
      </c>
    </row>
    <row r="2220" spans="1:11" x14ac:dyDescent="0.2">
      <c r="A2220" t="s">
        <v>3770</v>
      </c>
      <c r="B2220" t="s">
        <v>3771</v>
      </c>
      <c r="C2220" t="s">
        <v>3772</v>
      </c>
      <c r="D2220" t="s">
        <v>1372</v>
      </c>
      <c r="E2220" t="s">
        <v>4</v>
      </c>
      <c r="F2220">
        <v>73</v>
      </c>
      <c r="G2220">
        <v>420</v>
      </c>
      <c r="H2220" t="s">
        <v>13</v>
      </c>
      <c r="I2220" t="b">
        <v>0</v>
      </c>
      <c r="J2220">
        <f t="shared" si="68"/>
        <v>0</v>
      </c>
      <c r="K2220" t="str">
        <f t="shared" si="69"/>
        <v>Neutral</v>
      </c>
    </row>
    <row r="2221" spans="1:11" x14ac:dyDescent="0.2">
      <c r="A2221" t="s">
        <v>5207</v>
      </c>
      <c r="B2221" t="s">
        <v>5208</v>
      </c>
      <c r="C2221" t="s">
        <v>3248</v>
      </c>
      <c r="D2221" t="s">
        <v>5209</v>
      </c>
      <c r="E2221" t="s">
        <v>4</v>
      </c>
      <c r="F2221">
        <v>258</v>
      </c>
      <c r="G2221">
        <v>237</v>
      </c>
      <c r="H2221" t="s">
        <v>13</v>
      </c>
      <c r="I2221" t="b">
        <v>0</v>
      </c>
      <c r="J2221">
        <f t="shared" si="68"/>
        <v>0</v>
      </c>
      <c r="K2221" t="str">
        <f t="shared" si="69"/>
        <v>Neutral</v>
      </c>
    </row>
    <row r="2222" spans="1:11" x14ac:dyDescent="0.2">
      <c r="A2222" t="s">
        <v>3583</v>
      </c>
      <c r="B2222" t="s">
        <v>3584</v>
      </c>
      <c r="C2222" t="s">
        <v>3282</v>
      </c>
      <c r="D2222" t="s">
        <v>3585</v>
      </c>
      <c r="E2222" t="s">
        <v>4</v>
      </c>
      <c r="F2222">
        <v>1135</v>
      </c>
      <c r="G2222">
        <v>336</v>
      </c>
      <c r="H2222" t="s">
        <v>13</v>
      </c>
      <c r="I2222" t="b">
        <v>0</v>
      </c>
      <c r="J2222">
        <f t="shared" si="68"/>
        <v>0</v>
      </c>
      <c r="K2222" t="str">
        <f t="shared" si="69"/>
        <v>Neutral</v>
      </c>
    </row>
    <row r="2223" spans="1:11" x14ac:dyDescent="0.2">
      <c r="A2223" t="s">
        <v>4374</v>
      </c>
      <c r="B2223" t="s">
        <v>4375</v>
      </c>
      <c r="C2223" t="s">
        <v>3106</v>
      </c>
      <c r="D2223" t="s">
        <v>4376</v>
      </c>
      <c r="E2223" t="s">
        <v>4</v>
      </c>
      <c r="F2223">
        <v>436</v>
      </c>
      <c r="G2223">
        <v>1289</v>
      </c>
      <c r="H2223" t="s">
        <v>13</v>
      </c>
      <c r="I2223" t="b">
        <v>0</v>
      </c>
      <c r="J2223">
        <f t="shared" si="68"/>
        <v>0</v>
      </c>
      <c r="K2223" t="str">
        <f t="shared" si="69"/>
        <v>Neutral</v>
      </c>
    </row>
    <row r="2224" spans="1:11" x14ac:dyDescent="0.2">
      <c r="A2224" t="s">
        <v>4498</v>
      </c>
      <c r="B2224" t="s">
        <v>4499</v>
      </c>
      <c r="C2224" t="s">
        <v>137</v>
      </c>
      <c r="D2224" t="s">
        <v>3</v>
      </c>
      <c r="E2224" t="s">
        <v>4</v>
      </c>
      <c r="F2224">
        <v>12</v>
      </c>
      <c r="G2224">
        <v>51</v>
      </c>
      <c r="H2224" t="s">
        <v>13</v>
      </c>
      <c r="I2224" t="b">
        <v>0</v>
      </c>
      <c r="J2224">
        <f t="shared" si="68"/>
        <v>-10</v>
      </c>
      <c r="K2224" t="str">
        <f t="shared" si="69"/>
        <v>Negative</v>
      </c>
    </row>
    <row r="2225" spans="1:11" x14ac:dyDescent="0.2">
      <c r="A2225" t="s">
        <v>1755</v>
      </c>
      <c r="B2225" t="s">
        <v>1756</v>
      </c>
      <c r="C2225" t="s">
        <v>1757</v>
      </c>
      <c r="D2225" t="s">
        <v>3</v>
      </c>
      <c r="E2225" t="s">
        <v>4</v>
      </c>
      <c r="F2225">
        <v>194</v>
      </c>
      <c r="G2225">
        <v>89</v>
      </c>
      <c r="H2225" t="s">
        <v>1584</v>
      </c>
      <c r="I2225" t="b">
        <v>0</v>
      </c>
      <c r="J2225">
        <f t="shared" si="68"/>
        <v>10</v>
      </c>
      <c r="K2225" t="str">
        <f t="shared" si="69"/>
        <v>Positive</v>
      </c>
    </row>
    <row r="2226" spans="1:11" x14ac:dyDescent="0.2">
      <c r="A2226" t="s">
        <v>5337</v>
      </c>
      <c r="B2226" t="s">
        <v>5338</v>
      </c>
      <c r="C2226" t="s">
        <v>5339</v>
      </c>
      <c r="D2226" t="s">
        <v>5340</v>
      </c>
      <c r="E2226" t="s">
        <v>4</v>
      </c>
      <c r="F2226">
        <v>323</v>
      </c>
      <c r="G2226">
        <v>526</v>
      </c>
      <c r="H2226" t="s">
        <v>13</v>
      </c>
      <c r="I2226" t="b">
        <v>0</v>
      </c>
      <c r="J2226">
        <f t="shared" si="68"/>
        <v>0</v>
      </c>
      <c r="K2226" t="str">
        <f t="shared" si="69"/>
        <v>Neutral</v>
      </c>
    </row>
    <row r="2227" spans="1:11" x14ac:dyDescent="0.2">
      <c r="A2227" t="s">
        <v>400</v>
      </c>
      <c r="B2227" t="s">
        <v>401</v>
      </c>
      <c r="C2227" t="s">
        <v>402</v>
      </c>
      <c r="D2227" t="s">
        <v>403</v>
      </c>
      <c r="E2227" t="s">
        <v>4</v>
      </c>
      <c r="F2227">
        <v>1</v>
      </c>
      <c r="G2227">
        <v>3</v>
      </c>
      <c r="H2227" t="s">
        <v>13</v>
      </c>
      <c r="I2227" t="b">
        <v>0</v>
      </c>
      <c r="J2227">
        <f t="shared" si="68"/>
        <v>0</v>
      </c>
      <c r="K2227" t="str">
        <f t="shared" si="69"/>
        <v>Neutral</v>
      </c>
    </row>
    <row r="2228" spans="1:11" x14ac:dyDescent="0.2">
      <c r="A2228" t="s">
        <v>5821</v>
      </c>
      <c r="B2228" t="s">
        <v>5822</v>
      </c>
      <c r="C2228" t="s">
        <v>5823</v>
      </c>
      <c r="D2228" t="s">
        <v>3</v>
      </c>
      <c r="E2228" t="s">
        <v>4</v>
      </c>
      <c r="F2228">
        <v>563</v>
      </c>
      <c r="G2228">
        <v>1699</v>
      </c>
      <c r="H2228" t="s">
        <v>4417</v>
      </c>
      <c r="I2228" t="b">
        <v>0</v>
      </c>
      <c r="J2228">
        <f t="shared" si="68"/>
        <v>10</v>
      </c>
      <c r="K2228" t="str">
        <f t="shared" si="69"/>
        <v>Positive</v>
      </c>
    </row>
    <row r="2229" spans="1:11" x14ac:dyDescent="0.2">
      <c r="A2229" t="s">
        <v>87</v>
      </c>
      <c r="B2229" t="s">
        <v>88</v>
      </c>
      <c r="C2229" t="s">
        <v>89</v>
      </c>
      <c r="D2229" t="s">
        <v>90</v>
      </c>
      <c r="E2229" t="s">
        <v>4</v>
      </c>
      <c r="F2229">
        <v>1196</v>
      </c>
      <c r="G2229">
        <v>403</v>
      </c>
      <c r="H2229" t="s">
        <v>13</v>
      </c>
      <c r="I2229" t="b">
        <v>0</v>
      </c>
      <c r="J2229">
        <f t="shared" si="68"/>
        <v>0</v>
      </c>
      <c r="K2229" t="str">
        <f t="shared" si="69"/>
        <v>Neutral</v>
      </c>
    </row>
    <row r="2230" spans="1:11" x14ac:dyDescent="0.2">
      <c r="A2230" t="s">
        <v>4115</v>
      </c>
      <c r="B2230" t="s">
        <v>4116</v>
      </c>
      <c r="C2230" t="s">
        <v>1481</v>
      </c>
      <c r="D2230" t="s">
        <v>4100</v>
      </c>
      <c r="E2230" t="s">
        <v>4</v>
      </c>
      <c r="F2230">
        <v>13777</v>
      </c>
      <c r="G2230">
        <v>1750</v>
      </c>
      <c r="H2230" t="s">
        <v>13</v>
      </c>
      <c r="I2230" t="b">
        <v>0</v>
      </c>
      <c r="J2230">
        <f t="shared" si="68"/>
        <v>0</v>
      </c>
      <c r="K2230" t="str">
        <f t="shared" si="69"/>
        <v>Neutral</v>
      </c>
    </row>
    <row r="2231" spans="1:11" x14ac:dyDescent="0.2">
      <c r="A2231" t="s">
        <v>3815</v>
      </c>
      <c r="B2231" t="s">
        <v>3816</v>
      </c>
      <c r="C2231" t="s">
        <v>3817</v>
      </c>
      <c r="D2231" t="s">
        <v>3818</v>
      </c>
      <c r="E2231" t="s">
        <v>4</v>
      </c>
      <c r="F2231">
        <v>1629</v>
      </c>
      <c r="G2231">
        <v>2295</v>
      </c>
      <c r="H2231" t="s">
        <v>13</v>
      </c>
      <c r="I2231" t="b">
        <v>0</v>
      </c>
      <c r="J2231">
        <f t="shared" si="68"/>
        <v>10</v>
      </c>
      <c r="K2231" t="str">
        <f t="shared" si="69"/>
        <v>Positive</v>
      </c>
    </row>
    <row r="2232" spans="1:11" x14ac:dyDescent="0.2">
      <c r="A2232" t="s">
        <v>6030</v>
      </c>
      <c r="B2232" t="s">
        <v>6031</v>
      </c>
      <c r="C2232" t="s">
        <v>4363</v>
      </c>
      <c r="D2232" t="s">
        <v>3</v>
      </c>
      <c r="E2232" t="s">
        <v>4</v>
      </c>
      <c r="F2232">
        <v>8</v>
      </c>
      <c r="G2232">
        <v>38</v>
      </c>
      <c r="H2232" t="s">
        <v>13</v>
      </c>
      <c r="I2232" t="b">
        <v>0</v>
      </c>
      <c r="J2232">
        <f t="shared" si="68"/>
        <v>0</v>
      </c>
      <c r="K2232" t="str">
        <f t="shared" si="69"/>
        <v>Neutral</v>
      </c>
    </row>
    <row r="2233" spans="1:11" x14ac:dyDescent="0.2">
      <c r="A2233" t="s">
        <v>6921</v>
      </c>
      <c r="B2233" t="s">
        <v>6922</v>
      </c>
      <c r="C2233" t="s">
        <v>2417</v>
      </c>
      <c r="D2233" t="s">
        <v>3</v>
      </c>
      <c r="E2233" t="s">
        <v>4</v>
      </c>
      <c r="F2233">
        <v>61</v>
      </c>
      <c r="G2233">
        <v>945</v>
      </c>
      <c r="H2233" t="s">
        <v>1569</v>
      </c>
      <c r="I2233" t="b">
        <v>0</v>
      </c>
      <c r="J2233">
        <f t="shared" si="68"/>
        <v>0</v>
      </c>
      <c r="K2233" t="str">
        <f t="shared" si="69"/>
        <v>Neutral</v>
      </c>
    </row>
    <row r="2234" spans="1:11" x14ac:dyDescent="0.2">
      <c r="A2234" t="s">
        <v>5266</v>
      </c>
      <c r="B2234" t="s">
        <v>5267</v>
      </c>
      <c r="C2234" t="s">
        <v>3557</v>
      </c>
      <c r="D2234" t="s">
        <v>1439</v>
      </c>
      <c r="E2234" t="s">
        <v>4</v>
      </c>
      <c r="F2234">
        <v>9</v>
      </c>
      <c r="G2234">
        <v>18</v>
      </c>
      <c r="H2234" t="s">
        <v>13</v>
      </c>
      <c r="I2234" t="b">
        <v>0</v>
      </c>
      <c r="J2234">
        <f t="shared" si="68"/>
        <v>0</v>
      </c>
      <c r="K2234" t="str">
        <f t="shared" si="69"/>
        <v>Neutral</v>
      </c>
    </row>
    <row r="2235" spans="1:11" x14ac:dyDescent="0.2">
      <c r="A2235" t="s">
        <v>6077</v>
      </c>
      <c r="B2235" t="s">
        <v>6078</v>
      </c>
      <c r="C2235" t="s">
        <v>924</v>
      </c>
      <c r="D2235" t="s">
        <v>6079</v>
      </c>
      <c r="E2235" t="s">
        <v>4</v>
      </c>
      <c r="F2235">
        <v>171</v>
      </c>
      <c r="G2235">
        <v>98</v>
      </c>
      <c r="H2235" t="s">
        <v>13</v>
      </c>
      <c r="I2235" t="b">
        <v>0</v>
      </c>
      <c r="J2235">
        <f t="shared" si="68"/>
        <v>0</v>
      </c>
      <c r="K2235" t="str">
        <f t="shared" si="69"/>
        <v>Neutral</v>
      </c>
    </row>
    <row r="2236" spans="1:11" x14ac:dyDescent="0.2">
      <c r="A2236" t="s">
        <v>1541</v>
      </c>
      <c r="B2236" t="s">
        <v>1542</v>
      </c>
      <c r="C2236" t="s">
        <v>223</v>
      </c>
      <c r="D2236" t="s">
        <v>3</v>
      </c>
      <c r="E2236" t="s">
        <v>4</v>
      </c>
      <c r="F2236">
        <v>16</v>
      </c>
      <c r="G2236">
        <v>41</v>
      </c>
      <c r="H2236" t="s">
        <v>5</v>
      </c>
      <c r="I2236" t="b">
        <v>0</v>
      </c>
      <c r="J2236">
        <f t="shared" si="68"/>
        <v>10</v>
      </c>
      <c r="K2236" t="str">
        <f t="shared" si="69"/>
        <v>Positive</v>
      </c>
    </row>
    <row r="2237" spans="1:11" x14ac:dyDescent="0.2">
      <c r="A2237" t="s">
        <v>6496</v>
      </c>
      <c r="B2237" t="s">
        <v>6497</v>
      </c>
      <c r="C2237" t="s">
        <v>3912</v>
      </c>
      <c r="D2237" t="s">
        <v>6498</v>
      </c>
      <c r="E2237" t="s">
        <v>4</v>
      </c>
      <c r="F2237">
        <v>140</v>
      </c>
      <c r="G2237">
        <v>438</v>
      </c>
      <c r="H2237" t="s">
        <v>13</v>
      </c>
      <c r="I2237" t="b">
        <v>0</v>
      </c>
      <c r="J2237">
        <f t="shared" si="68"/>
        <v>0</v>
      </c>
      <c r="K2237" t="str">
        <f t="shared" si="69"/>
        <v>Neutral</v>
      </c>
    </row>
    <row r="2238" spans="1:11" x14ac:dyDescent="0.2">
      <c r="A2238" t="s">
        <v>2057</v>
      </c>
      <c r="B2238" t="s">
        <v>2058</v>
      </c>
      <c r="C2238" t="s">
        <v>791</v>
      </c>
      <c r="D2238" t="s">
        <v>98</v>
      </c>
      <c r="E2238" t="s">
        <v>4</v>
      </c>
      <c r="F2238">
        <v>289</v>
      </c>
      <c r="G2238">
        <v>881</v>
      </c>
      <c r="H2238" t="s">
        <v>13</v>
      </c>
      <c r="I2238" t="b">
        <v>0</v>
      </c>
      <c r="J2238">
        <f t="shared" si="68"/>
        <v>0</v>
      </c>
      <c r="K2238" t="str">
        <f t="shared" si="69"/>
        <v>Neutral</v>
      </c>
    </row>
    <row r="2239" spans="1:11" x14ac:dyDescent="0.2">
      <c r="A2239" t="s">
        <v>4586</v>
      </c>
      <c r="B2239" t="s">
        <v>4587</v>
      </c>
      <c r="C2239" t="s">
        <v>480</v>
      </c>
      <c r="D2239" t="s">
        <v>418</v>
      </c>
      <c r="E2239" t="s">
        <v>4</v>
      </c>
      <c r="F2239">
        <v>2</v>
      </c>
      <c r="G2239">
        <v>29</v>
      </c>
      <c r="H2239" t="s">
        <v>13</v>
      </c>
      <c r="I2239" t="b">
        <v>0</v>
      </c>
      <c r="J2239">
        <f t="shared" si="68"/>
        <v>0</v>
      </c>
      <c r="K2239" t="str">
        <f t="shared" si="69"/>
        <v>Neutral</v>
      </c>
    </row>
    <row r="2240" spans="1:11" x14ac:dyDescent="0.2">
      <c r="A2240" t="s">
        <v>6593</v>
      </c>
      <c r="B2240" t="s">
        <v>6594</v>
      </c>
      <c r="C2240" t="s">
        <v>6595</v>
      </c>
      <c r="D2240" t="s">
        <v>3</v>
      </c>
      <c r="E2240" t="s">
        <v>4</v>
      </c>
      <c r="F2240">
        <v>63</v>
      </c>
      <c r="G2240">
        <v>1</v>
      </c>
      <c r="H2240" t="s">
        <v>13</v>
      </c>
      <c r="I2240" t="b">
        <v>0</v>
      </c>
      <c r="J2240">
        <f t="shared" si="68"/>
        <v>0</v>
      </c>
      <c r="K2240" t="str">
        <f t="shared" si="69"/>
        <v>Neutral</v>
      </c>
    </row>
    <row r="2241" spans="1:11" x14ac:dyDescent="0.2">
      <c r="A2241" t="s">
        <v>6672</v>
      </c>
      <c r="B2241" t="s">
        <v>6673</v>
      </c>
      <c r="C2241" t="s">
        <v>2028</v>
      </c>
      <c r="D2241" t="s">
        <v>3</v>
      </c>
      <c r="E2241" t="s">
        <v>4</v>
      </c>
      <c r="F2241">
        <v>3305</v>
      </c>
      <c r="G2241">
        <v>197</v>
      </c>
      <c r="H2241" t="s">
        <v>13</v>
      </c>
      <c r="I2241" t="b">
        <v>0</v>
      </c>
      <c r="J2241">
        <f t="shared" si="68"/>
        <v>0</v>
      </c>
      <c r="K2241" t="str">
        <f t="shared" si="69"/>
        <v>Neutral</v>
      </c>
    </row>
    <row r="2242" spans="1:11" x14ac:dyDescent="0.2">
      <c r="A2242" t="s">
        <v>3049</v>
      </c>
      <c r="B2242" t="s">
        <v>3050</v>
      </c>
      <c r="C2242" t="s">
        <v>3051</v>
      </c>
      <c r="D2242" t="s">
        <v>3052</v>
      </c>
      <c r="E2242" t="s">
        <v>4</v>
      </c>
      <c r="F2242">
        <v>3137</v>
      </c>
      <c r="G2242">
        <v>566</v>
      </c>
      <c r="H2242" t="s">
        <v>13</v>
      </c>
      <c r="I2242" t="b">
        <v>0</v>
      </c>
      <c r="J2242">
        <f t="shared" si="68"/>
        <v>0</v>
      </c>
      <c r="K2242" t="str">
        <f t="shared" si="69"/>
        <v>Neutral</v>
      </c>
    </row>
    <row r="2243" spans="1:11" x14ac:dyDescent="0.2">
      <c r="A2243" t="s">
        <v>4775</v>
      </c>
      <c r="B2243" t="s">
        <v>4776</v>
      </c>
      <c r="C2243" t="s">
        <v>82</v>
      </c>
      <c r="D2243" t="s">
        <v>4777</v>
      </c>
      <c r="E2243" t="s">
        <v>38</v>
      </c>
      <c r="F2243">
        <v>33554</v>
      </c>
      <c r="G2243">
        <v>84</v>
      </c>
      <c r="H2243" t="s">
        <v>13</v>
      </c>
      <c r="I2243" t="b">
        <v>0</v>
      </c>
      <c r="J2243">
        <f t="shared" ref="J2243:J2306" si="70">sentimentCalc(B2243)</f>
        <v>0</v>
      </c>
      <c r="K2243" t="str">
        <f t="shared" ref="K2243:K2306" si="71">sentimentCategory(J2243)</f>
        <v>Neutral</v>
      </c>
    </row>
    <row r="2244" spans="1:11" x14ac:dyDescent="0.2">
      <c r="A2244" t="s">
        <v>4542</v>
      </c>
      <c r="B2244" t="s">
        <v>4543</v>
      </c>
      <c r="C2244" t="s">
        <v>4544</v>
      </c>
      <c r="D2244" t="s">
        <v>4545</v>
      </c>
      <c r="E2244" t="s">
        <v>4</v>
      </c>
      <c r="F2244">
        <v>6545</v>
      </c>
      <c r="G2244">
        <v>482</v>
      </c>
      <c r="H2244" t="s">
        <v>13</v>
      </c>
      <c r="I2244" t="b">
        <v>0</v>
      </c>
      <c r="J2244">
        <f t="shared" si="70"/>
        <v>-10</v>
      </c>
      <c r="K2244" t="str">
        <f t="shared" si="71"/>
        <v>Negative</v>
      </c>
    </row>
    <row r="2245" spans="1:11" x14ac:dyDescent="0.2">
      <c r="A2245" t="s">
        <v>3362</v>
      </c>
      <c r="B2245" t="s">
        <v>3363</v>
      </c>
      <c r="C2245" t="s">
        <v>2475</v>
      </c>
      <c r="D2245" t="s">
        <v>3364</v>
      </c>
      <c r="E2245" t="s">
        <v>4</v>
      </c>
      <c r="F2245">
        <v>263</v>
      </c>
      <c r="G2245">
        <v>192</v>
      </c>
      <c r="H2245" t="s">
        <v>13</v>
      </c>
      <c r="I2245" t="b">
        <v>0</v>
      </c>
      <c r="J2245">
        <f t="shared" si="70"/>
        <v>0</v>
      </c>
      <c r="K2245" t="str">
        <f t="shared" si="71"/>
        <v>Neutral</v>
      </c>
    </row>
    <row r="2246" spans="1:11" x14ac:dyDescent="0.2">
      <c r="A2246" t="s">
        <v>4961</v>
      </c>
      <c r="B2246" t="s">
        <v>4962</v>
      </c>
      <c r="C2246" t="s">
        <v>82</v>
      </c>
      <c r="D2246" t="s">
        <v>3</v>
      </c>
      <c r="E2246" t="s">
        <v>4</v>
      </c>
      <c r="F2246">
        <v>10</v>
      </c>
      <c r="G2246">
        <v>155</v>
      </c>
      <c r="H2246" t="s">
        <v>13</v>
      </c>
      <c r="I2246" t="b">
        <v>0</v>
      </c>
      <c r="J2246">
        <f t="shared" si="70"/>
        <v>-10</v>
      </c>
      <c r="K2246" t="str">
        <f t="shared" si="71"/>
        <v>Negative</v>
      </c>
    </row>
    <row r="2247" spans="1:11" x14ac:dyDescent="0.2">
      <c r="A2247" t="s">
        <v>1110</v>
      </c>
      <c r="B2247" t="s">
        <v>1111</v>
      </c>
      <c r="C2247" t="s">
        <v>410</v>
      </c>
      <c r="D2247" t="s">
        <v>566</v>
      </c>
      <c r="E2247" t="s">
        <v>4</v>
      </c>
      <c r="F2247">
        <v>1308</v>
      </c>
      <c r="G2247">
        <v>1994</v>
      </c>
      <c r="H2247" t="s">
        <v>13</v>
      </c>
      <c r="I2247" t="b">
        <v>0</v>
      </c>
      <c r="J2247">
        <f t="shared" si="70"/>
        <v>0</v>
      </c>
      <c r="K2247" t="str">
        <f t="shared" si="71"/>
        <v>Neutral</v>
      </c>
    </row>
    <row r="2248" spans="1:11" x14ac:dyDescent="0.2">
      <c r="A2248" t="s">
        <v>2423</v>
      </c>
      <c r="B2248" t="s">
        <v>2424</v>
      </c>
      <c r="C2248" t="s">
        <v>2425</v>
      </c>
      <c r="D2248" t="s">
        <v>2426</v>
      </c>
      <c r="E2248" t="s">
        <v>4</v>
      </c>
      <c r="F2248">
        <v>109</v>
      </c>
      <c r="G2248">
        <v>372</v>
      </c>
      <c r="H2248" t="s">
        <v>13</v>
      </c>
      <c r="I2248" t="b">
        <v>0</v>
      </c>
      <c r="J2248">
        <f t="shared" si="70"/>
        <v>0</v>
      </c>
      <c r="K2248" t="str">
        <f t="shared" si="71"/>
        <v>Neutral</v>
      </c>
    </row>
    <row r="2249" spans="1:11" x14ac:dyDescent="0.2">
      <c r="A2249" t="s">
        <v>3575</v>
      </c>
      <c r="B2249" t="s">
        <v>3576</v>
      </c>
      <c r="C2249" t="s">
        <v>1291</v>
      </c>
      <c r="D2249" t="s">
        <v>64</v>
      </c>
      <c r="E2249" t="s">
        <v>4</v>
      </c>
      <c r="F2249">
        <v>208</v>
      </c>
      <c r="G2249">
        <v>80</v>
      </c>
      <c r="H2249" t="s">
        <v>13</v>
      </c>
      <c r="I2249" t="b">
        <v>0</v>
      </c>
      <c r="J2249">
        <f t="shared" si="70"/>
        <v>0</v>
      </c>
      <c r="K2249" t="str">
        <f t="shared" si="71"/>
        <v>Neutral</v>
      </c>
    </row>
    <row r="2250" spans="1:11" x14ac:dyDescent="0.2">
      <c r="A2250" t="s">
        <v>1693</v>
      </c>
      <c r="B2250" t="s">
        <v>1694</v>
      </c>
      <c r="C2250" t="s">
        <v>1291</v>
      </c>
      <c r="D2250" t="s">
        <v>3</v>
      </c>
      <c r="E2250" t="s">
        <v>4</v>
      </c>
      <c r="F2250">
        <v>1184</v>
      </c>
      <c r="G2250">
        <v>1977</v>
      </c>
      <c r="H2250" t="s">
        <v>13</v>
      </c>
      <c r="I2250" t="b">
        <v>0</v>
      </c>
      <c r="J2250">
        <f t="shared" si="70"/>
        <v>0</v>
      </c>
      <c r="K2250" t="str">
        <f t="shared" si="71"/>
        <v>Neutral</v>
      </c>
    </row>
    <row r="2251" spans="1:11" x14ac:dyDescent="0.2">
      <c r="A2251" t="s">
        <v>3703</v>
      </c>
      <c r="B2251" t="s">
        <v>3704</v>
      </c>
      <c r="C2251" t="s">
        <v>28</v>
      </c>
      <c r="D2251" t="s">
        <v>3705</v>
      </c>
      <c r="E2251" t="s">
        <v>4</v>
      </c>
      <c r="F2251">
        <v>1025</v>
      </c>
      <c r="G2251">
        <v>2962</v>
      </c>
      <c r="H2251" t="s">
        <v>13</v>
      </c>
      <c r="I2251" t="b">
        <v>0</v>
      </c>
      <c r="J2251">
        <f t="shared" si="70"/>
        <v>10</v>
      </c>
      <c r="K2251" t="str">
        <f t="shared" si="71"/>
        <v>Positive</v>
      </c>
    </row>
    <row r="2252" spans="1:11" x14ac:dyDescent="0.2">
      <c r="A2252" t="s">
        <v>4610</v>
      </c>
      <c r="B2252" t="s">
        <v>4611</v>
      </c>
      <c r="C2252" t="s">
        <v>93</v>
      </c>
      <c r="D2252" t="s">
        <v>3</v>
      </c>
      <c r="E2252" t="s">
        <v>4</v>
      </c>
      <c r="F2252">
        <v>29</v>
      </c>
      <c r="G2252">
        <v>258</v>
      </c>
      <c r="H2252" t="s">
        <v>13</v>
      </c>
      <c r="I2252" t="b">
        <v>0</v>
      </c>
      <c r="J2252">
        <f t="shared" si="70"/>
        <v>10</v>
      </c>
      <c r="K2252" t="str">
        <f t="shared" si="71"/>
        <v>Positive</v>
      </c>
    </row>
    <row r="2253" spans="1:11" x14ac:dyDescent="0.2">
      <c r="A2253" t="s">
        <v>4356</v>
      </c>
      <c r="B2253" t="s">
        <v>4357</v>
      </c>
      <c r="C2253" t="s">
        <v>621</v>
      </c>
      <c r="D2253" t="s">
        <v>705</v>
      </c>
      <c r="E2253" t="s">
        <v>4</v>
      </c>
      <c r="F2253">
        <v>25</v>
      </c>
      <c r="G2253">
        <v>175</v>
      </c>
      <c r="H2253" t="s">
        <v>13</v>
      </c>
      <c r="I2253" t="b">
        <v>0</v>
      </c>
      <c r="J2253">
        <f t="shared" si="70"/>
        <v>-10</v>
      </c>
      <c r="K2253" t="str">
        <f t="shared" si="71"/>
        <v>Negative</v>
      </c>
    </row>
    <row r="2254" spans="1:11" x14ac:dyDescent="0.2">
      <c r="A2254" t="s">
        <v>1214</v>
      </c>
      <c r="B2254" t="s">
        <v>1215</v>
      </c>
      <c r="C2254" t="s">
        <v>494</v>
      </c>
      <c r="D2254" t="s">
        <v>1216</v>
      </c>
      <c r="E2254" t="s">
        <v>4</v>
      </c>
      <c r="F2254">
        <v>204</v>
      </c>
      <c r="G2254">
        <v>327</v>
      </c>
      <c r="H2254" t="s">
        <v>13</v>
      </c>
      <c r="I2254" t="b">
        <v>0</v>
      </c>
      <c r="J2254">
        <f t="shared" si="70"/>
        <v>0</v>
      </c>
      <c r="K2254" t="str">
        <f t="shared" si="71"/>
        <v>Neutral</v>
      </c>
    </row>
    <row r="2255" spans="1:11" x14ac:dyDescent="0.2">
      <c r="A2255" t="s">
        <v>4368</v>
      </c>
      <c r="B2255" t="s">
        <v>4369</v>
      </c>
      <c r="C2255" t="s">
        <v>621</v>
      </c>
      <c r="D2255" t="s">
        <v>705</v>
      </c>
      <c r="E2255" t="s">
        <v>4</v>
      </c>
      <c r="F2255">
        <v>25</v>
      </c>
      <c r="G2255">
        <v>175</v>
      </c>
      <c r="H2255" t="s">
        <v>13</v>
      </c>
      <c r="I2255" t="b">
        <v>0</v>
      </c>
      <c r="J2255">
        <f t="shared" si="70"/>
        <v>0</v>
      </c>
      <c r="K2255" t="str">
        <f t="shared" si="71"/>
        <v>Neutral</v>
      </c>
    </row>
    <row r="2256" spans="1:11" x14ac:dyDescent="0.2">
      <c r="A2256" t="s">
        <v>1474</v>
      </c>
      <c r="B2256" t="s">
        <v>1475</v>
      </c>
      <c r="C2256" t="s">
        <v>1116</v>
      </c>
      <c r="D2256" t="s">
        <v>1117</v>
      </c>
      <c r="E2256" t="s">
        <v>4</v>
      </c>
      <c r="F2256">
        <v>3495</v>
      </c>
      <c r="G2256">
        <v>1203</v>
      </c>
      <c r="H2256" t="s">
        <v>13</v>
      </c>
      <c r="I2256" t="b">
        <v>0</v>
      </c>
      <c r="J2256">
        <f t="shared" si="70"/>
        <v>0</v>
      </c>
      <c r="K2256" t="str">
        <f t="shared" si="71"/>
        <v>Neutral</v>
      </c>
    </row>
    <row r="2257" spans="1:11" x14ac:dyDescent="0.2">
      <c r="A2257" t="s">
        <v>5981</v>
      </c>
      <c r="B2257" t="s">
        <v>5982</v>
      </c>
      <c r="C2257" t="s">
        <v>5983</v>
      </c>
      <c r="D2257" t="s">
        <v>5984</v>
      </c>
      <c r="E2257" t="s">
        <v>4</v>
      </c>
      <c r="F2257">
        <v>412</v>
      </c>
      <c r="G2257">
        <v>438</v>
      </c>
      <c r="H2257" t="s">
        <v>13</v>
      </c>
      <c r="I2257" t="b">
        <v>0</v>
      </c>
      <c r="J2257">
        <f t="shared" si="70"/>
        <v>0</v>
      </c>
      <c r="K2257" t="str">
        <f t="shared" si="71"/>
        <v>Neutral</v>
      </c>
    </row>
    <row r="2258" spans="1:11" x14ac:dyDescent="0.2">
      <c r="A2258" t="s">
        <v>4445</v>
      </c>
      <c r="B2258" t="s">
        <v>4446</v>
      </c>
      <c r="C2258" t="s">
        <v>3265</v>
      </c>
      <c r="D2258" t="s">
        <v>3</v>
      </c>
      <c r="E2258" t="s">
        <v>4</v>
      </c>
      <c r="F2258">
        <v>216</v>
      </c>
      <c r="G2258">
        <v>125</v>
      </c>
      <c r="H2258" t="s">
        <v>13</v>
      </c>
      <c r="I2258" t="b">
        <v>0</v>
      </c>
      <c r="J2258">
        <f t="shared" si="70"/>
        <v>10</v>
      </c>
      <c r="K2258" t="str">
        <f t="shared" si="71"/>
        <v>Positive</v>
      </c>
    </row>
    <row r="2259" spans="1:11" x14ac:dyDescent="0.2">
      <c r="A2259" t="s">
        <v>4546</v>
      </c>
      <c r="B2259" t="s">
        <v>4547</v>
      </c>
      <c r="C2259" t="s">
        <v>429</v>
      </c>
      <c r="D2259" t="s">
        <v>4548</v>
      </c>
      <c r="E2259" t="s">
        <v>4</v>
      </c>
      <c r="F2259">
        <v>51</v>
      </c>
      <c r="G2259">
        <v>114</v>
      </c>
      <c r="H2259" t="s">
        <v>13</v>
      </c>
      <c r="I2259" t="b">
        <v>0</v>
      </c>
      <c r="J2259">
        <f t="shared" si="70"/>
        <v>20</v>
      </c>
      <c r="K2259" t="str">
        <f t="shared" si="71"/>
        <v>Positive</v>
      </c>
    </row>
    <row r="2260" spans="1:11" x14ac:dyDescent="0.2">
      <c r="A2260" t="s">
        <v>179</v>
      </c>
      <c r="B2260" t="s">
        <v>180</v>
      </c>
      <c r="C2260" t="s">
        <v>181</v>
      </c>
      <c r="D2260" t="s">
        <v>182</v>
      </c>
      <c r="E2260" t="s">
        <v>4</v>
      </c>
      <c r="F2260">
        <v>885</v>
      </c>
      <c r="G2260">
        <v>406</v>
      </c>
      <c r="H2260" t="s">
        <v>13</v>
      </c>
      <c r="I2260" t="b">
        <v>0</v>
      </c>
      <c r="J2260">
        <f t="shared" si="70"/>
        <v>0</v>
      </c>
      <c r="K2260" t="str">
        <f t="shared" si="71"/>
        <v>Neutral</v>
      </c>
    </row>
    <row r="2261" spans="1:11" x14ac:dyDescent="0.2">
      <c r="A2261" t="s">
        <v>6916</v>
      </c>
      <c r="B2261" t="s">
        <v>6917</v>
      </c>
      <c r="C2261" t="s">
        <v>6701</v>
      </c>
      <c r="D2261" t="s">
        <v>538</v>
      </c>
      <c r="E2261" t="s">
        <v>4</v>
      </c>
      <c r="F2261">
        <v>86</v>
      </c>
      <c r="G2261">
        <v>93</v>
      </c>
      <c r="H2261" t="s">
        <v>13</v>
      </c>
      <c r="I2261" t="b">
        <v>0</v>
      </c>
      <c r="J2261">
        <f t="shared" si="70"/>
        <v>0</v>
      </c>
      <c r="K2261" t="str">
        <f t="shared" si="71"/>
        <v>Neutral</v>
      </c>
    </row>
    <row r="2262" spans="1:11" x14ac:dyDescent="0.2">
      <c r="A2262" t="s">
        <v>6102</v>
      </c>
      <c r="B2262" t="s">
        <v>6103</v>
      </c>
      <c r="C2262" t="s">
        <v>2900</v>
      </c>
      <c r="D2262" t="s">
        <v>825</v>
      </c>
      <c r="E2262" t="s">
        <v>4</v>
      </c>
      <c r="F2262">
        <v>137</v>
      </c>
      <c r="G2262">
        <v>779</v>
      </c>
      <c r="H2262" t="s">
        <v>114</v>
      </c>
      <c r="I2262" t="b">
        <v>0</v>
      </c>
      <c r="J2262">
        <f t="shared" si="70"/>
        <v>10</v>
      </c>
      <c r="K2262" t="str">
        <f t="shared" si="71"/>
        <v>Positive</v>
      </c>
    </row>
    <row r="2263" spans="1:11" x14ac:dyDescent="0.2">
      <c r="A2263" t="s">
        <v>2667</v>
      </c>
      <c r="B2263" t="s">
        <v>2668</v>
      </c>
      <c r="C2263" t="s">
        <v>1583</v>
      </c>
      <c r="D2263" t="s">
        <v>3</v>
      </c>
      <c r="E2263" t="s">
        <v>4</v>
      </c>
      <c r="F2263">
        <v>17</v>
      </c>
      <c r="G2263">
        <v>0</v>
      </c>
      <c r="H2263" t="s">
        <v>13</v>
      </c>
      <c r="I2263" t="b">
        <v>0</v>
      </c>
      <c r="J2263">
        <f t="shared" si="70"/>
        <v>10</v>
      </c>
      <c r="K2263" t="str">
        <f t="shared" si="71"/>
        <v>Positive</v>
      </c>
    </row>
    <row r="2264" spans="1:11" x14ac:dyDescent="0.2">
      <c r="A2264" t="s">
        <v>7216</v>
      </c>
      <c r="B2264" t="s">
        <v>7217</v>
      </c>
      <c r="C2264" t="s">
        <v>7218</v>
      </c>
      <c r="D2264" t="s">
        <v>7219</v>
      </c>
      <c r="E2264" t="s">
        <v>4</v>
      </c>
      <c r="F2264">
        <v>238</v>
      </c>
      <c r="G2264">
        <v>168</v>
      </c>
      <c r="H2264" t="s">
        <v>13</v>
      </c>
      <c r="I2264" t="b">
        <v>0</v>
      </c>
      <c r="J2264">
        <f t="shared" si="70"/>
        <v>10</v>
      </c>
      <c r="K2264" t="str">
        <f t="shared" si="71"/>
        <v>Positive</v>
      </c>
    </row>
    <row r="2265" spans="1:11" x14ac:dyDescent="0.2">
      <c r="A2265" t="s">
        <v>5469</v>
      </c>
      <c r="B2265" t="s">
        <v>5470</v>
      </c>
      <c r="C2265" t="s">
        <v>4693</v>
      </c>
      <c r="D2265" t="s">
        <v>3</v>
      </c>
      <c r="E2265" t="s">
        <v>4</v>
      </c>
      <c r="F2265">
        <v>641</v>
      </c>
      <c r="G2265">
        <v>0</v>
      </c>
      <c r="H2265" t="s">
        <v>13</v>
      </c>
      <c r="I2265" t="b">
        <v>0</v>
      </c>
      <c r="J2265">
        <f t="shared" si="70"/>
        <v>10</v>
      </c>
      <c r="K2265" t="str">
        <f t="shared" si="71"/>
        <v>Positive</v>
      </c>
    </row>
    <row r="2266" spans="1:11" x14ac:dyDescent="0.2">
      <c r="A2266" t="s">
        <v>4727</v>
      </c>
      <c r="B2266" t="s">
        <v>4728</v>
      </c>
      <c r="C2266" t="s">
        <v>2043</v>
      </c>
      <c r="D2266" t="s">
        <v>2692</v>
      </c>
      <c r="E2266" t="s">
        <v>4</v>
      </c>
      <c r="F2266">
        <v>3187</v>
      </c>
      <c r="G2266">
        <v>686</v>
      </c>
      <c r="H2266" t="s">
        <v>13</v>
      </c>
      <c r="I2266" t="b">
        <v>0</v>
      </c>
      <c r="J2266">
        <f t="shared" si="70"/>
        <v>0</v>
      </c>
      <c r="K2266" t="str">
        <f t="shared" si="71"/>
        <v>Neutral</v>
      </c>
    </row>
    <row r="2267" spans="1:11" x14ac:dyDescent="0.2">
      <c r="A2267" t="s">
        <v>2130</v>
      </c>
      <c r="B2267" t="s">
        <v>2131</v>
      </c>
      <c r="C2267" t="s">
        <v>2132</v>
      </c>
      <c r="D2267" t="s">
        <v>1242</v>
      </c>
      <c r="E2267" t="s">
        <v>4</v>
      </c>
      <c r="F2267">
        <v>7</v>
      </c>
      <c r="G2267">
        <v>27</v>
      </c>
      <c r="H2267" t="s">
        <v>13</v>
      </c>
      <c r="I2267" t="b">
        <v>0</v>
      </c>
      <c r="J2267">
        <f t="shared" si="70"/>
        <v>0</v>
      </c>
      <c r="K2267" t="str">
        <f t="shared" si="71"/>
        <v>Neutral</v>
      </c>
    </row>
    <row r="2268" spans="1:11" x14ac:dyDescent="0.2">
      <c r="A2268" t="s">
        <v>4366</v>
      </c>
      <c r="B2268" t="s">
        <v>4367</v>
      </c>
      <c r="C2268" t="s">
        <v>2632</v>
      </c>
      <c r="D2268" t="s">
        <v>101</v>
      </c>
      <c r="E2268" t="s">
        <v>4</v>
      </c>
      <c r="F2268">
        <v>84</v>
      </c>
      <c r="G2268">
        <v>57</v>
      </c>
      <c r="H2268" t="s">
        <v>13</v>
      </c>
      <c r="I2268" t="b">
        <v>0</v>
      </c>
      <c r="J2268">
        <f t="shared" si="70"/>
        <v>0</v>
      </c>
      <c r="K2268" t="str">
        <f t="shared" si="71"/>
        <v>Neutral</v>
      </c>
    </row>
    <row r="2269" spans="1:11" x14ac:dyDescent="0.2">
      <c r="A2269" t="s">
        <v>4763</v>
      </c>
      <c r="B2269" t="s">
        <v>4764</v>
      </c>
      <c r="C2269" t="s">
        <v>1009</v>
      </c>
      <c r="D2269" t="s">
        <v>4765</v>
      </c>
      <c r="E2269" t="s">
        <v>4</v>
      </c>
      <c r="F2269">
        <v>2142</v>
      </c>
      <c r="G2269">
        <v>2517</v>
      </c>
      <c r="H2269" t="s">
        <v>13</v>
      </c>
      <c r="I2269" t="b">
        <v>0</v>
      </c>
      <c r="J2269">
        <f t="shared" si="70"/>
        <v>0</v>
      </c>
      <c r="K2269" t="str">
        <f t="shared" si="71"/>
        <v>Neutral</v>
      </c>
    </row>
    <row r="2270" spans="1:11" x14ac:dyDescent="0.2">
      <c r="A2270" t="s">
        <v>5119</v>
      </c>
      <c r="B2270" t="s">
        <v>5120</v>
      </c>
      <c r="C2270" t="s">
        <v>5121</v>
      </c>
      <c r="D2270" t="s">
        <v>5122</v>
      </c>
      <c r="E2270" t="s">
        <v>4</v>
      </c>
      <c r="F2270">
        <v>1638</v>
      </c>
      <c r="G2270">
        <v>1207</v>
      </c>
      <c r="H2270" t="s">
        <v>13</v>
      </c>
      <c r="I2270" t="b">
        <v>0</v>
      </c>
      <c r="J2270">
        <f t="shared" si="70"/>
        <v>0</v>
      </c>
      <c r="K2270" t="str">
        <f t="shared" si="71"/>
        <v>Neutral</v>
      </c>
    </row>
    <row r="2271" spans="1:11" x14ac:dyDescent="0.2">
      <c r="A2271" t="s">
        <v>3099</v>
      </c>
      <c r="B2271" t="s">
        <v>3100</v>
      </c>
      <c r="C2271" t="s">
        <v>1249</v>
      </c>
      <c r="D2271" t="s">
        <v>3101</v>
      </c>
      <c r="E2271" t="s">
        <v>4</v>
      </c>
      <c r="F2271">
        <v>357</v>
      </c>
      <c r="G2271">
        <v>157</v>
      </c>
      <c r="H2271" t="s">
        <v>13</v>
      </c>
      <c r="I2271" t="b">
        <v>0</v>
      </c>
      <c r="J2271">
        <f t="shared" si="70"/>
        <v>10</v>
      </c>
      <c r="K2271" t="str">
        <f t="shared" si="71"/>
        <v>Positive</v>
      </c>
    </row>
    <row r="2272" spans="1:11" x14ac:dyDescent="0.2">
      <c r="A2272" t="s">
        <v>6522</v>
      </c>
      <c r="B2272" t="s">
        <v>6523</v>
      </c>
      <c r="C2272" t="s">
        <v>6524</v>
      </c>
      <c r="D2272" t="s">
        <v>1817</v>
      </c>
      <c r="E2272" t="s">
        <v>4</v>
      </c>
      <c r="F2272">
        <v>104</v>
      </c>
      <c r="G2272">
        <v>493</v>
      </c>
      <c r="H2272" t="s">
        <v>13</v>
      </c>
      <c r="I2272" t="b">
        <v>0</v>
      </c>
      <c r="J2272">
        <f t="shared" si="70"/>
        <v>0</v>
      </c>
      <c r="K2272" t="str">
        <f t="shared" si="71"/>
        <v>Neutral</v>
      </c>
    </row>
    <row r="2273" spans="1:11" x14ac:dyDescent="0.2">
      <c r="A2273" t="s">
        <v>3093</v>
      </c>
      <c r="B2273" t="s">
        <v>3094</v>
      </c>
      <c r="C2273" t="s">
        <v>1602</v>
      </c>
      <c r="D2273" t="s">
        <v>1964</v>
      </c>
      <c r="E2273" t="s">
        <v>4</v>
      </c>
      <c r="F2273">
        <v>7051</v>
      </c>
      <c r="G2273">
        <v>4719</v>
      </c>
      <c r="H2273" t="s">
        <v>13</v>
      </c>
      <c r="I2273" t="b">
        <v>0</v>
      </c>
      <c r="J2273">
        <f t="shared" si="70"/>
        <v>10</v>
      </c>
      <c r="K2273" t="str">
        <f t="shared" si="71"/>
        <v>Positive</v>
      </c>
    </row>
    <row r="2274" spans="1:11" x14ac:dyDescent="0.2">
      <c r="A2274" t="s">
        <v>943</v>
      </c>
      <c r="B2274" t="s">
        <v>944</v>
      </c>
      <c r="C2274" t="s">
        <v>945</v>
      </c>
      <c r="D2274" t="s">
        <v>3</v>
      </c>
      <c r="E2274" t="s">
        <v>4</v>
      </c>
      <c r="F2274">
        <v>0</v>
      </c>
      <c r="G2274">
        <v>19</v>
      </c>
      <c r="H2274" t="s">
        <v>13</v>
      </c>
      <c r="I2274" t="b">
        <v>0</v>
      </c>
      <c r="J2274">
        <f t="shared" si="70"/>
        <v>10</v>
      </c>
      <c r="K2274" t="str">
        <f t="shared" si="71"/>
        <v>Positive</v>
      </c>
    </row>
    <row r="2275" spans="1:11" x14ac:dyDescent="0.2">
      <c r="A2275" t="s">
        <v>246</v>
      </c>
      <c r="B2275" t="s">
        <v>247</v>
      </c>
      <c r="C2275" t="s">
        <v>248</v>
      </c>
      <c r="D2275" t="s">
        <v>3</v>
      </c>
      <c r="E2275" t="s">
        <v>4</v>
      </c>
      <c r="F2275">
        <v>155</v>
      </c>
      <c r="G2275">
        <v>401</v>
      </c>
      <c r="H2275" t="s">
        <v>13</v>
      </c>
      <c r="I2275" t="b">
        <v>0</v>
      </c>
      <c r="J2275">
        <f t="shared" si="70"/>
        <v>0</v>
      </c>
      <c r="K2275" t="str">
        <f t="shared" si="71"/>
        <v>Neutral</v>
      </c>
    </row>
    <row r="2276" spans="1:11" x14ac:dyDescent="0.2">
      <c r="A2276" t="s">
        <v>3903</v>
      </c>
      <c r="B2276" t="s">
        <v>3904</v>
      </c>
      <c r="C2276" t="s">
        <v>1528</v>
      </c>
      <c r="D2276" t="s">
        <v>3</v>
      </c>
      <c r="E2276" t="s">
        <v>4</v>
      </c>
      <c r="F2276">
        <v>438</v>
      </c>
      <c r="G2276">
        <v>334</v>
      </c>
      <c r="H2276" t="s">
        <v>13</v>
      </c>
      <c r="I2276" t="b">
        <v>0</v>
      </c>
      <c r="J2276">
        <f t="shared" si="70"/>
        <v>0</v>
      </c>
      <c r="K2276" t="str">
        <f t="shared" si="71"/>
        <v>Neutral</v>
      </c>
    </row>
    <row r="2277" spans="1:11" x14ac:dyDescent="0.2">
      <c r="A2277" t="s">
        <v>1275</v>
      </c>
      <c r="B2277" t="s">
        <v>1276</v>
      </c>
      <c r="C2277" t="s">
        <v>1162</v>
      </c>
      <c r="D2277" t="s">
        <v>3</v>
      </c>
      <c r="E2277" t="s">
        <v>4</v>
      </c>
      <c r="F2277">
        <v>19</v>
      </c>
      <c r="G2277">
        <v>322</v>
      </c>
      <c r="H2277" t="s">
        <v>13</v>
      </c>
      <c r="I2277" t="b">
        <v>0</v>
      </c>
      <c r="J2277">
        <f t="shared" si="70"/>
        <v>0</v>
      </c>
      <c r="K2277" t="str">
        <f t="shared" si="71"/>
        <v>Neutral</v>
      </c>
    </row>
    <row r="2278" spans="1:11" x14ac:dyDescent="0.2">
      <c r="A2278" t="s">
        <v>6735</v>
      </c>
      <c r="B2278" t="s">
        <v>6736</v>
      </c>
      <c r="C2278" t="s">
        <v>4110</v>
      </c>
      <c r="D2278" t="s">
        <v>6737</v>
      </c>
      <c r="E2278" t="s">
        <v>4</v>
      </c>
      <c r="F2278">
        <v>229</v>
      </c>
      <c r="G2278">
        <v>573</v>
      </c>
      <c r="H2278" t="s">
        <v>13</v>
      </c>
      <c r="I2278" t="b">
        <v>0</v>
      </c>
      <c r="J2278">
        <f t="shared" si="70"/>
        <v>0</v>
      </c>
      <c r="K2278" t="str">
        <f t="shared" si="71"/>
        <v>Neutral</v>
      </c>
    </row>
    <row r="2279" spans="1:11" x14ac:dyDescent="0.2">
      <c r="A2279" t="s">
        <v>7250</v>
      </c>
      <c r="B2279" t="s">
        <v>7251</v>
      </c>
      <c r="C2279" t="s">
        <v>565</v>
      </c>
      <c r="D2279" t="s">
        <v>7252</v>
      </c>
      <c r="E2279" t="s">
        <v>38</v>
      </c>
      <c r="F2279">
        <v>10698</v>
      </c>
      <c r="G2279">
        <v>905</v>
      </c>
      <c r="H2279" t="s">
        <v>13</v>
      </c>
      <c r="I2279" t="b">
        <v>0</v>
      </c>
      <c r="J2279">
        <f t="shared" si="70"/>
        <v>0</v>
      </c>
      <c r="K2279" t="str">
        <f t="shared" si="71"/>
        <v>Neutral</v>
      </c>
    </row>
    <row r="2280" spans="1:11" x14ac:dyDescent="0.2">
      <c r="A2280" t="s">
        <v>3158</v>
      </c>
      <c r="B2280" t="s">
        <v>3159</v>
      </c>
      <c r="C2280" t="s">
        <v>1985</v>
      </c>
      <c r="D2280" t="s">
        <v>3</v>
      </c>
      <c r="E2280" t="s">
        <v>4</v>
      </c>
      <c r="F2280">
        <v>37</v>
      </c>
      <c r="G2280">
        <v>209</v>
      </c>
      <c r="H2280" t="s">
        <v>13</v>
      </c>
      <c r="I2280" t="b">
        <v>0</v>
      </c>
      <c r="J2280">
        <f t="shared" si="70"/>
        <v>0</v>
      </c>
      <c r="K2280" t="str">
        <f t="shared" si="71"/>
        <v>Neutral</v>
      </c>
    </row>
    <row r="2281" spans="1:11" x14ac:dyDescent="0.2">
      <c r="A2281" t="s">
        <v>6229</v>
      </c>
      <c r="B2281" t="s">
        <v>6230</v>
      </c>
      <c r="C2281" t="s">
        <v>6231</v>
      </c>
      <c r="D2281" t="s">
        <v>3</v>
      </c>
      <c r="E2281" t="s">
        <v>4</v>
      </c>
      <c r="F2281">
        <v>8</v>
      </c>
      <c r="G2281">
        <v>230</v>
      </c>
      <c r="H2281" t="s">
        <v>13</v>
      </c>
      <c r="I2281" t="b">
        <v>0</v>
      </c>
      <c r="J2281">
        <f t="shared" si="70"/>
        <v>0</v>
      </c>
      <c r="K2281" t="str">
        <f t="shared" si="71"/>
        <v>Neutral</v>
      </c>
    </row>
    <row r="2282" spans="1:11" x14ac:dyDescent="0.2">
      <c r="A2282" t="s">
        <v>5246</v>
      </c>
      <c r="B2282" t="s">
        <v>5247</v>
      </c>
      <c r="C2282" t="s">
        <v>5248</v>
      </c>
      <c r="D2282" t="s">
        <v>5249</v>
      </c>
      <c r="E2282" t="s">
        <v>4</v>
      </c>
      <c r="F2282">
        <v>2395</v>
      </c>
      <c r="G2282">
        <v>623</v>
      </c>
      <c r="H2282" t="s">
        <v>13</v>
      </c>
      <c r="I2282" t="b">
        <v>0</v>
      </c>
      <c r="J2282">
        <f t="shared" si="70"/>
        <v>0</v>
      </c>
      <c r="K2282" t="str">
        <f t="shared" si="71"/>
        <v>Neutral</v>
      </c>
    </row>
    <row r="2283" spans="1:11" x14ac:dyDescent="0.2">
      <c r="A2283" t="s">
        <v>4182</v>
      </c>
      <c r="B2283" t="s">
        <v>4183</v>
      </c>
      <c r="C2283" t="s">
        <v>2753</v>
      </c>
      <c r="D2283" t="s">
        <v>4184</v>
      </c>
      <c r="E2283" t="s">
        <v>4</v>
      </c>
      <c r="F2283">
        <v>149</v>
      </c>
      <c r="G2283">
        <v>248</v>
      </c>
      <c r="H2283" t="s">
        <v>13</v>
      </c>
      <c r="I2283" t="b">
        <v>0</v>
      </c>
      <c r="J2283">
        <f t="shared" si="70"/>
        <v>0</v>
      </c>
      <c r="K2283" t="str">
        <f t="shared" si="71"/>
        <v>Neutral</v>
      </c>
    </row>
    <row r="2284" spans="1:11" x14ac:dyDescent="0.2">
      <c r="A2284" t="s">
        <v>5697</v>
      </c>
      <c r="B2284" t="s">
        <v>5698</v>
      </c>
      <c r="C2284" t="s">
        <v>2543</v>
      </c>
      <c r="D2284" t="s">
        <v>1255</v>
      </c>
      <c r="E2284" t="s">
        <v>4</v>
      </c>
      <c r="F2284">
        <v>1189</v>
      </c>
      <c r="G2284">
        <v>1103</v>
      </c>
      <c r="H2284" t="s">
        <v>13</v>
      </c>
      <c r="I2284" t="b">
        <v>0</v>
      </c>
      <c r="J2284">
        <f t="shared" si="70"/>
        <v>10</v>
      </c>
      <c r="K2284" t="str">
        <f t="shared" si="71"/>
        <v>Positive</v>
      </c>
    </row>
    <row r="2285" spans="1:11" x14ac:dyDescent="0.2">
      <c r="A2285" t="s">
        <v>4176</v>
      </c>
      <c r="B2285" t="s">
        <v>4177</v>
      </c>
      <c r="C2285" t="s">
        <v>1099</v>
      </c>
      <c r="D2285" t="s">
        <v>4178</v>
      </c>
      <c r="E2285" t="s">
        <v>4</v>
      </c>
      <c r="F2285">
        <v>633</v>
      </c>
      <c r="G2285">
        <v>952</v>
      </c>
      <c r="H2285" t="s">
        <v>13</v>
      </c>
      <c r="I2285" t="b">
        <v>0</v>
      </c>
      <c r="J2285">
        <f t="shared" si="70"/>
        <v>0</v>
      </c>
      <c r="K2285" t="str">
        <f t="shared" si="71"/>
        <v>Neutral</v>
      </c>
    </row>
    <row r="2286" spans="1:11" x14ac:dyDescent="0.2">
      <c r="A2286" t="s">
        <v>5454</v>
      </c>
      <c r="B2286" t="s">
        <v>5455</v>
      </c>
      <c r="C2286" t="s">
        <v>293</v>
      </c>
      <c r="D2286" t="s">
        <v>3</v>
      </c>
      <c r="E2286" t="s">
        <v>4</v>
      </c>
      <c r="F2286">
        <v>44</v>
      </c>
      <c r="G2286">
        <v>204</v>
      </c>
      <c r="H2286" t="s">
        <v>13</v>
      </c>
      <c r="I2286" t="b">
        <v>0</v>
      </c>
      <c r="J2286">
        <f t="shared" si="70"/>
        <v>10</v>
      </c>
      <c r="K2286" t="str">
        <f t="shared" si="71"/>
        <v>Positive</v>
      </c>
    </row>
    <row r="2287" spans="1:11" x14ac:dyDescent="0.2">
      <c r="A2287" t="s">
        <v>5988</v>
      </c>
      <c r="B2287" t="s">
        <v>5989</v>
      </c>
      <c r="C2287" t="s">
        <v>2679</v>
      </c>
      <c r="D2287" t="s">
        <v>5990</v>
      </c>
      <c r="E2287" t="s">
        <v>4</v>
      </c>
      <c r="F2287">
        <v>366</v>
      </c>
      <c r="G2287">
        <v>502</v>
      </c>
      <c r="H2287" t="s">
        <v>13</v>
      </c>
      <c r="I2287" t="b">
        <v>0</v>
      </c>
      <c r="J2287">
        <f t="shared" si="70"/>
        <v>0</v>
      </c>
      <c r="K2287" t="str">
        <f t="shared" si="71"/>
        <v>Neutral</v>
      </c>
    </row>
    <row r="2288" spans="1:11" x14ac:dyDescent="0.2">
      <c r="A2288" t="s">
        <v>6993</v>
      </c>
      <c r="B2288" t="s">
        <v>6994</v>
      </c>
      <c r="C2288" t="s">
        <v>1889</v>
      </c>
      <c r="D2288" t="s">
        <v>1577</v>
      </c>
      <c r="E2288" t="s">
        <v>4</v>
      </c>
      <c r="F2288">
        <v>41</v>
      </c>
      <c r="G2288">
        <v>228</v>
      </c>
      <c r="H2288" t="s">
        <v>13</v>
      </c>
      <c r="I2288" t="b">
        <v>0</v>
      </c>
      <c r="J2288">
        <f t="shared" si="70"/>
        <v>0</v>
      </c>
      <c r="K2288" t="str">
        <f t="shared" si="71"/>
        <v>Neutral</v>
      </c>
    </row>
    <row r="2289" spans="1:11" x14ac:dyDescent="0.2">
      <c r="A2289" t="s">
        <v>1769</v>
      </c>
      <c r="B2289" t="s">
        <v>1770</v>
      </c>
      <c r="C2289" t="s">
        <v>1771</v>
      </c>
      <c r="D2289" t="s">
        <v>1772</v>
      </c>
      <c r="E2289" t="s">
        <v>4</v>
      </c>
      <c r="F2289">
        <v>28</v>
      </c>
      <c r="G2289">
        <v>101</v>
      </c>
      <c r="H2289" t="s">
        <v>13</v>
      </c>
      <c r="I2289" t="b">
        <v>0</v>
      </c>
      <c r="J2289">
        <f t="shared" si="70"/>
        <v>0</v>
      </c>
      <c r="K2289" t="str">
        <f t="shared" si="71"/>
        <v>Neutral</v>
      </c>
    </row>
    <row r="2290" spans="1:11" x14ac:dyDescent="0.2">
      <c r="A2290" t="s">
        <v>1997</v>
      </c>
      <c r="B2290" t="s">
        <v>1998</v>
      </c>
      <c r="C2290" t="s">
        <v>1510</v>
      </c>
      <c r="D2290" t="s">
        <v>1999</v>
      </c>
      <c r="E2290" t="s">
        <v>38</v>
      </c>
      <c r="F2290">
        <v>32161</v>
      </c>
      <c r="G2290">
        <v>1573</v>
      </c>
      <c r="H2290" t="s">
        <v>13</v>
      </c>
      <c r="I2290" t="b">
        <v>0</v>
      </c>
      <c r="J2290">
        <f t="shared" si="70"/>
        <v>0</v>
      </c>
      <c r="K2290" t="str">
        <f t="shared" si="71"/>
        <v>Neutral</v>
      </c>
    </row>
    <row r="2291" spans="1:11" x14ac:dyDescent="0.2">
      <c r="A2291" t="s">
        <v>466</v>
      </c>
      <c r="B2291" t="s">
        <v>467</v>
      </c>
      <c r="C2291" t="s">
        <v>468</v>
      </c>
      <c r="D2291" t="s">
        <v>469</v>
      </c>
      <c r="E2291" t="s">
        <v>4</v>
      </c>
      <c r="F2291">
        <v>3</v>
      </c>
      <c r="G2291">
        <v>13</v>
      </c>
      <c r="H2291" t="s">
        <v>13</v>
      </c>
      <c r="I2291" t="b">
        <v>0</v>
      </c>
      <c r="J2291">
        <f t="shared" si="70"/>
        <v>30</v>
      </c>
      <c r="K2291" t="str">
        <f t="shared" si="71"/>
        <v>Positive</v>
      </c>
    </row>
    <row r="2292" spans="1:11" x14ac:dyDescent="0.2">
      <c r="A2292" t="s">
        <v>1765</v>
      </c>
      <c r="B2292" t="s">
        <v>1766</v>
      </c>
      <c r="C2292" t="s">
        <v>1750</v>
      </c>
      <c r="D2292" t="s">
        <v>1751</v>
      </c>
      <c r="E2292" t="s">
        <v>4</v>
      </c>
      <c r="F2292">
        <v>101</v>
      </c>
      <c r="G2292">
        <v>542</v>
      </c>
      <c r="H2292" t="s">
        <v>13</v>
      </c>
      <c r="I2292" t="b">
        <v>0</v>
      </c>
      <c r="J2292">
        <f t="shared" si="70"/>
        <v>0</v>
      </c>
      <c r="K2292" t="str">
        <f t="shared" si="71"/>
        <v>Neutral</v>
      </c>
    </row>
    <row r="2293" spans="1:11" x14ac:dyDescent="0.2">
      <c r="A2293" t="s">
        <v>3047</v>
      </c>
      <c r="B2293" t="s">
        <v>3048</v>
      </c>
      <c r="C2293" t="s">
        <v>24</v>
      </c>
      <c r="D2293" t="s">
        <v>182</v>
      </c>
      <c r="E2293" t="s">
        <v>4</v>
      </c>
      <c r="F2293">
        <v>36</v>
      </c>
      <c r="G2293">
        <v>38</v>
      </c>
      <c r="H2293" t="s">
        <v>13</v>
      </c>
      <c r="I2293" t="b">
        <v>0</v>
      </c>
      <c r="J2293">
        <f t="shared" si="70"/>
        <v>-10</v>
      </c>
      <c r="K2293" t="str">
        <f t="shared" si="71"/>
        <v>Negative</v>
      </c>
    </row>
    <row r="2294" spans="1:11" x14ac:dyDescent="0.2">
      <c r="A2294" t="s">
        <v>6449</v>
      </c>
      <c r="B2294" t="s">
        <v>6450</v>
      </c>
      <c r="C2294" t="s">
        <v>226</v>
      </c>
      <c r="D2294" t="s">
        <v>101</v>
      </c>
      <c r="E2294" t="s">
        <v>4</v>
      </c>
      <c r="F2294">
        <v>2363</v>
      </c>
      <c r="G2294">
        <v>2741</v>
      </c>
      <c r="H2294" t="s">
        <v>33</v>
      </c>
      <c r="I2294" t="b">
        <v>0</v>
      </c>
      <c r="J2294">
        <f t="shared" si="70"/>
        <v>-10</v>
      </c>
      <c r="K2294" t="str">
        <f t="shared" si="71"/>
        <v>Negative</v>
      </c>
    </row>
    <row r="2295" spans="1:11" x14ac:dyDescent="0.2">
      <c r="A2295" t="s">
        <v>1550</v>
      </c>
      <c r="B2295" t="s">
        <v>1551</v>
      </c>
      <c r="C2295" t="s">
        <v>1552</v>
      </c>
      <c r="D2295" t="s">
        <v>3</v>
      </c>
      <c r="E2295" t="s">
        <v>4</v>
      </c>
      <c r="F2295">
        <v>99</v>
      </c>
      <c r="G2295">
        <v>9</v>
      </c>
      <c r="H2295" t="s">
        <v>13</v>
      </c>
      <c r="I2295" t="b">
        <v>0</v>
      </c>
      <c r="J2295">
        <f t="shared" si="70"/>
        <v>10</v>
      </c>
      <c r="K2295" t="str">
        <f t="shared" si="71"/>
        <v>Positive</v>
      </c>
    </row>
    <row r="2296" spans="1:11" x14ac:dyDescent="0.2">
      <c r="A2296" t="s">
        <v>5507</v>
      </c>
      <c r="B2296" t="s">
        <v>5508</v>
      </c>
      <c r="C2296" t="s">
        <v>5509</v>
      </c>
      <c r="D2296" t="s">
        <v>64</v>
      </c>
      <c r="E2296" t="s">
        <v>4</v>
      </c>
      <c r="F2296">
        <v>26</v>
      </c>
      <c r="G2296">
        <v>285</v>
      </c>
      <c r="H2296" t="s">
        <v>13</v>
      </c>
      <c r="I2296" t="b">
        <v>0</v>
      </c>
      <c r="J2296">
        <f t="shared" si="70"/>
        <v>-10</v>
      </c>
      <c r="K2296" t="str">
        <f t="shared" si="71"/>
        <v>Negative</v>
      </c>
    </row>
    <row r="2297" spans="1:11" x14ac:dyDescent="0.2">
      <c r="A2297" t="s">
        <v>2086</v>
      </c>
      <c r="B2297" t="s">
        <v>2087</v>
      </c>
      <c r="C2297" t="s">
        <v>140</v>
      </c>
      <c r="D2297" t="s">
        <v>2088</v>
      </c>
      <c r="E2297" t="s">
        <v>4</v>
      </c>
      <c r="F2297">
        <v>323</v>
      </c>
      <c r="G2297">
        <v>566</v>
      </c>
      <c r="H2297" t="s">
        <v>13</v>
      </c>
      <c r="I2297" t="b">
        <v>0</v>
      </c>
      <c r="J2297">
        <f t="shared" si="70"/>
        <v>10</v>
      </c>
      <c r="K2297" t="str">
        <f t="shared" si="71"/>
        <v>Positive</v>
      </c>
    </row>
    <row r="2298" spans="1:11" x14ac:dyDescent="0.2">
      <c r="A2298" t="s">
        <v>6358</v>
      </c>
      <c r="B2298" t="s">
        <v>6359</v>
      </c>
      <c r="C2298" t="s">
        <v>349</v>
      </c>
      <c r="D2298" t="s">
        <v>3</v>
      </c>
      <c r="E2298" t="s">
        <v>4</v>
      </c>
      <c r="F2298">
        <v>90</v>
      </c>
      <c r="G2298">
        <v>594</v>
      </c>
      <c r="H2298" t="s">
        <v>13</v>
      </c>
      <c r="I2298" t="b">
        <v>0</v>
      </c>
      <c r="J2298">
        <f t="shared" si="70"/>
        <v>0</v>
      </c>
      <c r="K2298" t="str">
        <f t="shared" si="71"/>
        <v>Neutral</v>
      </c>
    </row>
    <row r="2299" spans="1:11" x14ac:dyDescent="0.2">
      <c r="A2299" t="s">
        <v>5606</v>
      </c>
      <c r="B2299" t="s">
        <v>5607</v>
      </c>
      <c r="C2299" t="s">
        <v>2028</v>
      </c>
      <c r="D2299" t="s">
        <v>5608</v>
      </c>
      <c r="E2299" t="s">
        <v>4</v>
      </c>
      <c r="F2299">
        <v>37541</v>
      </c>
      <c r="G2299">
        <v>734</v>
      </c>
      <c r="H2299" t="s">
        <v>13</v>
      </c>
      <c r="I2299" t="b">
        <v>0</v>
      </c>
      <c r="J2299">
        <f t="shared" si="70"/>
        <v>0</v>
      </c>
      <c r="K2299" t="str">
        <f t="shared" si="71"/>
        <v>Neutral</v>
      </c>
    </row>
    <row r="2300" spans="1:11" x14ac:dyDescent="0.2">
      <c r="A2300" t="s">
        <v>262</v>
      </c>
      <c r="B2300" t="s">
        <v>263</v>
      </c>
      <c r="C2300" t="s">
        <v>264</v>
      </c>
      <c r="D2300" t="s">
        <v>265</v>
      </c>
      <c r="E2300" t="s">
        <v>4</v>
      </c>
      <c r="F2300">
        <v>419</v>
      </c>
      <c r="G2300">
        <v>81</v>
      </c>
      <c r="H2300" t="s">
        <v>266</v>
      </c>
      <c r="I2300" t="b">
        <v>0</v>
      </c>
      <c r="J2300">
        <f t="shared" si="70"/>
        <v>0</v>
      </c>
      <c r="K2300" t="str">
        <f t="shared" si="71"/>
        <v>Neutral</v>
      </c>
    </row>
    <row r="2301" spans="1:11" x14ac:dyDescent="0.2">
      <c r="A2301" t="s">
        <v>649</v>
      </c>
      <c r="B2301" t="s">
        <v>650</v>
      </c>
      <c r="C2301" t="s">
        <v>112</v>
      </c>
      <c r="D2301" t="s">
        <v>3</v>
      </c>
      <c r="E2301" t="s">
        <v>4</v>
      </c>
      <c r="F2301">
        <v>2</v>
      </c>
      <c r="G2301">
        <v>75</v>
      </c>
      <c r="H2301" t="s">
        <v>13</v>
      </c>
      <c r="I2301" t="b">
        <v>0</v>
      </c>
      <c r="J2301">
        <f t="shared" si="70"/>
        <v>0</v>
      </c>
      <c r="K2301" t="str">
        <f t="shared" si="71"/>
        <v>Neutral</v>
      </c>
    </row>
    <row r="2302" spans="1:11" x14ac:dyDescent="0.2">
      <c r="A2302" t="s">
        <v>6356</v>
      </c>
      <c r="B2302" t="s">
        <v>6357</v>
      </c>
      <c r="C2302" t="s">
        <v>2733</v>
      </c>
      <c r="D2302" t="s">
        <v>3574</v>
      </c>
      <c r="E2302" t="s">
        <v>4</v>
      </c>
      <c r="F2302">
        <v>46</v>
      </c>
      <c r="G2302">
        <v>212</v>
      </c>
      <c r="H2302" t="s">
        <v>13</v>
      </c>
      <c r="I2302" t="b">
        <v>0</v>
      </c>
      <c r="J2302">
        <f t="shared" si="70"/>
        <v>0</v>
      </c>
      <c r="K2302" t="str">
        <f t="shared" si="71"/>
        <v>Neutral</v>
      </c>
    </row>
    <row r="2303" spans="1:11" x14ac:dyDescent="0.2">
      <c r="A2303" t="s">
        <v>4447</v>
      </c>
      <c r="B2303" t="s">
        <v>4448</v>
      </c>
      <c r="C2303" t="s">
        <v>85</v>
      </c>
      <c r="D2303" t="s">
        <v>3</v>
      </c>
      <c r="E2303" t="s">
        <v>4</v>
      </c>
      <c r="F2303">
        <v>171</v>
      </c>
      <c r="G2303">
        <v>236</v>
      </c>
      <c r="H2303" t="s">
        <v>13</v>
      </c>
      <c r="I2303" t="b">
        <v>0</v>
      </c>
      <c r="J2303">
        <f t="shared" si="70"/>
        <v>-10</v>
      </c>
      <c r="K2303" t="str">
        <f t="shared" si="71"/>
        <v>Negative</v>
      </c>
    </row>
    <row r="2304" spans="1:11" x14ac:dyDescent="0.2">
      <c r="A2304" t="s">
        <v>5088</v>
      </c>
      <c r="B2304" t="s">
        <v>5089</v>
      </c>
      <c r="C2304" t="s">
        <v>3248</v>
      </c>
      <c r="D2304" t="s">
        <v>5090</v>
      </c>
      <c r="E2304" t="s">
        <v>4</v>
      </c>
      <c r="F2304">
        <v>110</v>
      </c>
      <c r="G2304">
        <v>131</v>
      </c>
      <c r="H2304" t="s">
        <v>13</v>
      </c>
      <c r="I2304" t="b">
        <v>0</v>
      </c>
      <c r="J2304">
        <f t="shared" si="70"/>
        <v>0</v>
      </c>
      <c r="K2304" t="str">
        <f t="shared" si="71"/>
        <v>Neutral</v>
      </c>
    </row>
    <row r="2305" spans="1:11" x14ac:dyDescent="0.2">
      <c r="A2305" t="s">
        <v>4704</v>
      </c>
      <c r="B2305" t="s">
        <v>4705</v>
      </c>
      <c r="C2305" t="s">
        <v>1152</v>
      </c>
      <c r="D2305" t="s">
        <v>4706</v>
      </c>
      <c r="E2305" t="s">
        <v>4</v>
      </c>
      <c r="F2305">
        <v>104</v>
      </c>
      <c r="G2305">
        <v>87</v>
      </c>
      <c r="H2305" t="s">
        <v>13</v>
      </c>
      <c r="I2305" t="b">
        <v>0</v>
      </c>
      <c r="J2305">
        <f t="shared" si="70"/>
        <v>0</v>
      </c>
      <c r="K2305" t="str">
        <f t="shared" si="71"/>
        <v>Neutral</v>
      </c>
    </row>
    <row r="2306" spans="1:11" x14ac:dyDescent="0.2">
      <c r="A2306" t="s">
        <v>2544</v>
      </c>
      <c r="B2306" t="s">
        <v>2545</v>
      </c>
      <c r="C2306" t="s">
        <v>1757</v>
      </c>
      <c r="D2306" t="s">
        <v>2546</v>
      </c>
      <c r="E2306" t="s">
        <v>4</v>
      </c>
      <c r="F2306">
        <v>24</v>
      </c>
      <c r="G2306">
        <v>62</v>
      </c>
      <c r="H2306" t="s">
        <v>13</v>
      </c>
      <c r="I2306" t="b">
        <v>0</v>
      </c>
      <c r="J2306">
        <f t="shared" si="70"/>
        <v>0</v>
      </c>
      <c r="K2306" t="str">
        <f t="shared" si="71"/>
        <v>Neutral</v>
      </c>
    </row>
    <row r="2307" spans="1:11" x14ac:dyDescent="0.2">
      <c r="A2307" t="s">
        <v>6084</v>
      </c>
      <c r="B2307" t="s">
        <v>6085</v>
      </c>
      <c r="C2307" t="s">
        <v>112</v>
      </c>
      <c r="D2307" t="s">
        <v>3</v>
      </c>
      <c r="E2307" t="s">
        <v>4</v>
      </c>
      <c r="F2307">
        <v>3</v>
      </c>
      <c r="G2307">
        <v>75</v>
      </c>
      <c r="H2307" t="s">
        <v>13</v>
      </c>
      <c r="I2307" t="b">
        <v>0</v>
      </c>
      <c r="J2307">
        <f t="shared" ref="J2307:J2322" si="72">sentimentCalc(B2307)</f>
        <v>-10</v>
      </c>
      <c r="K2307" t="str">
        <f t="shared" ref="K2307:K2322" si="73">sentimentCategory(J2307)</f>
        <v>Negative</v>
      </c>
    </row>
    <row r="2308" spans="1:11" x14ac:dyDescent="0.2">
      <c r="A2308" t="s">
        <v>1526</v>
      </c>
      <c r="B2308" t="s">
        <v>1527</v>
      </c>
      <c r="C2308" t="s">
        <v>1528</v>
      </c>
      <c r="D2308" t="s">
        <v>1529</v>
      </c>
      <c r="E2308" t="s">
        <v>4</v>
      </c>
      <c r="F2308">
        <v>378</v>
      </c>
      <c r="G2308">
        <v>959</v>
      </c>
      <c r="H2308" t="s">
        <v>13</v>
      </c>
      <c r="I2308" t="b">
        <v>0</v>
      </c>
      <c r="J2308">
        <f t="shared" si="72"/>
        <v>0</v>
      </c>
      <c r="K2308" t="str">
        <f t="shared" si="73"/>
        <v>Neutral</v>
      </c>
    </row>
    <row r="2309" spans="1:11" x14ac:dyDescent="0.2">
      <c r="A2309" t="s">
        <v>7107</v>
      </c>
      <c r="B2309" t="s">
        <v>7110</v>
      </c>
      <c r="C2309" t="s">
        <v>12</v>
      </c>
      <c r="D2309" t="s">
        <v>3</v>
      </c>
      <c r="E2309" t="s">
        <v>4</v>
      </c>
      <c r="F2309">
        <v>4</v>
      </c>
      <c r="G2309">
        <v>38</v>
      </c>
      <c r="H2309" t="s">
        <v>13</v>
      </c>
      <c r="I2309" t="b">
        <v>0</v>
      </c>
      <c r="J2309">
        <f t="shared" si="72"/>
        <v>10</v>
      </c>
      <c r="K2309" t="str">
        <f t="shared" si="73"/>
        <v>Positive</v>
      </c>
    </row>
    <row r="2310" spans="1:11" x14ac:dyDescent="0.2">
      <c r="A2310" t="s">
        <v>2765</v>
      </c>
      <c r="B2310" t="s">
        <v>2767</v>
      </c>
      <c r="C2310" t="s">
        <v>2768</v>
      </c>
      <c r="D2310" t="s">
        <v>3</v>
      </c>
      <c r="E2310" t="s">
        <v>4</v>
      </c>
      <c r="F2310">
        <v>260</v>
      </c>
      <c r="G2310">
        <v>261</v>
      </c>
      <c r="H2310" t="s">
        <v>13</v>
      </c>
      <c r="I2310" t="b">
        <v>0</v>
      </c>
      <c r="J2310">
        <f t="shared" si="72"/>
        <v>20</v>
      </c>
      <c r="K2310" t="str">
        <f t="shared" si="73"/>
        <v>Positive</v>
      </c>
    </row>
    <row r="2311" spans="1:11" x14ac:dyDescent="0.2">
      <c r="A2311" t="s">
        <v>1810</v>
      </c>
      <c r="B2311" t="s">
        <v>1811</v>
      </c>
      <c r="C2311" t="s">
        <v>1812</v>
      </c>
      <c r="D2311" t="s">
        <v>1813</v>
      </c>
      <c r="E2311" t="s">
        <v>4</v>
      </c>
      <c r="F2311">
        <v>1162</v>
      </c>
      <c r="G2311">
        <v>861</v>
      </c>
      <c r="H2311" t="s">
        <v>13</v>
      </c>
      <c r="I2311" t="b">
        <v>0</v>
      </c>
      <c r="J2311">
        <f t="shared" si="72"/>
        <v>0</v>
      </c>
      <c r="K2311" t="str">
        <f t="shared" si="73"/>
        <v>Neutral</v>
      </c>
    </row>
    <row r="2312" spans="1:11" x14ac:dyDescent="0.2">
      <c r="A2312" t="s">
        <v>6023</v>
      </c>
      <c r="B2312" t="s">
        <v>6024</v>
      </c>
      <c r="C2312" t="s">
        <v>1069</v>
      </c>
      <c r="D2312" t="s">
        <v>6025</v>
      </c>
      <c r="E2312" t="s">
        <v>4</v>
      </c>
      <c r="F2312">
        <v>258</v>
      </c>
      <c r="G2312">
        <v>972</v>
      </c>
      <c r="H2312" t="s">
        <v>13</v>
      </c>
      <c r="I2312" t="b">
        <v>0</v>
      </c>
      <c r="J2312">
        <f t="shared" si="72"/>
        <v>10</v>
      </c>
      <c r="K2312" t="str">
        <f t="shared" si="73"/>
        <v>Positive</v>
      </c>
    </row>
    <row r="2313" spans="1:11" x14ac:dyDescent="0.2">
      <c r="A2313" t="s">
        <v>6699</v>
      </c>
      <c r="B2313" t="s">
        <v>6700</v>
      </c>
      <c r="C2313" t="s">
        <v>6701</v>
      </c>
      <c r="D2313" t="s">
        <v>538</v>
      </c>
      <c r="E2313" t="s">
        <v>4</v>
      </c>
      <c r="F2313">
        <v>86</v>
      </c>
      <c r="G2313">
        <v>93</v>
      </c>
      <c r="H2313" t="s">
        <v>13</v>
      </c>
      <c r="I2313" t="b">
        <v>0</v>
      </c>
      <c r="J2313">
        <f t="shared" si="72"/>
        <v>0</v>
      </c>
      <c r="K2313" t="str">
        <f t="shared" si="73"/>
        <v>Neutral</v>
      </c>
    </row>
    <row r="2314" spans="1:11" x14ac:dyDescent="0.2">
      <c r="A2314" t="s">
        <v>3784</v>
      </c>
      <c r="B2314" t="s">
        <v>3785</v>
      </c>
      <c r="C2314" t="s">
        <v>3786</v>
      </c>
      <c r="D2314" t="s">
        <v>1347</v>
      </c>
      <c r="E2314" t="s">
        <v>4</v>
      </c>
      <c r="F2314">
        <v>171</v>
      </c>
      <c r="G2314">
        <v>416</v>
      </c>
      <c r="H2314" t="s">
        <v>13</v>
      </c>
      <c r="I2314" t="b">
        <v>0</v>
      </c>
      <c r="J2314">
        <f t="shared" si="72"/>
        <v>0</v>
      </c>
      <c r="K2314" t="str">
        <f t="shared" si="73"/>
        <v>Neutral</v>
      </c>
    </row>
    <row r="2315" spans="1:11" x14ac:dyDescent="0.2">
      <c r="A2315" t="s">
        <v>3937</v>
      </c>
      <c r="B2315" t="s">
        <v>3938</v>
      </c>
      <c r="C2315" t="s">
        <v>3286</v>
      </c>
      <c r="D2315" t="s">
        <v>3</v>
      </c>
      <c r="E2315" t="s">
        <v>4</v>
      </c>
      <c r="F2315">
        <v>55</v>
      </c>
      <c r="G2315">
        <v>210</v>
      </c>
      <c r="H2315" t="s">
        <v>13</v>
      </c>
      <c r="I2315" t="b">
        <v>0</v>
      </c>
      <c r="J2315">
        <f t="shared" si="72"/>
        <v>0</v>
      </c>
      <c r="K2315" t="str">
        <f t="shared" si="73"/>
        <v>Neutral</v>
      </c>
    </row>
    <row r="2316" spans="1:11" x14ac:dyDescent="0.2">
      <c r="A2316" t="s">
        <v>5354</v>
      </c>
      <c r="B2316" t="s">
        <v>5355</v>
      </c>
      <c r="C2316" t="s">
        <v>406</v>
      </c>
      <c r="D2316" t="s">
        <v>5356</v>
      </c>
      <c r="E2316" t="s">
        <v>4</v>
      </c>
      <c r="F2316">
        <v>374</v>
      </c>
      <c r="G2316">
        <v>410</v>
      </c>
      <c r="H2316" t="s">
        <v>13</v>
      </c>
      <c r="I2316" t="b">
        <v>0</v>
      </c>
      <c r="J2316">
        <f t="shared" si="72"/>
        <v>0</v>
      </c>
      <c r="K2316" t="str">
        <f t="shared" si="73"/>
        <v>Neutral</v>
      </c>
    </row>
    <row r="2317" spans="1:11" x14ac:dyDescent="0.2">
      <c r="A2317" t="s">
        <v>3290</v>
      </c>
      <c r="B2317" t="s">
        <v>3291</v>
      </c>
      <c r="C2317" t="s">
        <v>349</v>
      </c>
      <c r="D2317" t="s">
        <v>3</v>
      </c>
      <c r="E2317" t="s">
        <v>4</v>
      </c>
      <c r="F2317">
        <v>137</v>
      </c>
      <c r="G2317">
        <v>676</v>
      </c>
      <c r="H2317" t="s">
        <v>13</v>
      </c>
      <c r="I2317" t="b">
        <v>0</v>
      </c>
      <c r="J2317">
        <f t="shared" si="72"/>
        <v>0</v>
      </c>
      <c r="K2317" t="str">
        <f t="shared" si="73"/>
        <v>Neutral</v>
      </c>
    </row>
    <row r="2318" spans="1:11" x14ac:dyDescent="0.2">
      <c r="A2318" t="s">
        <v>457</v>
      </c>
      <c r="B2318" t="s">
        <v>458</v>
      </c>
      <c r="C2318" t="s">
        <v>459</v>
      </c>
      <c r="D2318" t="s">
        <v>3</v>
      </c>
      <c r="E2318" t="s">
        <v>4</v>
      </c>
      <c r="F2318">
        <v>17</v>
      </c>
      <c r="G2318">
        <v>95</v>
      </c>
      <c r="H2318" t="s">
        <v>50</v>
      </c>
      <c r="I2318" t="b">
        <v>0</v>
      </c>
      <c r="J2318">
        <f t="shared" si="72"/>
        <v>0</v>
      </c>
      <c r="K2318" t="str">
        <f t="shared" si="73"/>
        <v>Neutral</v>
      </c>
    </row>
    <row r="2319" spans="1:11" x14ac:dyDescent="0.2">
      <c r="A2319" t="s">
        <v>6404</v>
      </c>
      <c r="B2319" t="s">
        <v>6405</v>
      </c>
      <c r="C2319" t="s">
        <v>476</v>
      </c>
      <c r="D2319" t="s">
        <v>477</v>
      </c>
      <c r="E2319" t="s">
        <v>4</v>
      </c>
      <c r="F2319">
        <v>293</v>
      </c>
      <c r="G2319">
        <v>0</v>
      </c>
      <c r="H2319" t="s">
        <v>114</v>
      </c>
      <c r="I2319" t="b">
        <v>0</v>
      </c>
      <c r="J2319">
        <f t="shared" si="72"/>
        <v>0</v>
      </c>
      <c r="K2319" t="str">
        <f t="shared" si="73"/>
        <v>Neutral</v>
      </c>
    </row>
    <row r="2320" spans="1:11" x14ac:dyDescent="0.2">
      <c r="A2320" t="s">
        <v>4717</v>
      </c>
      <c r="B2320" t="s">
        <v>4718</v>
      </c>
      <c r="C2320" t="s">
        <v>2340</v>
      </c>
      <c r="D2320" t="s">
        <v>4719</v>
      </c>
      <c r="E2320" t="s">
        <v>4</v>
      </c>
      <c r="F2320">
        <v>464</v>
      </c>
      <c r="G2320">
        <v>862</v>
      </c>
      <c r="H2320" t="s">
        <v>13</v>
      </c>
      <c r="I2320" t="b">
        <v>0</v>
      </c>
      <c r="J2320">
        <f t="shared" si="72"/>
        <v>10</v>
      </c>
      <c r="K2320" t="str">
        <f t="shared" si="73"/>
        <v>Positive</v>
      </c>
    </row>
    <row r="2321" spans="1:11" x14ac:dyDescent="0.2">
      <c r="A2321" t="s">
        <v>3925</v>
      </c>
      <c r="B2321" t="s">
        <v>3926</v>
      </c>
      <c r="C2321" t="s">
        <v>155</v>
      </c>
      <c r="D2321" t="s">
        <v>3</v>
      </c>
      <c r="E2321" t="s">
        <v>4</v>
      </c>
      <c r="F2321">
        <v>650</v>
      </c>
      <c r="G2321">
        <v>2191</v>
      </c>
      <c r="H2321" t="s">
        <v>13</v>
      </c>
      <c r="I2321" t="b">
        <v>0</v>
      </c>
      <c r="J2321">
        <f t="shared" si="72"/>
        <v>0</v>
      </c>
      <c r="K2321" t="str">
        <f t="shared" si="73"/>
        <v>Neutral</v>
      </c>
    </row>
    <row r="2322" spans="1:11" x14ac:dyDescent="0.2">
      <c r="A2322" t="s">
        <v>539</v>
      </c>
      <c r="B2322" t="s">
        <v>540</v>
      </c>
      <c r="C2322" t="s">
        <v>104</v>
      </c>
      <c r="D2322" t="s">
        <v>3</v>
      </c>
      <c r="E2322" t="s">
        <v>4</v>
      </c>
      <c r="F2322">
        <v>0</v>
      </c>
      <c r="G2322">
        <v>2</v>
      </c>
      <c r="H2322" t="s">
        <v>13</v>
      </c>
      <c r="I2322" t="b">
        <v>0</v>
      </c>
      <c r="J2322">
        <f t="shared" si="72"/>
        <v>0</v>
      </c>
      <c r="K2322" t="str">
        <f t="shared" si="73"/>
        <v>Neutral</v>
      </c>
    </row>
  </sheetData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B54"/>
  <sheetViews>
    <sheetView workbookViewId="0">
      <selection activeCell="F10" sqref="F10"/>
    </sheetView>
  </sheetViews>
  <sheetFormatPr baseColWidth="10" defaultColWidth="8.83203125" defaultRowHeight="15" x14ac:dyDescent="0.2"/>
  <sheetData>
    <row r="1" spans="1:2" x14ac:dyDescent="0.2">
      <c r="A1" t="s">
        <v>7274</v>
      </c>
      <c r="B1" t="s">
        <v>7275</v>
      </c>
    </row>
    <row r="2" spans="1:2" x14ac:dyDescent="0.2">
      <c r="A2" t="s">
        <v>7276</v>
      </c>
      <c r="B2" t="s">
        <v>7277</v>
      </c>
    </row>
    <row r="3" spans="1:2" x14ac:dyDescent="0.2">
      <c r="A3" t="s">
        <v>7278</v>
      </c>
      <c r="B3" t="s">
        <v>7279</v>
      </c>
    </row>
    <row r="4" spans="1:2" x14ac:dyDescent="0.2">
      <c r="A4" t="s">
        <v>7280</v>
      </c>
      <c r="B4" t="s">
        <v>7281</v>
      </c>
    </row>
    <row r="5" spans="1:2" x14ac:dyDescent="0.2">
      <c r="A5" t="s">
        <v>7282</v>
      </c>
      <c r="B5" t="s">
        <v>7283</v>
      </c>
    </row>
    <row r="6" spans="1:2" x14ac:dyDescent="0.2">
      <c r="A6" t="s">
        <v>7284</v>
      </c>
      <c r="B6" t="s">
        <v>7285</v>
      </c>
    </row>
    <row r="7" spans="1:2" x14ac:dyDescent="0.2">
      <c r="A7" t="s">
        <v>7286</v>
      </c>
      <c r="B7" t="s">
        <v>7287</v>
      </c>
    </row>
    <row r="8" spans="1:2" x14ac:dyDescent="0.2">
      <c r="A8" t="s">
        <v>7288</v>
      </c>
      <c r="B8" t="s">
        <v>7289</v>
      </c>
    </row>
    <row r="9" spans="1:2" x14ac:dyDescent="0.2">
      <c r="A9" t="s">
        <v>7290</v>
      </c>
      <c r="B9" t="s">
        <v>7291</v>
      </c>
    </row>
    <row r="10" spans="1:2" x14ac:dyDescent="0.2">
      <c r="A10" t="s">
        <v>7292</v>
      </c>
      <c r="B10" t="s">
        <v>7293</v>
      </c>
    </row>
    <row r="11" spans="1:2" x14ac:dyDescent="0.2">
      <c r="A11" t="s">
        <v>7294</v>
      </c>
      <c r="B11" t="s">
        <v>7295</v>
      </c>
    </row>
    <row r="12" spans="1:2" x14ac:dyDescent="0.2">
      <c r="A12" t="s">
        <v>7296</v>
      </c>
      <c r="B12" t="s">
        <v>7297</v>
      </c>
    </row>
    <row r="13" spans="1:2" x14ac:dyDescent="0.2">
      <c r="A13" t="s">
        <v>7298</v>
      </c>
      <c r="B13" t="s">
        <v>7299</v>
      </c>
    </row>
    <row r="14" spans="1:2" x14ac:dyDescent="0.2">
      <c r="A14" t="s">
        <v>7300</v>
      </c>
      <c r="B14" t="s">
        <v>7301</v>
      </c>
    </row>
    <row r="15" spans="1:2" x14ac:dyDescent="0.2">
      <c r="A15" t="s">
        <v>7302</v>
      </c>
      <c r="B15" t="s">
        <v>7303</v>
      </c>
    </row>
    <row r="16" spans="1:2" x14ac:dyDescent="0.2">
      <c r="A16" t="s">
        <v>7304</v>
      </c>
      <c r="B16" t="s">
        <v>7305</v>
      </c>
    </row>
    <row r="17" spans="1:2" x14ac:dyDescent="0.2">
      <c r="A17" t="s">
        <v>7306</v>
      </c>
      <c r="B17" t="s">
        <v>7307</v>
      </c>
    </row>
    <row r="18" spans="1:2" x14ac:dyDescent="0.2">
      <c r="A18" t="s">
        <v>7308</v>
      </c>
      <c r="B18" t="s">
        <v>7309</v>
      </c>
    </row>
    <row r="19" spans="1:2" x14ac:dyDescent="0.2">
      <c r="A19" t="s">
        <v>7310</v>
      </c>
      <c r="B19" t="s">
        <v>7311</v>
      </c>
    </row>
    <row r="20" spans="1:2" x14ac:dyDescent="0.2">
      <c r="A20" t="s">
        <v>7312</v>
      </c>
      <c r="B20" t="s">
        <v>7313</v>
      </c>
    </row>
    <row r="21" spans="1:2" x14ac:dyDescent="0.2">
      <c r="A21" t="s">
        <v>7314</v>
      </c>
      <c r="B21" t="s">
        <v>7315</v>
      </c>
    </row>
    <row r="22" spans="1:2" x14ac:dyDescent="0.2">
      <c r="A22" t="s">
        <v>7316</v>
      </c>
      <c r="B22" t="s">
        <v>7317</v>
      </c>
    </row>
    <row r="23" spans="1:2" x14ac:dyDescent="0.2">
      <c r="A23" t="s">
        <v>7318</v>
      </c>
      <c r="B23" t="s">
        <v>7319</v>
      </c>
    </row>
    <row r="24" spans="1:2" x14ac:dyDescent="0.2">
      <c r="A24" t="s">
        <v>7320</v>
      </c>
      <c r="B24" t="s">
        <v>7321</v>
      </c>
    </row>
    <row r="25" spans="1:2" x14ac:dyDescent="0.2">
      <c r="A25" t="s">
        <v>7322</v>
      </c>
      <c r="B25" t="s">
        <v>7323</v>
      </c>
    </row>
    <row r="26" spans="1:2" x14ac:dyDescent="0.2">
      <c r="A26" t="s">
        <v>7324</v>
      </c>
      <c r="B26" t="s">
        <v>7325</v>
      </c>
    </row>
    <row r="27" spans="1:2" x14ac:dyDescent="0.2">
      <c r="A27" t="s">
        <v>7326</v>
      </c>
      <c r="B27" t="s">
        <v>7327</v>
      </c>
    </row>
    <row r="28" spans="1:2" x14ac:dyDescent="0.2">
      <c r="A28" t="s">
        <v>7328</v>
      </c>
      <c r="B28" t="s">
        <v>7329</v>
      </c>
    </row>
    <row r="29" spans="1:2" x14ac:dyDescent="0.2">
      <c r="A29" t="s">
        <v>7330</v>
      </c>
      <c r="B29" t="s">
        <v>7331</v>
      </c>
    </row>
    <row r="30" spans="1:2" x14ac:dyDescent="0.2">
      <c r="A30" t="s">
        <v>7332</v>
      </c>
      <c r="B30" t="s">
        <v>7333</v>
      </c>
    </row>
    <row r="31" spans="1:2" x14ac:dyDescent="0.2">
      <c r="A31" t="s">
        <v>7334</v>
      </c>
      <c r="B31" t="s">
        <v>7335</v>
      </c>
    </row>
    <row r="32" spans="1:2" x14ac:dyDescent="0.2">
      <c r="A32" t="s">
        <v>7336</v>
      </c>
      <c r="B32" t="s">
        <v>7337</v>
      </c>
    </row>
    <row r="33" spans="1:2" x14ac:dyDescent="0.2">
      <c r="A33" t="s">
        <v>7338</v>
      </c>
      <c r="B33" t="s">
        <v>7339</v>
      </c>
    </row>
    <row r="34" spans="1:2" x14ac:dyDescent="0.2">
      <c r="A34" t="s">
        <v>7340</v>
      </c>
      <c r="B34" t="s">
        <v>7341</v>
      </c>
    </row>
    <row r="35" spans="1:2" x14ac:dyDescent="0.2">
      <c r="A35" t="s">
        <v>7342</v>
      </c>
      <c r="B35" t="s">
        <v>7343</v>
      </c>
    </row>
    <row r="36" spans="1:2" x14ac:dyDescent="0.2">
      <c r="A36" t="s">
        <v>7344</v>
      </c>
      <c r="B36" t="s">
        <v>7345</v>
      </c>
    </row>
    <row r="37" spans="1:2" x14ac:dyDescent="0.2">
      <c r="A37" t="s">
        <v>7346</v>
      </c>
      <c r="B37" t="s">
        <v>7347</v>
      </c>
    </row>
    <row r="38" spans="1:2" x14ac:dyDescent="0.2">
      <c r="A38" t="s">
        <v>7348</v>
      </c>
      <c r="B38" t="s">
        <v>7349</v>
      </c>
    </row>
    <row r="39" spans="1:2" x14ac:dyDescent="0.2">
      <c r="A39" t="s">
        <v>7350</v>
      </c>
      <c r="B39" t="s">
        <v>7351</v>
      </c>
    </row>
    <row r="40" spans="1:2" x14ac:dyDescent="0.2">
      <c r="A40" t="s">
        <v>7352</v>
      </c>
      <c r="B40" t="s">
        <v>7353</v>
      </c>
    </row>
    <row r="41" spans="1:2" x14ac:dyDescent="0.2">
      <c r="A41" t="s">
        <v>7354</v>
      </c>
      <c r="B41" t="s">
        <v>7355</v>
      </c>
    </row>
    <row r="42" spans="1:2" x14ac:dyDescent="0.2">
      <c r="A42" t="s">
        <v>7356</v>
      </c>
      <c r="B42" t="s">
        <v>7357</v>
      </c>
    </row>
    <row r="43" spans="1:2" x14ac:dyDescent="0.2">
      <c r="A43" t="s">
        <v>7358</v>
      </c>
      <c r="B43" t="s">
        <v>7359</v>
      </c>
    </row>
    <row r="44" spans="1:2" x14ac:dyDescent="0.2">
      <c r="A44" t="s">
        <v>7360</v>
      </c>
      <c r="B44" t="s">
        <v>7361</v>
      </c>
    </row>
    <row r="45" spans="1:2" x14ac:dyDescent="0.2">
      <c r="A45" t="s">
        <v>7362</v>
      </c>
      <c r="B45" t="s">
        <v>7363</v>
      </c>
    </row>
    <row r="46" spans="1:2" x14ac:dyDescent="0.2">
      <c r="A46" t="s">
        <v>7364</v>
      </c>
      <c r="B46" t="s">
        <v>7365</v>
      </c>
    </row>
    <row r="47" spans="1:2" x14ac:dyDescent="0.2">
      <c r="A47" t="s">
        <v>7366</v>
      </c>
      <c r="B47" t="s">
        <v>7367</v>
      </c>
    </row>
    <row r="48" spans="1:2" x14ac:dyDescent="0.2">
      <c r="A48" t="s">
        <v>7368</v>
      </c>
      <c r="B48" t="s">
        <v>7369</v>
      </c>
    </row>
    <row r="49" spans="1:2" x14ac:dyDescent="0.2">
      <c r="A49" t="s">
        <v>7370</v>
      </c>
      <c r="B49" t="s">
        <v>7371</v>
      </c>
    </row>
    <row r="50" spans="1:2" x14ac:dyDescent="0.2">
      <c r="A50" t="s">
        <v>7372</v>
      </c>
      <c r="B50" t="s">
        <v>7373</v>
      </c>
    </row>
    <row r="51" spans="1:2" x14ac:dyDescent="0.2">
      <c r="A51" t="s">
        <v>7374</v>
      </c>
      <c r="B51" t="s">
        <v>7375</v>
      </c>
    </row>
    <row r="52" spans="1:2" x14ac:dyDescent="0.2">
      <c r="A52" t="s">
        <v>7376</v>
      </c>
      <c r="B52" t="s">
        <v>7377</v>
      </c>
    </row>
    <row r="53" spans="1:2" x14ac:dyDescent="0.2">
      <c r="A53" t="s">
        <v>7378</v>
      </c>
      <c r="B53" t="s">
        <v>7379</v>
      </c>
    </row>
    <row r="54" spans="1:2" x14ac:dyDescent="0.2">
      <c r="A54" t="s">
        <v>7380</v>
      </c>
      <c r="B54" t="s">
        <v>7381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2:H30"/>
  <sheetViews>
    <sheetView workbookViewId="0">
      <selection activeCell="C29" sqref="C29"/>
    </sheetView>
  </sheetViews>
  <sheetFormatPr baseColWidth="10" defaultColWidth="8.83203125" defaultRowHeight="15" x14ac:dyDescent="0.2"/>
  <cols>
    <col min="2" max="2" width="26.33203125" customWidth="1"/>
    <col min="6" max="6" width="31.33203125" customWidth="1"/>
  </cols>
  <sheetData>
    <row r="2" spans="2:7" x14ac:dyDescent="0.2">
      <c r="B2" s="5" t="s">
        <v>7383</v>
      </c>
      <c r="C2" s="4"/>
      <c r="D2" s="3"/>
    </row>
    <row r="3" spans="2:7" x14ac:dyDescent="0.2">
      <c r="B3" s="4" t="s">
        <v>7384</v>
      </c>
      <c r="C3" s="4">
        <f>AVERAGE(processedData!J2:J2322)</f>
        <v>1.1072813442481688</v>
      </c>
      <c r="D3" s="3"/>
    </row>
    <row r="4" spans="2:7" x14ac:dyDescent="0.2">
      <c r="B4" s="4" t="s">
        <v>7385</v>
      </c>
      <c r="C4" s="4">
        <f>COUNTIF(processedData!K2:K2322, "Positive")</f>
        <v>405</v>
      </c>
      <c r="D4" s="3"/>
    </row>
    <row r="5" spans="2:7" x14ac:dyDescent="0.2">
      <c r="B5" s="4" t="s">
        <v>7386</v>
      </c>
      <c r="C5" s="4">
        <f>COUNTIF(processedData!K2:K2322, "Negative")</f>
        <v>189</v>
      </c>
      <c r="D5" s="3"/>
    </row>
    <row r="6" spans="2:7" x14ac:dyDescent="0.2">
      <c r="B6" s="4" t="s">
        <v>7387</v>
      </c>
      <c r="C6" s="4">
        <f>COUNTIF(processedData!K2:K2322, "Neutral")</f>
        <v>1727</v>
      </c>
      <c r="D6" s="3"/>
    </row>
    <row r="7" spans="2:7" x14ac:dyDescent="0.2">
      <c r="B7" s="3"/>
    </row>
    <row r="9" spans="2:7" x14ac:dyDescent="0.2">
      <c r="B9" s="7" t="s">
        <v>7388</v>
      </c>
      <c r="C9" s="6"/>
      <c r="F9" s="13" t="s">
        <v>7424</v>
      </c>
      <c r="G9" s="12"/>
    </row>
    <row r="10" spans="2:7" x14ac:dyDescent="0.2">
      <c r="B10" s="6" t="s">
        <v>7384</v>
      </c>
      <c r="C10" s="6">
        <f>AVERAGEIF(processedData!E2:E2322, "*true*", processedData!J2:J2322)</f>
        <v>1.4814814814814814</v>
      </c>
      <c r="F10" s="12" t="s">
        <v>7384</v>
      </c>
      <c r="G10" s="12">
        <f>AVERAGEIF(processedData!F2:F2322, "&gt;3000", processedData!J2:J2322)</f>
        <v>1.4285714285714286</v>
      </c>
    </row>
    <row r="11" spans="2:7" x14ac:dyDescent="0.2">
      <c r="B11" s="6" t="s">
        <v>7385</v>
      </c>
      <c r="C11" s="6">
        <f>COUNTIFS(processedData!K2:K2322, "Positive", processedData!E2:E2322, "*true*")</f>
        <v>3</v>
      </c>
      <c r="F11" s="12" t="s">
        <v>7385</v>
      </c>
      <c r="G11" s="12">
        <f>COUNTIFS(processedData!K2:K2322, "Positive", processedData!F2:F2322, "&gt;3000")</f>
        <v>54</v>
      </c>
    </row>
    <row r="12" spans="2:7" x14ac:dyDescent="0.2">
      <c r="B12" s="6" t="s">
        <v>7386</v>
      </c>
      <c r="C12" s="6">
        <f>COUNTIFS(processedData!K2:K2322, "Negative", processedData!E2:E2322, "*true*")</f>
        <v>0</v>
      </c>
      <c r="F12" s="12" t="s">
        <v>7386</v>
      </c>
      <c r="G12" s="12">
        <f>COUNTIFS(processedData!F2:F2322, "&gt;3000", processedData!K2:K2322, "Negative")</f>
        <v>19</v>
      </c>
    </row>
    <row r="13" spans="2:7" x14ac:dyDescent="0.2">
      <c r="B13" s="6" t="s">
        <v>7387</v>
      </c>
      <c r="C13" s="6">
        <f>COUNTIFS(processedData!K2:K2322, "Neutral", processedData!E2:E2322, "*true*")</f>
        <v>24</v>
      </c>
      <c r="F13" s="12" t="s">
        <v>7387</v>
      </c>
      <c r="G13" s="12">
        <f>COUNTIFS(processedData!F2:F2322, "&gt;3000", processedData!K2:K2322, "Neutral")</f>
        <v>228</v>
      </c>
    </row>
    <row r="17" spans="2:8" x14ac:dyDescent="0.2">
      <c r="B17" s="9" t="s">
        <v>7389</v>
      </c>
      <c r="C17" s="8"/>
      <c r="F17" s="11" t="s">
        <v>7403</v>
      </c>
      <c r="G17" s="10"/>
      <c r="H17" s="10"/>
    </row>
    <row r="18" spans="2:8" x14ac:dyDescent="0.2">
      <c r="B18" s="8" t="s">
        <v>7390</v>
      </c>
      <c r="C18" s="8">
        <f>AVERAGEIF(processedData!D2:D2322, "*Australia*", processedData!J2:J2322)</f>
        <v>1.25</v>
      </c>
      <c r="F18" s="10" t="s">
        <v>7404</v>
      </c>
      <c r="G18" s="10" t="s">
        <v>7417</v>
      </c>
      <c r="H18" s="10">
        <f>AVERAGEIF(processedData!H2:H2322, "*en*", processedData!J2:J2322)</f>
        <v>1.1089303238469088</v>
      </c>
    </row>
    <row r="19" spans="2:8" x14ac:dyDescent="0.2">
      <c r="B19" s="8" t="s">
        <v>7391</v>
      </c>
      <c r="C19" s="8">
        <f>AVERAGEIF(processedData!D2:D2322, "*Canada*", processedData!J2:J2322)</f>
        <v>1.1111111111111112</v>
      </c>
      <c r="F19" s="10" t="s">
        <v>7405</v>
      </c>
      <c r="G19" s="10" t="s">
        <v>7418</v>
      </c>
      <c r="H19" s="10">
        <f>AVERAGEIF(processedData!H2:H2322, "*ru*", processedData!J2:J2322)</f>
        <v>3.5483870967741935</v>
      </c>
    </row>
    <row r="20" spans="2:8" x14ac:dyDescent="0.2">
      <c r="B20" s="8" t="s">
        <v>7392</v>
      </c>
      <c r="C20" s="8">
        <f>AVERAGEIF(processedData!D2:D2322, "*England*", processedData!J2:J2322)</f>
        <v>0.20408163265306123</v>
      </c>
      <c r="F20" s="10" t="s">
        <v>7406</v>
      </c>
      <c r="G20" s="10" t="s">
        <v>7420</v>
      </c>
      <c r="H20" s="10">
        <f>AVERAGEIF(processedData!H2:H2322, "*es*", processedData!J2:J2322)</f>
        <v>2.0689655172413794</v>
      </c>
    </row>
    <row r="21" spans="2:8" x14ac:dyDescent="0.2">
      <c r="B21" s="8" t="s">
        <v>7393</v>
      </c>
      <c r="C21" s="8">
        <f>AVERAGEIF(processedData!D2:D2322, "*France*", processedData!J2:J2322)</f>
        <v>2.5</v>
      </c>
      <c r="F21" s="10" t="s">
        <v>7407</v>
      </c>
      <c r="G21" s="10" t="s">
        <v>7421</v>
      </c>
      <c r="H21" s="10">
        <f>AVERAGEIF(processedData!H2:H2322, "*de*", processedData!J2:J2322)</f>
        <v>0.83333333333333337</v>
      </c>
    </row>
    <row r="22" spans="2:8" x14ac:dyDescent="0.2">
      <c r="B22" s="8" t="s">
        <v>7394</v>
      </c>
      <c r="C22" s="8">
        <f>AVERAGEIF(processedData!D2:D2322, "*Germany*", processedData!J2:J2322)</f>
        <v>-1.4285714285714286</v>
      </c>
      <c r="F22" s="10" t="s">
        <v>7408</v>
      </c>
      <c r="G22" s="10" t="s">
        <v>7422</v>
      </c>
      <c r="H22" s="10">
        <f>AVERAGEIF(processedData!H2:H2322, "*pt*", processedData!J2:J2322)</f>
        <v>2.1052631578947367</v>
      </c>
    </row>
    <row r="23" spans="2:8" x14ac:dyDescent="0.2">
      <c r="B23" s="8" t="s">
        <v>7395</v>
      </c>
      <c r="C23" s="8">
        <f>AVERAGEIF(processedData!D2:D2322, "*India*", processedData!J2:J2322)</f>
        <v>-1.1111111111111112</v>
      </c>
      <c r="F23" s="10" t="s">
        <v>7409</v>
      </c>
      <c r="G23" s="10" t="s">
        <v>7419</v>
      </c>
      <c r="H23" s="10">
        <f>AVERAGEIF(processedData!H2:H2322, "*fr*", processedData!J2:J2322)</f>
        <v>-0.76923076923076927</v>
      </c>
    </row>
    <row r="24" spans="2:8" x14ac:dyDescent="0.2">
      <c r="B24" s="8" t="s">
        <v>7396</v>
      </c>
      <c r="C24" s="8">
        <f>AVERAGEIF(processedData!D2:D2322, "*Ireland*", processedData!J2:J2322)</f>
        <v>0.625</v>
      </c>
      <c r="F24" s="10" t="s">
        <v>7410</v>
      </c>
      <c r="G24" s="10" t="s">
        <v>7423</v>
      </c>
      <c r="H24" s="10">
        <f>AVERAGEIF(processedData!H2:H2322, "*nl*", processedData!J2:J2322)</f>
        <v>1.3793103448275863</v>
      </c>
    </row>
    <row r="25" spans="2:8" x14ac:dyDescent="0.2">
      <c r="B25" s="8" t="s">
        <v>7397</v>
      </c>
      <c r="C25" s="8">
        <f>AVERAGEIF(processedData!D2:D2322, "*Japan*", processedData!J2:J2322)</f>
        <v>3.3333333333333335</v>
      </c>
      <c r="F25" s="10" t="s">
        <v>7411</v>
      </c>
      <c r="G25" s="10" t="s">
        <v>7416</v>
      </c>
      <c r="H25" s="10">
        <f>AVERAGEIF(processedData!H2:H2322, "*it*", processedData!J2:J2322)</f>
        <v>-1.6666666666666667</v>
      </c>
    </row>
    <row r="26" spans="2:8" x14ac:dyDescent="0.2">
      <c r="B26" s="8" t="s">
        <v>7398</v>
      </c>
      <c r="C26" s="8">
        <f>AVERAGEIF(processedData!D2:D2322, "*Netherlands*", processedData!J2:J2322)</f>
        <v>3.75</v>
      </c>
      <c r="F26" s="10" t="s">
        <v>7412</v>
      </c>
      <c r="G26" s="10" t="s">
        <v>7415</v>
      </c>
      <c r="H26" s="10">
        <f>AVERAGEIF(processedData!H2:H2322, "*ja*", processedData!J2:J2322)</f>
        <v>-0.5</v>
      </c>
    </row>
    <row r="27" spans="2:8" x14ac:dyDescent="0.2">
      <c r="B27" s="8" t="s">
        <v>7399</v>
      </c>
      <c r="C27" s="8">
        <f>AVERAGEIF(processedData!D2:D2322, "*Nigeria*", processedData!J2:J2322)</f>
        <v>2.9411764705882355</v>
      </c>
      <c r="F27" s="10" t="s">
        <v>7413</v>
      </c>
      <c r="G27" s="10" t="s">
        <v>7414</v>
      </c>
      <c r="H27" s="10">
        <f>AVERAGEIF(processedData!H2:H2322, "*tr*", processedData!J2:J2322)</f>
        <v>1.3636363636363635</v>
      </c>
    </row>
    <row r="28" spans="2:8" x14ac:dyDescent="0.2">
      <c r="B28" s="8" t="s">
        <v>7400</v>
      </c>
      <c r="C28" s="8">
        <f>AVERAGEIF(processedData!D2:D2322, "*South Africa*", processedData!J2:J2322)</f>
        <v>0</v>
      </c>
    </row>
    <row r="29" spans="2:8" x14ac:dyDescent="0.2">
      <c r="B29" s="8" t="s">
        <v>7401</v>
      </c>
      <c r="C29" s="8">
        <f>AVERAGEIF(processedData!D2:D2322, "*Spain*", processedData!J2:J2322)</f>
        <v>2</v>
      </c>
    </row>
    <row r="30" spans="2:8" x14ac:dyDescent="0.2">
      <c r="B30" s="8" t="s">
        <v>7402</v>
      </c>
      <c r="C30" s="8">
        <f>AVERAGEIF(processedData!D2:D2322, "*USA*", processedData!J2:J2322)</f>
        <v>1.1000000000000001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rawData</vt:lpstr>
      <vt:lpstr>processedData</vt:lpstr>
      <vt:lpstr>keywords</vt:lpstr>
      <vt:lpstr>analysis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Edward Cheng</dc:creator>
  <cp:lastModifiedBy>Microsoft Office User</cp:lastModifiedBy>
  <dcterms:created xsi:type="dcterms:W3CDTF">2020-03-19T03:28:39Z</dcterms:created>
  <dcterms:modified xsi:type="dcterms:W3CDTF">2020-03-20T02:47:52Z</dcterms:modified>
</cp:coreProperties>
</file>