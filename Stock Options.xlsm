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war\Dropbox\Edward's Shit\CS 2034\Labs\"/>
    </mc:Choice>
  </mc:AlternateContent>
  <xr:revisionPtr revIDLastSave="0" documentId="8_{A23DEF04-6BEB-4935-B950-C32537BA3000}" xr6:coauthVersionLast="44" xr6:coauthVersionMax="44" xr10:uidLastSave="{00000000-0000-0000-0000-000000000000}"/>
  <bookViews>
    <workbookView xWindow="-110" yWindow="-110" windowWidth="19420" windowHeight="10420" activeTab="1" xr2:uid="{00000000-000D-0000-FFFF-FFFF00000000}"/>
  </bookViews>
  <sheets>
    <sheet name="IBM" sheetId="1" r:id="rId1"/>
    <sheet name="Option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5" i="2" l="1"/>
  <c r="K2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3" i="1"/>
  <c r="L29" i="2" a="1"/>
  <c r="M9" i="1" a="1"/>
  <c r="L5" i="2" a="1"/>
  <c r="L21" i="2" a="1"/>
  <c r="L13" i="2" a="1"/>
  <c r="L4" i="2" a="1"/>
  <c r="L15" i="2" a="1"/>
  <c r="L23" i="2" a="1"/>
  <c r="L7" i="2" a="1"/>
  <c r="L24" i="2" a="1"/>
  <c r="L17" i="2" a="1"/>
  <c r="L26" i="2" a="1"/>
  <c r="L25" i="2" a="1"/>
  <c r="L3" i="2" a="1"/>
  <c r="L31" i="2" a="1"/>
  <c r="L19" i="2" a="1"/>
  <c r="L16" i="2" a="1"/>
  <c r="L18" i="2" a="1"/>
  <c r="L6" i="2" a="1"/>
  <c r="L12" i="2" a="1"/>
  <c r="L28" i="2" a="1"/>
  <c r="L22" i="2" a="1"/>
  <c r="L11" i="2" a="1"/>
  <c r="L2" i="2"/>
  <c r="L30" i="2" a="1"/>
  <c r="L10" i="2" a="1"/>
  <c r="L27" i="2" a="1"/>
  <c r="L14" i="2" a="1"/>
  <c r="L8" i="2" a="1"/>
  <c r="L9" i="2" a="1"/>
  <c r="L33" i="2" a="1"/>
  <c r="L20" i="2" a="1"/>
  <c r="L32" i="2" a="1"/>
  <c r="L11" i="2" l="1"/>
  <c r="M11" i="2" s="1"/>
  <c r="L30" i="2"/>
  <c r="M30" i="2" s="1"/>
  <c r="L24" i="2"/>
  <c r="M24" i="2" s="1"/>
  <c r="L22" i="2"/>
  <c r="M22" i="2" s="1"/>
  <c r="L18" i="2"/>
  <c r="M18" i="2" s="1"/>
  <c r="L16" i="2"/>
  <c r="M16" i="2" s="1"/>
  <c r="L14" i="2"/>
  <c r="M14" i="2" s="1"/>
  <c r="L10" i="2"/>
  <c r="M10" i="2" s="1"/>
  <c r="L8" i="2"/>
  <c r="M8" i="2" s="1"/>
  <c r="L6" i="2"/>
  <c r="M6" i="2" s="1"/>
  <c r="L4" i="2"/>
  <c r="M4" i="2" s="1"/>
  <c r="L32" i="2"/>
  <c r="M32" i="2" s="1"/>
  <c r="L28" i="2"/>
  <c r="M28" i="2" s="1"/>
  <c r="L26" i="2"/>
  <c r="M26" i="2" s="1"/>
  <c r="L20" i="2"/>
  <c r="M20" i="2" s="1"/>
  <c r="L12" i="2"/>
  <c r="M12" i="2" s="1"/>
  <c r="L33" i="2"/>
  <c r="M33" i="2" s="1"/>
  <c r="L31" i="2"/>
  <c r="M31" i="2" s="1"/>
  <c r="L29" i="2"/>
  <c r="M29" i="2" s="1"/>
  <c r="L27" i="2"/>
  <c r="M27" i="2" s="1"/>
  <c r="L25" i="2"/>
  <c r="M25" i="2" s="1"/>
  <c r="L23" i="2"/>
  <c r="M23" i="2" s="1"/>
  <c r="L21" i="2"/>
  <c r="M21" i="2" s="1"/>
  <c r="L19" i="2"/>
  <c r="M19" i="2" s="1"/>
  <c r="L17" i="2"/>
  <c r="M17" i="2" s="1"/>
  <c r="L15" i="2"/>
  <c r="M15" i="2" s="1"/>
  <c r="L13" i="2"/>
  <c r="M13" i="2" s="1"/>
  <c r="L9" i="2"/>
  <c r="M9" i="2" s="1"/>
  <c r="L7" i="2"/>
  <c r="M7" i="2" s="1"/>
  <c r="L5" i="2"/>
  <c r="M5" i="2" s="1"/>
  <c r="L3" i="2"/>
  <c r="M3" i="2" s="1"/>
  <c r="M2" i="2"/>
  <c r="M9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<sst xmlns="http://schemas.openxmlformats.org/spreadsheetml/2006/main" count="105" uniqueCount="96">
  <si>
    <t>Date</t>
  </si>
  <si>
    <t>Open</t>
  </si>
  <si>
    <t>High</t>
  </si>
  <si>
    <t>Low</t>
  </si>
  <si>
    <t>Close</t>
  </si>
  <si>
    <t>Adj Close</t>
  </si>
  <si>
    <t>Volume</t>
  </si>
  <si>
    <t xml:space="preserve">Dividends </t>
  </si>
  <si>
    <t>CC ret</t>
  </si>
  <si>
    <t>Annualized Historical Volatility</t>
  </si>
  <si>
    <t>s</t>
  </si>
  <si>
    <t>k</t>
  </si>
  <si>
    <t>t</t>
  </si>
  <si>
    <t>vol</t>
  </si>
  <si>
    <t>r</t>
  </si>
  <si>
    <t>black schol</t>
  </si>
  <si>
    <t>-</t>
  </si>
  <si>
    <t>2020-03-26 3:05PM EDT</t>
  </si>
  <si>
    <t>2020-03-26 3:36PM EDT</t>
  </si>
  <si>
    <t>2020-03-24 3:33PM EDT</t>
  </si>
  <si>
    <t>Contract Name</t>
  </si>
  <si>
    <t xml:space="preserve">Last Trade Date </t>
  </si>
  <si>
    <t>Strike</t>
  </si>
  <si>
    <t>Last Price</t>
  </si>
  <si>
    <t>Bid</t>
  </si>
  <si>
    <t xml:space="preserve">Ask </t>
  </si>
  <si>
    <t>Change</t>
  </si>
  <si>
    <t xml:space="preserve">% Change </t>
  </si>
  <si>
    <t xml:space="preserve">Volume </t>
  </si>
  <si>
    <t xml:space="preserve">Open Interest </t>
  </si>
  <si>
    <t xml:space="preserve">Implied Volatility </t>
  </si>
  <si>
    <t>Black-Scholes Value</t>
  </si>
  <si>
    <t>IBM210115C00050000</t>
  </si>
  <si>
    <t>IBM210115C00060000</t>
  </si>
  <si>
    <t>2020-03-06 4:39PM EDT</t>
  </si>
  <si>
    <t>IBM210115C00065000</t>
  </si>
  <si>
    <t>2020-02-06 4:11PM EDT</t>
  </si>
  <si>
    <t>IBM210115C00070000</t>
  </si>
  <si>
    <t>2020-03-24 3:08PM EDT</t>
  </si>
  <si>
    <t>IBM210115C00075000</t>
  </si>
  <si>
    <t>2020-03-25 3:49PM EDT</t>
  </si>
  <si>
    <t>IBM210115C00080000</t>
  </si>
  <si>
    <t>2020-03-26 12:15PM EDT</t>
  </si>
  <si>
    <t>IBM210115C00085000</t>
  </si>
  <si>
    <t>2020-03-26 2:41PM EDT</t>
  </si>
  <si>
    <t>IBM210115C00090000</t>
  </si>
  <si>
    <t>2020-03-23 11:52AM EDT</t>
  </si>
  <si>
    <t>IBM210115C00095000</t>
  </si>
  <si>
    <t>2020-03-24 1:24PM EDT</t>
  </si>
  <si>
    <t>IBM210115C00100000</t>
  </si>
  <si>
    <t>2020-03-26 3:48PM EDT</t>
  </si>
  <si>
    <t>IBM210115C00105000</t>
  </si>
  <si>
    <t>2020-03-26 2:53PM EDT</t>
  </si>
  <si>
    <t>IBM210115C00110000</t>
  </si>
  <si>
    <t>2020-03-26 12:01PM EDT</t>
  </si>
  <si>
    <t>IBM210115C00115000</t>
  </si>
  <si>
    <t>2020-03-26 1:43PM EDT</t>
  </si>
  <si>
    <t>IBM210115C00120000</t>
  </si>
  <si>
    <t>IBM210115C00125000</t>
  </si>
  <si>
    <t>2020-03-26 3:35PM EDT</t>
  </si>
  <si>
    <t>IBM210115C00130000</t>
  </si>
  <si>
    <t>2020-03-26 3:53PM EDT</t>
  </si>
  <si>
    <t>IBM210115C00135000</t>
  </si>
  <si>
    <t>2020-03-26 1:53PM EDT</t>
  </si>
  <si>
    <t>IBM210115C00140000</t>
  </si>
  <si>
    <t>2020-03-26 3:54PM EDT</t>
  </si>
  <si>
    <t>IBM210115C00145000</t>
  </si>
  <si>
    <t>2020-03-26 3:58PM EDT</t>
  </si>
  <si>
    <t>IBM210115C00150000</t>
  </si>
  <si>
    <t>IBM210115C00155000</t>
  </si>
  <si>
    <t>IBM210115C00160000</t>
  </si>
  <si>
    <t>2020-03-26 2:11PM EDT</t>
  </si>
  <si>
    <t>IBM210115C00165000</t>
  </si>
  <si>
    <t>IBM210115C00170000</t>
  </si>
  <si>
    <t>2020-03-26 12:54PM EDT</t>
  </si>
  <si>
    <t>IBM210115C00175000</t>
  </si>
  <si>
    <t>2020-03-26 3:49PM EDT</t>
  </si>
  <si>
    <t>IBM210115C00180000</t>
  </si>
  <si>
    <t>2020-03-26 10:45AM EDT</t>
  </si>
  <si>
    <t>IBM210115C00185000</t>
  </si>
  <si>
    <t>2020-03-26 11:48AM EDT</t>
  </si>
  <si>
    <t>IBM210115C00190000</t>
  </si>
  <si>
    <t>2020-03-25 3:14PM EDT</t>
  </si>
  <si>
    <t>IBM210115C00195000</t>
  </si>
  <si>
    <t>2020-03-23 3:07PM EDT</t>
  </si>
  <si>
    <t>IBM210115C00200000</t>
  </si>
  <si>
    <t>2020-03-26 11:28AM EDT</t>
  </si>
  <si>
    <t>IBM210115C00210000</t>
  </si>
  <si>
    <t>2020-03-18 1:14PM EDT</t>
  </si>
  <si>
    <t>IBM210115C00220000</t>
  </si>
  <si>
    <t>2020-03-26 3:24PM EDT</t>
  </si>
  <si>
    <t>Calls for January 15, 2021</t>
  </si>
  <si>
    <t xml:space="preserve">Time to Expiry, in Years </t>
  </si>
  <si>
    <t>BLK - Ask Price</t>
  </si>
  <si>
    <t xml:space="preserve">Options with larger ask prices than their Black Scholes value indicate these options are over-priced. </t>
  </si>
  <si>
    <t xml:space="preserve">Options with ask prices lower than their Black Scholes values indicate these options are under-priced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</si>
</sst>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009]mmmm\ d\,\ yyyy;@"/>
  </numFmts>
  <fonts count="2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3"/>
      <color rgb="FF000000"/>
      <name val="Helvetica Neue"/>
      <family val="2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 (Body)"/>
    </font>
    <font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1">
    <xf numFmtId="0" fontId="0" fillId="0" borderId="0" xfId="0"/>
    <xf numFmtId="164" fontId="0" fillId="0" borderId="0" xfId="0" applyNumberFormat="1"/>
    <xf numFmtId="164" fontId="0" fillId="0" borderId="0" xfId="0" applyNumberFormat="1" applyAlignment="1">
      <alignment horizontal="left"/>
    </xf>
    <xf numFmtId="164" fontId="16" fillId="0" borderId="0" xfId="0" applyNumberFormat="1" applyFont="1" applyAlignment="1">
      <alignment horizontal="left"/>
    </xf>
    <xf numFmtId="0" fontId="16" fillId="0" borderId="0" xfId="0" applyFont="1"/>
    <xf numFmtId="0" fontId="0" fillId="0" borderId="0" xfId="0" applyNumberFormat="1"/>
    <xf numFmtId="0" fontId="19" fillId="0" borderId="0" xfId="42"/>
    <xf numFmtId="0" fontId="18" fillId="0" borderId="0" xfId="0" applyFont="1"/>
    <xf numFmtId="10" fontId="0" fillId="0" borderId="0" xfId="0" applyNumberFormat="1"/>
    <xf numFmtId="10" fontId="18" fillId="0" borderId="0" xfId="0" applyNumberFormat="1" applyFont="1"/>
    <xf numFmtId="0" fontId="1" fillId="0" borderId="0" xfId="42" applyFont="1"/>
    <xf numFmtId="0" fontId="1" fillId="0" borderId="0" xfId="0" applyFont="1"/>
    <xf numFmtId="10" fontId="1" fillId="0" borderId="0" xfId="0" applyNumberFormat="1" applyFont="1"/>
    <xf numFmtId="0" fontId="0" fillId="0" borderId="0" xfId="0" applyFill="1"/>
    <xf numFmtId="164" fontId="16" fillId="0" borderId="0" xfId="0" applyNumberFormat="1" applyFont="1"/>
    <xf numFmtId="164" fontId="1" fillId="0" borderId="0" xfId="0" applyNumberFormat="1" applyFont="1"/>
    <xf numFmtId="164" fontId="18" fillId="0" borderId="0" xfId="0" applyNumberFormat="1" applyFont="1"/>
    <xf numFmtId="3" fontId="1" fillId="0" borderId="0" xfId="0" applyNumberFormat="1" applyFont="1"/>
    <xf numFmtId="15" fontId="0" fillId="0" borderId="0" xfId="0" applyNumberFormat="1"/>
    <xf numFmtId="0" fontId="20" fillId="0" borderId="0" xfId="0" applyFont="1" applyFill="1"/>
    <xf numFmtId="0" fontId="21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54"/>
  <sheetViews>
    <sheetView topLeftCell="D1" workbookViewId="0">
      <selection activeCell="K20" sqref="K20"/>
    </sheetView>
  </sheetViews>
  <sheetFormatPr defaultColWidth="10.6640625" defaultRowHeight="15.5"/>
  <cols>
    <col min="1" max="1" width="17.83203125" style="2" bestFit="1" customWidth="1"/>
  </cols>
  <sheetData>
    <row r="1" spans="1:13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K1" s="4" t="s">
        <v>9</v>
      </c>
    </row>
    <row r="2" spans="1:13">
      <c r="A2" s="2">
        <v>43915</v>
      </c>
      <c r="B2">
        <v>105.480003</v>
      </c>
      <c r="C2">
        <v>112.480003</v>
      </c>
      <c r="D2">
        <v>102.83000199999999</v>
      </c>
      <c r="E2">
        <v>105.849998</v>
      </c>
      <c r="F2">
        <v>105.849998</v>
      </c>
      <c r="G2">
        <v>8646600</v>
      </c>
      <c r="K2" s="5">
        <f>(STDEV(I3:I253)*SQRT(253))</f>
        <v>0.33852882477788626</v>
      </c>
    </row>
    <row r="3" spans="1:13">
      <c r="A3" s="2">
        <v>43914</v>
      </c>
      <c r="B3">
        <v>99.989998</v>
      </c>
      <c r="C3">
        <v>106.040001</v>
      </c>
      <c r="D3">
        <v>99.260002</v>
      </c>
      <c r="E3">
        <v>105.480003</v>
      </c>
      <c r="F3">
        <v>105.480003</v>
      </c>
      <c r="G3">
        <v>7973900</v>
      </c>
      <c r="I3">
        <f>LN((E3+H3)/(E2))</f>
        <v>-3.5015887597155248E-3</v>
      </c>
    </row>
    <row r="4" spans="1:13">
      <c r="A4" s="2">
        <v>43913</v>
      </c>
      <c r="B4">
        <v>94.599997999999999</v>
      </c>
      <c r="C4">
        <v>97.739998</v>
      </c>
      <c r="D4">
        <v>90.559997999999993</v>
      </c>
      <c r="E4">
        <v>94.769997000000004</v>
      </c>
      <c r="F4">
        <v>94.769997000000004</v>
      </c>
      <c r="G4">
        <v>9729400</v>
      </c>
      <c r="I4">
        <f t="shared" ref="I4:I67" si="0">LN((E4+H4)/(E3))</f>
        <v>-0.10706851809998036</v>
      </c>
      <c r="K4" s="5"/>
      <c r="L4" t="s">
        <v>10</v>
      </c>
      <c r="M4">
        <v>5.86</v>
      </c>
    </row>
    <row r="5" spans="1:13">
      <c r="A5" s="2">
        <v>43910</v>
      </c>
      <c r="B5">
        <v>100.91999800000001</v>
      </c>
      <c r="C5">
        <v>100.989998</v>
      </c>
      <c r="D5">
        <v>94.709998999999996</v>
      </c>
      <c r="E5">
        <v>95.389999000000003</v>
      </c>
      <c r="F5">
        <v>95.389999000000003</v>
      </c>
      <c r="G5">
        <v>10546500</v>
      </c>
      <c r="I5">
        <f t="shared" si="0"/>
        <v>6.5208688473217709E-3</v>
      </c>
      <c r="K5" s="5"/>
      <c r="L5" t="s">
        <v>11</v>
      </c>
      <c r="M5">
        <v>1.35</v>
      </c>
    </row>
    <row r="6" spans="1:13">
      <c r="A6" s="2">
        <v>43909</v>
      </c>
      <c r="B6">
        <v>102.33000199999999</v>
      </c>
      <c r="C6">
        <v>103.69000200000001</v>
      </c>
      <c r="D6">
        <v>98.239998</v>
      </c>
      <c r="E6">
        <v>100.339996</v>
      </c>
      <c r="F6">
        <v>100.339996</v>
      </c>
      <c r="G6">
        <v>8396500</v>
      </c>
      <c r="I6">
        <f t="shared" si="0"/>
        <v>5.0590638517807797E-2</v>
      </c>
      <c r="K6" s="5"/>
      <c r="L6" t="s">
        <v>12</v>
      </c>
      <c r="M6">
        <v>1</v>
      </c>
    </row>
    <row r="7" spans="1:13">
      <c r="A7" s="2">
        <v>43908</v>
      </c>
      <c r="B7">
        <v>99.410004000000001</v>
      </c>
      <c r="C7">
        <v>106.93</v>
      </c>
      <c r="D7">
        <v>99.400002000000001</v>
      </c>
      <c r="E7">
        <v>103.550003</v>
      </c>
      <c r="F7">
        <v>103.550003</v>
      </c>
      <c r="G7">
        <v>8772500</v>
      </c>
      <c r="I7">
        <f t="shared" si="0"/>
        <v>3.1490237621458861E-2</v>
      </c>
      <c r="K7" s="5"/>
      <c r="L7" t="s">
        <v>13</v>
      </c>
      <c r="M7">
        <v>0.32</v>
      </c>
    </row>
    <row r="8" spans="1:13">
      <c r="A8" s="2">
        <v>43907</v>
      </c>
      <c r="B8">
        <v>100.610001</v>
      </c>
      <c r="C8">
        <v>107.400002</v>
      </c>
      <c r="D8">
        <v>97.099997999999999</v>
      </c>
      <c r="E8">
        <v>106.650002</v>
      </c>
      <c r="F8">
        <v>106.650002</v>
      </c>
      <c r="G8">
        <v>9258300</v>
      </c>
      <c r="I8">
        <f t="shared" si="0"/>
        <v>2.9497846857185522E-2</v>
      </c>
      <c r="K8" s="5"/>
      <c r="L8" t="s">
        <v>14</v>
      </c>
      <c r="M8">
        <v>0.02</v>
      </c>
    </row>
    <row r="9" spans="1:13">
      <c r="A9" s="2">
        <v>43906</v>
      </c>
      <c r="B9">
        <v>98</v>
      </c>
      <c r="C9">
        <v>107.410004</v>
      </c>
      <c r="D9">
        <v>95</v>
      </c>
      <c r="E9">
        <v>99.080001999999993</v>
      </c>
      <c r="F9">
        <v>99.080001999999993</v>
      </c>
      <c r="G9">
        <v>10568000</v>
      </c>
      <c r="I9">
        <f t="shared" si="0"/>
        <v>-7.3624838863422484E-2</v>
      </c>
      <c r="K9" s="5"/>
      <c r="L9" t="s">
        <v>15</v>
      </c>
      <c r="M9" cm="1">
        <f t="array" ref="M9">blackscholes(M4,M5,M6,M7,M8)</f>
        <v>4.5367320811463507</v>
      </c>
    </row>
    <row r="10" spans="1:13">
      <c r="A10" s="2">
        <v>43903</v>
      </c>
      <c r="B10">
        <v>108.68</v>
      </c>
      <c r="C10">
        <v>109.160004</v>
      </c>
      <c r="D10">
        <v>100.80999799999999</v>
      </c>
      <c r="E10">
        <v>107.949997</v>
      </c>
      <c r="F10">
        <v>107.949997</v>
      </c>
      <c r="G10">
        <v>12502100</v>
      </c>
      <c r="I10">
        <f t="shared" si="0"/>
        <v>8.5740504363305145E-2</v>
      </c>
      <c r="K10" s="5"/>
    </row>
    <row r="11" spans="1:13">
      <c r="A11" s="2">
        <v>43902</v>
      </c>
      <c r="B11">
        <v>109.650002</v>
      </c>
      <c r="C11">
        <v>109.800003</v>
      </c>
      <c r="D11">
        <v>102.279999</v>
      </c>
      <c r="E11">
        <v>102.80999799999999</v>
      </c>
      <c r="F11">
        <v>102.80999799999999</v>
      </c>
      <c r="G11">
        <v>12512700</v>
      </c>
      <c r="I11">
        <f t="shared" si="0"/>
        <v>-4.8785524068905746E-2</v>
      </c>
      <c r="K11" s="5"/>
    </row>
    <row r="12" spans="1:13">
      <c r="A12" s="2">
        <v>43901</v>
      </c>
      <c r="B12">
        <v>121.010002</v>
      </c>
      <c r="C12">
        <v>122.58000199999999</v>
      </c>
      <c r="D12">
        <v>116.379997</v>
      </c>
      <c r="E12">
        <v>117.970001</v>
      </c>
      <c r="F12">
        <v>117.970001</v>
      </c>
      <c r="G12">
        <v>8446500</v>
      </c>
      <c r="I12">
        <f t="shared" si="0"/>
        <v>0.13754775822921603</v>
      </c>
      <c r="K12" s="5"/>
    </row>
    <row r="13" spans="1:13">
      <c r="A13" s="2">
        <v>43900</v>
      </c>
      <c r="B13">
        <v>122.779999</v>
      </c>
      <c r="C13">
        <v>124.879997</v>
      </c>
      <c r="D13">
        <v>115.760002</v>
      </c>
      <c r="E13">
        <v>124.769997</v>
      </c>
      <c r="F13">
        <v>124.769997</v>
      </c>
      <c r="G13">
        <v>11410700</v>
      </c>
      <c r="I13">
        <f t="shared" si="0"/>
        <v>5.6041655048205914E-2</v>
      </c>
      <c r="K13" s="5"/>
    </row>
    <row r="14" spans="1:13">
      <c r="A14" s="2">
        <v>43899</v>
      </c>
      <c r="B14">
        <v>120.160004</v>
      </c>
      <c r="C14">
        <v>122.410004</v>
      </c>
      <c r="D14">
        <v>117.279999</v>
      </c>
      <c r="E14">
        <v>117.80999799999999</v>
      </c>
      <c r="F14">
        <v>117.80999799999999</v>
      </c>
      <c r="G14">
        <v>10757500</v>
      </c>
      <c r="I14">
        <f t="shared" si="0"/>
        <v>-5.7398878097148109E-2</v>
      </c>
      <c r="K14" s="5"/>
    </row>
    <row r="15" spans="1:13">
      <c r="A15" s="2">
        <v>43896</v>
      </c>
      <c r="B15">
        <v>126.699997</v>
      </c>
      <c r="C15">
        <v>128.33000200000001</v>
      </c>
      <c r="D15">
        <v>124.519997</v>
      </c>
      <c r="E15">
        <v>127.730003</v>
      </c>
      <c r="F15">
        <v>127.730003</v>
      </c>
      <c r="G15">
        <v>8193300</v>
      </c>
      <c r="I15">
        <f t="shared" si="0"/>
        <v>8.0845544260188001E-2</v>
      </c>
      <c r="K15" s="5"/>
    </row>
    <row r="16" spans="1:13">
      <c r="A16" s="2">
        <v>43895</v>
      </c>
      <c r="B16">
        <v>130.5</v>
      </c>
      <c r="C16">
        <v>132.28999300000001</v>
      </c>
      <c r="D16">
        <v>128.449997</v>
      </c>
      <c r="E16">
        <v>129.550003</v>
      </c>
      <c r="F16">
        <v>129.550003</v>
      </c>
      <c r="G16">
        <v>5446200</v>
      </c>
      <c r="I16">
        <f t="shared" si="0"/>
        <v>1.4148245623472848E-2</v>
      </c>
      <c r="K16" s="5"/>
    </row>
    <row r="17" spans="1:11">
      <c r="A17" s="2">
        <v>43894</v>
      </c>
      <c r="B17">
        <v>131.58000200000001</v>
      </c>
      <c r="C17">
        <v>134.279999</v>
      </c>
      <c r="D17">
        <v>129</v>
      </c>
      <c r="E17">
        <v>134.220001</v>
      </c>
      <c r="F17">
        <v>134.220001</v>
      </c>
      <c r="G17">
        <v>4996400</v>
      </c>
      <c r="I17">
        <f t="shared" si="0"/>
        <v>3.5413322015346818E-2</v>
      </c>
      <c r="K17" s="5"/>
    </row>
    <row r="18" spans="1:11">
      <c r="A18" s="2">
        <v>43893</v>
      </c>
      <c r="B18">
        <v>134.479996</v>
      </c>
      <c r="C18">
        <v>136.10000600000001</v>
      </c>
      <c r="D18">
        <v>127.800003</v>
      </c>
      <c r="E18">
        <v>128.89999399999999</v>
      </c>
      <c r="F18">
        <v>128.89999399999999</v>
      </c>
      <c r="G18">
        <v>7896100</v>
      </c>
      <c r="I18">
        <f t="shared" si="0"/>
        <v>-4.0443388783118477E-2</v>
      </c>
      <c r="K18" s="5"/>
    </row>
    <row r="19" spans="1:11">
      <c r="A19" s="2">
        <v>43892</v>
      </c>
      <c r="B19">
        <v>130.75</v>
      </c>
      <c r="C19">
        <v>134.44000199999999</v>
      </c>
      <c r="D19">
        <v>127.949997</v>
      </c>
      <c r="E19">
        <v>134.300003</v>
      </c>
      <c r="F19">
        <v>134.300003</v>
      </c>
      <c r="G19">
        <v>8531400</v>
      </c>
      <c r="I19">
        <f t="shared" si="0"/>
        <v>4.1039262469811592E-2</v>
      </c>
      <c r="K19" s="5"/>
    </row>
    <row r="20" spans="1:11">
      <c r="A20" s="2">
        <v>43889</v>
      </c>
      <c r="B20">
        <v>129.979996</v>
      </c>
      <c r="C20">
        <v>131.08999600000001</v>
      </c>
      <c r="D20">
        <v>126.360001</v>
      </c>
      <c r="E20">
        <v>130.14999399999999</v>
      </c>
      <c r="F20">
        <v>130.14999399999999</v>
      </c>
      <c r="G20">
        <v>13012200</v>
      </c>
      <c r="I20">
        <f t="shared" si="0"/>
        <v>-3.1388540527320603E-2</v>
      </c>
      <c r="K20" s="5"/>
    </row>
    <row r="21" spans="1:11">
      <c r="A21" s="2">
        <v>43888</v>
      </c>
      <c r="B21">
        <v>137.240005</v>
      </c>
      <c r="C21">
        <v>138.69000199999999</v>
      </c>
      <c r="D21">
        <v>133.009995</v>
      </c>
      <c r="E21">
        <v>133.11000100000001</v>
      </c>
      <c r="F21">
        <v>133.11000100000001</v>
      </c>
      <c r="G21">
        <v>8421100</v>
      </c>
      <c r="I21">
        <f t="shared" si="0"/>
        <v>2.2488276231591282E-2</v>
      </c>
      <c r="K21" s="5"/>
    </row>
    <row r="22" spans="1:11">
      <c r="A22" s="2">
        <v>43887</v>
      </c>
      <c r="B22">
        <v>142.89999399999999</v>
      </c>
      <c r="C22">
        <v>144.05999800000001</v>
      </c>
      <c r="D22">
        <v>139.60000600000001</v>
      </c>
      <c r="E22">
        <v>139.75</v>
      </c>
      <c r="F22">
        <v>139.75</v>
      </c>
      <c r="G22">
        <v>5407900</v>
      </c>
      <c r="I22">
        <f t="shared" si="0"/>
        <v>4.8679250463697192E-2</v>
      </c>
      <c r="K22" s="5"/>
    </row>
    <row r="23" spans="1:11">
      <c r="A23" s="2">
        <v>43886</v>
      </c>
      <c r="B23">
        <v>146.509995</v>
      </c>
      <c r="C23">
        <v>147.070007</v>
      </c>
      <c r="D23">
        <v>141.259995</v>
      </c>
      <c r="E23">
        <v>141.71000699999999</v>
      </c>
      <c r="F23">
        <v>141.71000699999999</v>
      </c>
      <c r="G23">
        <v>6211500</v>
      </c>
      <c r="I23">
        <f t="shared" si="0"/>
        <v>1.3927653198224386E-2</v>
      </c>
      <c r="K23" s="5"/>
    </row>
    <row r="24" spans="1:11">
      <c r="A24" s="2">
        <v>43885</v>
      </c>
      <c r="B24">
        <v>145.509995</v>
      </c>
      <c r="C24">
        <v>148.050003</v>
      </c>
      <c r="D24">
        <v>145.38000500000001</v>
      </c>
      <c r="E24">
        <v>146.429993</v>
      </c>
      <c r="F24">
        <v>146.429993</v>
      </c>
      <c r="G24">
        <v>5452400</v>
      </c>
      <c r="I24">
        <f t="shared" si="0"/>
        <v>3.2764685529320055E-2</v>
      </c>
      <c r="K24" s="5"/>
    </row>
    <row r="25" spans="1:11">
      <c r="A25" s="2">
        <v>43882</v>
      </c>
      <c r="B25">
        <v>151.03999300000001</v>
      </c>
      <c r="C25">
        <v>151.03999300000001</v>
      </c>
      <c r="D25">
        <v>148.83999600000001</v>
      </c>
      <c r="E25">
        <v>149.83999600000001</v>
      </c>
      <c r="F25">
        <v>149.83999600000001</v>
      </c>
      <c r="G25">
        <v>3536900</v>
      </c>
      <c r="I25">
        <f t="shared" si="0"/>
        <v>2.3020580677938437E-2</v>
      </c>
      <c r="K25" s="5"/>
    </row>
    <row r="26" spans="1:11">
      <c r="A26" s="2">
        <v>43881</v>
      </c>
      <c r="B26">
        <v>150.80999800000001</v>
      </c>
      <c r="C26">
        <v>151.61999499999999</v>
      </c>
      <c r="D26">
        <v>149.509995</v>
      </c>
      <c r="E26">
        <v>151.220001</v>
      </c>
      <c r="F26">
        <v>151.220001</v>
      </c>
      <c r="G26">
        <v>2880500</v>
      </c>
      <c r="I26">
        <f t="shared" si="0"/>
        <v>9.1677053023142847E-3</v>
      </c>
      <c r="K26" s="5"/>
    </row>
    <row r="27" spans="1:11">
      <c r="A27" s="2">
        <v>43880</v>
      </c>
      <c r="B27">
        <v>151.53999300000001</v>
      </c>
      <c r="C27">
        <v>151.88999899999999</v>
      </c>
      <c r="D27">
        <v>150.30999800000001</v>
      </c>
      <c r="E27">
        <v>150.86000100000001</v>
      </c>
      <c r="F27">
        <v>150.86000100000001</v>
      </c>
      <c r="G27">
        <v>2732900</v>
      </c>
      <c r="I27">
        <f t="shared" si="0"/>
        <v>-2.3834756888585175E-3</v>
      </c>
      <c r="K27" s="5"/>
    </row>
    <row r="28" spans="1:11">
      <c r="A28" s="2">
        <v>43879</v>
      </c>
      <c r="B28">
        <v>149.78999300000001</v>
      </c>
      <c r="C28">
        <v>151.38000500000001</v>
      </c>
      <c r="D28">
        <v>149.63999899999999</v>
      </c>
      <c r="E28">
        <v>151.10000600000001</v>
      </c>
      <c r="F28">
        <v>151.10000600000001</v>
      </c>
      <c r="G28">
        <v>3343000</v>
      </c>
      <c r="I28">
        <f t="shared" si="0"/>
        <v>1.5896479333479632E-3</v>
      </c>
      <c r="K28" s="5"/>
    </row>
    <row r="29" spans="1:11">
      <c r="A29" s="2">
        <v>43875</v>
      </c>
      <c r="B29">
        <v>154.41999799999999</v>
      </c>
      <c r="C29">
        <v>154.55999800000001</v>
      </c>
      <c r="D29">
        <v>149.770004</v>
      </c>
      <c r="E29">
        <v>150.699997</v>
      </c>
      <c r="F29">
        <v>150.699997</v>
      </c>
      <c r="G29">
        <v>6099200</v>
      </c>
      <c r="I29">
        <f t="shared" si="0"/>
        <v>-2.6508232621458862E-3</v>
      </c>
      <c r="K29" s="5"/>
    </row>
    <row r="30" spans="1:11">
      <c r="A30" s="2">
        <v>43874</v>
      </c>
      <c r="B30">
        <v>154.36999499999999</v>
      </c>
      <c r="C30">
        <v>154.83000200000001</v>
      </c>
      <c r="D30">
        <v>153.41000399999999</v>
      </c>
      <c r="E30">
        <v>154.30999800000001</v>
      </c>
      <c r="F30">
        <v>154.30999800000001</v>
      </c>
      <c r="G30">
        <v>3820700</v>
      </c>
      <c r="I30">
        <f t="shared" si="0"/>
        <v>2.3672467396841122E-2</v>
      </c>
      <c r="K30" s="5"/>
    </row>
    <row r="31" spans="1:11">
      <c r="A31" s="2">
        <v>43873</v>
      </c>
      <c r="B31">
        <v>153.75</v>
      </c>
      <c r="C31">
        <v>155.60000600000001</v>
      </c>
      <c r="D31">
        <v>153.520004</v>
      </c>
      <c r="E31">
        <v>155.30999800000001</v>
      </c>
      <c r="F31">
        <v>155.30999800000001</v>
      </c>
      <c r="G31">
        <v>4437800</v>
      </c>
      <c r="I31">
        <f t="shared" si="0"/>
        <v>6.4595535822582449E-3</v>
      </c>
      <c r="K31" s="5"/>
    </row>
    <row r="32" spans="1:11">
      <c r="A32" s="2">
        <v>43872</v>
      </c>
      <c r="B32">
        <v>155.11999499999999</v>
      </c>
      <c r="C32">
        <v>155.220001</v>
      </c>
      <c r="D32">
        <v>152.729996</v>
      </c>
      <c r="E32">
        <v>153.479996</v>
      </c>
      <c r="F32">
        <v>153.479996</v>
      </c>
      <c r="G32">
        <v>3835100</v>
      </c>
      <c r="I32">
        <f t="shared" si="0"/>
        <v>-1.1852867387725083E-2</v>
      </c>
      <c r="K32" s="5"/>
    </row>
    <row r="33" spans="1:11">
      <c r="A33" s="2">
        <v>43871</v>
      </c>
      <c r="B33">
        <v>152.970001</v>
      </c>
      <c r="C33">
        <v>154.44000199999999</v>
      </c>
      <c r="D33">
        <v>151.58000200000001</v>
      </c>
      <c r="E33">
        <v>154.429993</v>
      </c>
      <c r="F33">
        <v>154.429993</v>
      </c>
      <c r="G33">
        <v>5239800</v>
      </c>
      <c r="I33">
        <f t="shared" si="0"/>
        <v>6.1706345902045427E-3</v>
      </c>
      <c r="K33" s="5"/>
    </row>
    <row r="34" spans="1:11">
      <c r="A34" s="2">
        <v>43868</v>
      </c>
      <c r="B34">
        <v>154.550003</v>
      </c>
      <c r="C34">
        <v>155.53999300000001</v>
      </c>
      <c r="D34">
        <v>152.91999799999999</v>
      </c>
      <c r="E34">
        <v>153.41000399999999</v>
      </c>
      <c r="F34">
        <v>153.41000399999999</v>
      </c>
      <c r="G34">
        <v>6423400</v>
      </c>
      <c r="H34">
        <v>1.62</v>
      </c>
      <c r="I34">
        <f t="shared" si="0"/>
        <v>3.8777984727998856E-3</v>
      </c>
      <c r="K34" s="5"/>
    </row>
    <row r="35" spans="1:11">
      <c r="A35" s="2">
        <v>43867</v>
      </c>
      <c r="B35">
        <v>156.820007</v>
      </c>
      <c r="C35">
        <v>158.75</v>
      </c>
      <c r="D35">
        <v>155.41999799999999</v>
      </c>
      <c r="E35">
        <v>156.759995</v>
      </c>
      <c r="F35">
        <v>155.13999899999999</v>
      </c>
      <c r="G35">
        <v>8400500</v>
      </c>
      <c r="I35">
        <f t="shared" si="0"/>
        <v>2.1601839504937343E-2</v>
      </c>
      <c r="K35" s="5"/>
    </row>
    <row r="36" spans="1:11">
      <c r="A36" s="2">
        <v>43866</v>
      </c>
      <c r="B36">
        <v>150.21000699999999</v>
      </c>
      <c r="C36">
        <v>157.44000199999999</v>
      </c>
      <c r="D36">
        <v>150.14999399999999</v>
      </c>
      <c r="E36">
        <v>156.33000200000001</v>
      </c>
      <c r="F36">
        <v>154.71444700000001</v>
      </c>
      <c r="G36">
        <v>14386800</v>
      </c>
      <c r="I36">
        <f t="shared" si="0"/>
        <v>-2.7467710528556949E-3</v>
      </c>
      <c r="K36" s="5"/>
    </row>
    <row r="37" spans="1:11">
      <c r="A37" s="2">
        <v>43865</v>
      </c>
      <c r="B37">
        <v>147.779999</v>
      </c>
      <c r="C37">
        <v>149.38000500000001</v>
      </c>
      <c r="D37">
        <v>146.88000500000001</v>
      </c>
      <c r="E37">
        <v>149.11000100000001</v>
      </c>
      <c r="F37">
        <v>147.569061</v>
      </c>
      <c r="G37">
        <v>5621000</v>
      </c>
      <c r="I37">
        <f t="shared" si="0"/>
        <v>-4.7284875073408228E-2</v>
      </c>
      <c r="K37" s="5"/>
    </row>
    <row r="38" spans="1:11">
      <c r="A38" s="2">
        <v>43864</v>
      </c>
      <c r="B38">
        <v>144.25</v>
      </c>
      <c r="C38">
        <v>147.279999</v>
      </c>
      <c r="D38">
        <v>143.89999399999999</v>
      </c>
      <c r="E38">
        <v>146.270004</v>
      </c>
      <c r="F38">
        <v>144.758408</v>
      </c>
      <c r="G38">
        <v>8887500</v>
      </c>
      <c r="I38">
        <f t="shared" si="0"/>
        <v>-1.9230039063590179E-2</v>
      </c>
      <c r="K38" s="5"/>
    </row>
    <row r="39" spans="1:11">
      <c r="A39" s="2">
        <v>43861</v>
      </c>
      <c r="B39">
        <v>142.89999399999999</v>
      </c>
      <c r="C39">
        <v>144.050003</v>
      </c>
      <c r="D39">
        <v>140.78999300000001</v>
      </c>
      <c r="E39">
        <v>143.729996</v>
      </c>
      <c r="F39">
        <v>142.24465900000001</v>
      </c>
      <c r="G39">
        <v>18994600</v>
      </c>
      <c r="I39">
        <f t="shared" si="0"/>
        <v>-1.7517744512503076E-2</v>
      </c>
    </row>
    <row r="40" spans="1:11">
      <c r="A40" s="2">
        <v>43860</v>
      </c>
      <c r="B40">
        <v>136.759995</v>
      </c>
      <c r="C40">
        <v>136.970001</v>
      </c>
      <c r="D40">
        <v>134.970001</v>
      </c>
      <c r="E40">
        <v>136.770004</v>
      </c>
      <c r="F40">
        <v>135.356583</v>
      </c>
      <c r="G40">
        <v>5057900</v>
      </c>
      <c r="I40">
        <f t="shared" si="0"/>
        <v>-4.9635799593542106E-2</v>
      </c>
    </row>
    <row r="41" spans="1:11">
      <c r="A41" s="2">
        <v>43859</v>
      </c>
      <c r="B41">
        <v>139.16999799999999</v>
      </c>
      <c r="C41">
        <v>139.58000200000001</v>
      </c>
      <c r="D41">
        <v>137.60000600000001</v>
      </c>
      <c r="E41">
        <v>137.69000199999999</v>
      </c>
      <c r="F41">
        <v>136.26707500000001</v>
      </c>
      <c r="G41">
        <v>3053800</v>
      </c>
      <c r="I41">
        <f t="shared" si="0"/>
        <v>6.7040838420249676E-3</v>
      </c>
    </row>
    <row r="42" spans="1:11">
      <c r="A42" s="2">
        <v>43858</v>
      </c>
      <c r="B42">
        <v>139.5</v>
      </c>
      <c r="C42">
        <v>140.470001</v>
      </c>
      <c r="D42">
        <v>138.75</v>
      </c>
      <c r="E42">
        <v>139.550003</v>
      </c>
      <c r="F42">
        <v>138.10786400000001</v>
      </c>
      <c r="G42">
        <v>3451600</v>
      </c>
      <c r="I42">
        <f t="shared" si="0"/>
        <v>1.3418185498338127E-2</v>
      </c>
    </row>
    <row r="43" spans="1:11">
      <c r="A43" s="2">
        <v>43857</v>
      </c>
      <c r="B43">
        <v>138.5</v>
      </c>
      <c r="C43">
        <v>140.070007</v>
      </c>
      <c r="D43">
        <v>138.10000600000001</v>
      </c>
      <c r="E43">
        <v>138.61999499999999</v>
      </c>
      <c r="F43">
        <v>137.187454</v>
      </c>
      <c r="G43">
        <v>4166600</v>
      </c>
      <c r="I43">
        <f t="shared" si="0"/>
        <v>-6.6866410599953205E-3</v>
      </c>
    </row>
    <row r="44" spans="1:11">
      <c r="A44" s="2">
        <v>43854</v>
      </c>
      <c r="B44">
        <v>143.38999899999999</v>
      </c>
      <c r="C44">
        <v>143.91999799999999</v>
      </c>
      <c r="D44">
        <v>140.46000699999999</v>
      </c>
      <c r="E44">
        <v>140.55999800000001</v>
      </c>
      <c r="F44">
        <v>139.10742200000001</v>
      </c>
      <c r="G44">
        <v>5580200</v>
      </c>
      <c r="I44">
        <f t="shared" si="0"/>
        <v>1.3898089230035963E-2</v>
      </c>
    </row>
    <row r="45" spans="1:11">
      <c r="A45" s="2">
        <v>43853</v>
      </c>
      <c r="B45">
        <v>144.199997</v>
      </c>
      <c r="C45">
        <v>144.41000399999999</v>
      </c>
      <c r="D45">
        <v>142.14999399999999</v>
      </c>
      <c r="E45">
        <v>142.86999499999999</v>
      </c>
      <c r="F45">
        <v>141.393539</v>
      </c>
      <c r="G45">
        <v>5657800</v>
      </c>
      <c r="I45">
        <f t="shared" si="0"/>
        <v>1.6300661230173111E-2</v>
      </c>
    </row>
    <row r="46" spans="1:11">
      <c r="A46" s="2">
        <v>43852</v>
      </c>
      <c r="B46">
        <v>143.320007</v>
      </c>
      <c r="C46">
        <v>145.78999300000001</v>
      </c>
      <c r="D46">
        <v>142.550003</v>
      </c>
      <c r="E46">
        <v>143.88999899999999</v>
      </c>
      <c r="F46">
        <v>142.40299999999999</v>
      </c>
      <c r="G46">
        <v>16470400</v>
      </c>
      <c r="I46">
        <f t="shared" si="0"/>
        <v>7.1140209453571688E-3</v>
      </c>
    </row>
    <row r="47" spans="1:11">
      <c r="A47" s="2">
        <v>43851</v>
      </c>
      <c r="B47">
        <v>137.80999800000001</v>
      </c>
      <c r="C47">
        <v>139.35000600000001</v>
      </c>
      <c r="D47">
        <v>137.60000600000001</v>
      </c>
      <c r="E47">
        <v>139.16999799999999</v>
      </c>
      <c r="F47">
        <v>137.73178100000001</v>
      </c>
      <c r="G47">
        <v>7244100</v>
      </c>
      <c r="I47">
        <f t="shared" si="0"/>
        <v>-3.3352918764724231E-2</v>
      </c>
    </row>
    <row r="48" spans="1:11">
      <c r="A48" s="2">
        <v>43847</v>
      </c>
      <c r="B48">
        <v>136.53999300000001</v>
      </c>
      <c r="C48">
        <v>138.33000200000001</v>
      </c>
      <c r="D48">
        <v>136.16000399999999</v>
      </c>
      <c r="E48">
        <v>138.30999800000001</v>
      </c>
      <c r="F48">
        <v>136.880661</v>
      </c>
      <c r="G48">
        <v>5623300</v>
      </c>
      <c r="I48">
        <f t="shared" si="0"/>
        <v>-6.1986648845025099E-3</v>
      </c>
    </row>
    <row r="49" spans="1:9">
      <c r="A49" s="2">
        <v>43846</v>
      </c>
      <c r="B49">
        <v>137.320007</v>
      </c>
      <c r="C49">
        <v>138.19000199999999</v>
      </c>
      <c r="D49">
        <v>137.009995</v>
      </c>
      <c r="E49">
        <v>137.979996</v>
      </c>
      <c r="F49">
        <v>136.55407700000001</v>
      </c>
      <c r="G49">
        <v>4320900</v>
      </c>
      <c r="I49">
        <f t="shared" si="0"/>
        <v>-2.3888100480925186E-3</v>
      </c>
    </row>
    <row r="50" spans="1:9">
      <c r="A50" s="2">
        <v>43845</v>
      </c>
      <c r="B50">
        <v>136</v>
      </c>
      <c r="C50">
        <v>138.05999800000001</v>
      </c>
      <c r="D50">
        <v>135.71000699999999</v>
      </c>
      <c r="E50">
        <v>136.61999499999999</v>
      </c>
      <c r="F50">
        <v>135.20813000000001</v>
      </c>
      <c r="G50">
        <v>4045900</v>
      </c>
      <c r="I50">
        <f t="shared" si="0"/>
        <v>-9.9054054224136986E-3</v>
      </c>
    </row>
    <row r="51" spans="1:9">
      <c r="A51" s="2">
        <v>43844</v>
      </c>
      <c r="B51">
        <v>136.279999</v>
      </c>
      <c r="C51">
        <v>137.13999899999999</v>
      </c>
      <c r="D51">
        <v>135.550003</v>
      </c>
      <c r="E51">
        <v>135.820007</v>
      </c>
      <c r="F51">
        <v>134.41641200000001</v>
      </c>
      <c r="G51">
        <v>3681000</v>
      </c>
      <c r="I51">
        <f t="shared" si="0"/>
        <v>-5.8727814813943997E-3</v>
      </c>
    </row>
    <row r="52" spans="1:9">
      <c r="A52" s="2">
        <v>43843</v>
      </c>
      <c r="B52">
        <v>135.479996</v>
      </c>
      <c r="C52">
        <v>136.63999899999999</v>
      </c>
      <c r="D52">
        <v>135.070007</v>
      </c>
      <c r="E52">
        <v>136.60000600000001</v>
      </c>
      <c r="F52">
        <v>135.188354</v>
      </c>
      <c r="G52">
        <v>3531000</v>
      </c>
      <c r="I52">
        <f t="shared" si="0"/>
        <v>5.7264598361087635E-3</v>
      </c>
    </row>
    <row r="53" spans="1:9">
      <c r="A53" s="2">
        <v>43840</v>
      </c>
      <c r="B53">
        <v>137</v>
      </c>
      <c r="C53">
        <v>137.86999499999999</v>
      </c>
      <c r="D53">
        <v>136.30999800000001</v>
      </c>
      <c r="E53">
        <v>136.69000199999999</v>
      </c>
      <c r="F53">
        <v>135.27742000000001</v>
      </c>
      <c r="G53">
        <v>3255400</v>
      </c>
      <c r="I53">
        <f t="shared" si="0"/>
        <v>6.5861173565565957E-4</v>
      </c>
    </row>
    <row r="54" spans="1:9">
      <c r="A54" s="2">
        <v>43839</v>
      </c>
      <c r="B54">
        <v>135.740005</v>
      </c>
      <c r="C54">
        <v>136.78999300000001</v>
      </c>
      <c r="D54">
        <v>135.30999800000001</v>
      </c>
      <c r="E54">
        <v>136.740005</v>
      </c>
      <c r="F54">
        <v>135.32690400000001</v>
      </c>
      <c r="G54">
        <v>3730600</v>
      </c>
      <c r="I54">
        <f t="shared" si="0"/>
        <v>3.6574625518270387E-4</v>
      </c>
    </row>
    <row r="55" spans="1:9">
      <c r="A55" s="2">
        <v>43838</v>
      </c>
      <c r="B55">
        <v>134.509995</v>
      </c>
      <c r="C55">
        <v>135.86000100000001</v>
      </c>
      <c r="D55">
        <v>133.91999799999999</v>
      </c>
      <c r="E55">
        <v>135.30999800000001</v>
      </c>
      <c r="F55">
        <v>133.91166699999999</v>
      </c>
      <c r="G55">
        <v>4346000</v>
      </c>
      <c r="I55">
        <f t="shared" si="0"/>
        <v>-1.0512921556713196E-2</v>
      </c>
    </row>
    <row r="56" spans="1:9">
      <c r="A56" s="2">
        <v>43837</v>
      </c>
      <c r="B56">
        <v>133.69000199999999</v>
      </c>
      <c r="C56">
        <v>134.96000699999999</v>
      </c>
      <c r="D56">
        <v>133.39999399999999</v>
      </c>
      <c r="E56">
        <v>134.19000199999999</v>
      </c>
      <c r="F56">
        <v>132.80325300000001</v>
      </c>
      <c r="G56">
        <v>3090800</v>
      </c>
      <c r="I56">
        <f t="shared" si="0"/>
        <v>-8.3117064775726796E-3</v>
      </c>
    </row>
    <row r="57" spans="1:9">
      <c r="A57" s="2">
        <v>43836</v>
      </c>
      <c r="B57">
        <v>133.41999799999999</v>
      </c>
      <c r="C57">
        <v>134.240005</v>
      </c>
      <c r="D57">
        <v>133.199997</v>
      </c>
      <c r="E57">
        <v>134.10000600000001</v>
      </c>
      <c r="F57">
        <v>132.71418800000001</v>
      </c>
      <c r="G57">
        <v>2425500</v>
      </c>
      <c r="I57">
        <f t="shared" si="0"/>
        <v>-6.7088598674532442E-4</v>
      </c>
    </row>
    <row r="58" spans="1:9">
      <c r="A58" s="2">
        <v>43833</v>
      </c>
      <c r="B58">
        <v>133.570007</v>
      </c>
      <c r="C58">
        <v>134.86000100000001</v>
      </c>
      <c r="D58">
        <v>133.55999800000001</v>
      </c>
      <c r="E58">
        <v>134.33999600000001</v>
      </c>
      <c r="F58">
        <v>132.95169100000001</v>
      </c>
      <c r="G58">
        <v>2373700</v>
      </c>
      <c r="I58">
        <f t="shared" si="0"/>
        <v>1.7880350331596639E-3</v>
      </c>
    </row>
    <row r="59" spans="1:9">
      <c r="A59" s="2">
        <v>43832</v>
      </c>
      <c r="B59">
        <v>135</v>
      </c>
      <c r="C59">
        <v>135.91999799999999</v>
      </c>
      <c r="D59">
        <v>134.770004</v>
      </c>
      <c r="E59">
        <v>135.41999799999999</v>
      </c>
      <c r="F59">
        <v>134.02053799999999</v>
      </c>
      <c r="G59">
        <v>3148600</v>
      </c>
      <c r="I59">
        <f t="shared" si="0"/>
        <v>8.0071752251110462E-3</v>
      </c>
    </row>
    <row r="60" spans="1:9">
      <c r="A60" s="2">
        <v>43830</v>
      </c>
      <c r="B60">
        <v>132.529999</v>
      </c>
      <c r="C60">
        <v>134.11999499999999</v>
      </c>
      <c r="D60">
        <v>132.39999399999999</v>
      </c>
      <c r="E60">
        <v>134.03999300000001</v>
      </c>
      <c r="F60">
        <v>132.654785</v>
      </c>
      <c r="G60">
        <v>3777500</v>
      </c>
      <c r="I60">
        <f t="shared" si="0"/>
        <v>-1.0242834642740577E-2</v>
      </c>
    </row>
    <row r="61" spans="1:9">
      <c r="A61" s="2">
        <v>43829</v>
      </c>
      <c r="B61">
        <v>135.199997</v>
      </c>
      <c r="C61">
        <v>135.300003</v>
      </c>
      <c r="D61">
        <v>132.5</v>
      </c>
      <c r="E61">
        <v>132.80999800000001</v>
      </c>
      <c r="F61">
        <v>131.4375</v>
      </c>
      <c r="G61">
        <v>4118900</v>
      </c>
      <c r="I61">
        <f t="shared" si="0"/>
        <v>-9.2186902928391573E-3</v>
      </c>
    </row>
    <row r="62" spans="1:9">
      <c r="A62" s="2">
        <v>43826</v>
      </c>
      <c r="B62">
        <v>135</v>
      </c>
      <c r="C62">
        <v>135.75</v>
      </c>
      <c r="D62">
        <v>134.86999499999999</v>
      </c>
      <c r="E62">
        <v>135.270004</v>
      </c>
      <c r="F62">
        <v>133.872086</v>
      </c>
      <c r="G62">
        <v>2752200</v>
      </c>
      <c r="I62">
        <f t="shared" si="0"/>
        <v>1.8353290318538322E-2</v>
      </c>
    </row>
    <row r="63" spans="1:9">
      <c r="A63" s="2">
        <v>43825</v>
      </c>
      <c r="B63">
        <v>134.979996</v>
      </c>
      <c r="C63">
        <v>135.30999800000001</v>
      </c>
      <c r="D63">
        <v>134.64999399999999</v>
      </c>
      <c r="E63">
        <v>134.91000399999999</v>
      </c>
      <c r="F63">
        <v>133.51580799999999</v>
      </c>
      <c r="G63">
        <v>2129700</v>
      </c>
      <c r="I63">
        <f t="shared" si="0"/>
        <v>-2.6648915714696975E-3</v>
      </c>
    </row>
    <row r="64" spans="1:9">
      <c r="A64" s="2">
        <v>43823</v>
      </c>
      <c r="B64">
        <v>135.61000100000001</v>
      </c>
      <c r="C64">
        <v>135.61999499999999</v>
      </c>
      <c r="D64">
        <v>134.61000100000001</v>
      </c>
      <c r="E64">
        <v>134.979996</v>
      </c>
      <c r="F64">
        <v>133.585083</v>
      </c>
      <c r="G64">
        <v>1202100</v>
      </c>
      <c r="I64">
        <f t="shared" si="0"/>
        <v>5.1867058111903098E-4</v>
      </c>
    </row>
    <row r="65" spans="1:9">
      <c r="A65" s="2">
        <v>43822</v>
      </c>
      <c r="B65">
        <v>135.779999</v>
      </c>
      <c r="C65">
        <v>136.14999399999999</v>
      </c>
      <c r="D65">
        <v>135</v>
      </c>
      <c r="E65">
        <v>135.550003</v>
      </c>
      <c r="F65">
        <v>134.14920000000001</v>
      </c>
      <c r="G65">
        <v>2803200</v>
      </c>
      <c r="I65">
        <f t="shared" si="0"/>
        <v>4.2140083954888318E-3</v>
      </c>
    </row>
    <row r="66" spans="1:9">
      <c r="A66" s="2">
        <v>43819</v>
      </c>
      <c r="B66">
        <v>135.740005</v>
      </c>
      <c r="C66">
        <v>136.41999799999999</v>
      </c>
      <c r="D66">
        <v>134.949997</v>
      </c>
      <c r="E66">
        <v>135.58999600000001</v>
      </c>
      <c r="F66">
        <v>134.188782</v>
      </c>
      <c r="G66">
        <v>7111800</v>
      </c>
      <c r="I66">
        <f t="shared" si="0"/>
        <v>2.9499889678796988E-4</v>
      </c>
    </row>
    <row r="67" spans="1:9">
      <c r="A67" s="2">
        <v>43818</v>
      </c>
      <c r="B67">
        <v>134.46000699999999</v>
      </c>
      <c r="C67">
        <v>134.729996</v>
      </c>
      <c r="D67">
        <v>134.19000199999999</v>
      </c>
      <c r="E67">
        <v>134.55999800000001</v>
      </c>
      <c r="F67">
        <v>133.16941800000001</v>
      </c>
      <c r="G67">
        <v>3866500</v>
      </c>
      <c r="I67">
        <f t="shared" si="0"/>
        <v>-7.62541561213696E-3</v>
      </c>
    </row>
    <row r="68" spans="1:9">
      <c r="A68" s="2">
        <v>43817</v>
      </c>
      <c r="B68">
        <v>134.550003</v>
      </c>
      <c r="C68">
        <v>135</v>
      </c>
      <c r="D68">
        <v>134.14999399999999</v>
      </c>
      <c r="E68">
        <v>134.41000399999999</v>
      </c>
      <c r="F68">
        <v>133.02098100000001</v>
      </c>
      <c r="G68">
        <v>3101800</v>
      </c>
      <c r="I68">
        <f t="shared" ref="I68:I131" si="1">LN((E68+H68)/(E67))</f>
        <v>-1.1153215186329717E-3</v>
      </c>
    </row>
    <row r="69" spans="1:9">
      <c r="A69" s="2">
        <v>43816</v>
      </c>
      <c r="B69">
        <v>134.279999</v>
      </c>
      <c r="C69">
        <v>134.69000199999999</v>
      </c>
      <c r="D69">
        <v>133.46000699999999</v>
      </c>
      <c r="E69">
        <v>134.220001</v>
      </c>
      <c r="F69">
        <v>132.832932</v>
      </c>
      <c r="G69">
        <v>2907200</v>
      </c>
      <c r="I69">
        <f t="shared" si="1"/>
        <v>-1.4146076621992304E-3</v>
      </c>
    </row>
    <row r="70" spans="1:9">
      <c r="A70" s="2">
        <v>43815</v>
      </c>
      <c r="B70">
        <v>134.94000199999999</v>
      </c>
      <c r="C70">
        <v>135.449997</v>
      </c>
      <c r="D70">
        <v>133.85000600000001</v>
      </c>
      <c r="E70">
        <v>134.13000500000001</v>
      </c>
      <c r="F70">
        <v>132.743866</v>
      </c>
      <c r="G70">
        <v>3049200</v>
      </c>
      <c r="I70">
        <f t="shared" si="1"/>
        <v>-6.707359892809859E-4</v>
      </c>
    </row>
    <row r="71" spans="1:9">
      <c r="A71" s="2">
        <v>43812</v>
      </c>
      <c r="B71">
        <v>134.75</v>
      </c>
      <c r="C71">
        <v>135.5</v>
      </c>
      <c r="D71">
        <v>134.009995</v>
      </c>
      <c r="E71">
        <v>134.21000699999999</v>
      </c>
      <c r="F71">
        <v>132.82304400000001</v>
      </c>
      <c r="G71">
        <v>2535000</v>
      </c>
      <c r="I71">
        <f t="shared" si="1"/>
        <v>5.9627337551369384E-4</v>
      </c>
    </row>
    <row r="72" spans="1:9">
      <c r="A72" s="2">
        <v>43811</v>
      </c>
      <c r="B72">
        <v>133.699997</v>
      </c>
      <c r="C72">
        <v>135.66000399999999</v>
      </c>
      <c r="D72">
        <v>133.66000399999999</v>
      </c>
      <c r="E72">
        <v>135.320007</v>
      </c>
      <c r="F72">
        <v>133.92157</v>
      </c>
      <c r="G72">
        <v>4824100</v>
      </c>
      <c r="I72">
        <f t="shared" si="1"/>
        <v>8.2366060749603561E-3</v>
      </c>
    </row>
    <row r="73" spans="1:9">
      <c r="A73" s="2">
        <v>43810</v>
      </c>
      <c r="B73">
        <v>134.11000100000001</v>
      </c>
      <c r="C73">
        <v>134.509995</v>
      </c>
      <c r="D73">
        <v>133.66999799999999</v>
      </c>
      <c r="E73">
        <v>133.759995</v>
      </c>
      <c r="F73">
        <v>132.37768600000001</v>
      </c>
      <c r="G73">
        <v>3953300</v>
      </c>
      <c r="I73">
        <f t="shared" si="1"/>
        <v>-1.1595283685732751E-2</v>
      </c>
    </row>
    <row r="74" spans="1:9">
      <c r="A74" s="2">
        <v>43809</v>
      </c>
      <c r="B74">
        <v>133.91999799999999</v>
      </c>
      <c r="C74">
        <v>134.83999600000001</v>
      </c>
      <c r="D74">
        <v>133.55999800000001</v>
      </c>
      <c r="E74">
        <v>133.91000399999999</v>
      </c>
      <c r="F74">
        <v>132.526138</v>
      </c>
      <c r="G74">
        <v>3480400</v>
      </c>
      <c r="I74">
        <f t="shared" si="1"/>
        <v>1.1208504222748944E-3</v>
      </c>
    </row>
    <row r="75" spans="1:9">
      <c r="A75" s="2">
        <v>43808</v>
      </c>
      <c r="B75">
        <v>133.35000600000001</v>
      </c>
      <c r="C75">
        <v>134.58999600000001</v>
      </c>
      <c r="D75">
        <v>133.259995</v>
      </c>
      <c r="E75">
        <v>133.91999799999999</v>
      </c>
      <c r="F75">
        <v>132.53604100000001</v>
      </c>
      <c r="G75">
        <v>2968500</v>
      </c>
      <c r="I75">
        <f t="shared" si="1"/>
        <v>7.4629428592870145E-5</v>
      </c>
    </row>
    <row r="76" spans="1:9">
      <c r="A76" s="2">
        <v>43805</v>
      </c>
      <c r="B76">
        <v>132.75</v>
      </c>
      <c r="C76">
        <v>133.88999899999999</v>
      </c>
      <c r="D76">
        <v>132.699997</v>
      </c>
      <c r="E76">
        <v>133.220001</v>
      </c>
      <c r="F76">
        <v>131.843277</v>
      </c>
      <c r="G76">
        <v>3437500</v>
      </c>
      <c r="I76">
        <f t="shared" si="1"/>
        <v>-5.2406873154621112E-3</v>
      </c>
    </row>
    <row r="77" spans="1:9">
      <c r="A77" s="2">
        <v>43804</v>
      </c>
      <c r="B77">
        <v>132.990005</v>
      </c>
      <c r="C77">
        <v>133.240005</v>
      </c>
      <c r="D77">
        <v>131.63000500000001</v>
      </c>
      <c r="E77">
        <v>131.91000399999999</v>
      </c>
      <c r="F77">
        <v>130.54681400000001</v>
      </c>
      <c r="G77">
        <v>3595400</v>
      </c>
      <c r="I77">
        <f t="shared" si="1"/>
        <v>-9.8820023068803119E-3</v>
      </c>
    </row>
    <row r="78" spans="1:9">
      <c r="A78" s="2">
        <v>43803</v>
      </c>
      <c r="B78">
        <v>132.86000100000001</v>
      </c>
      <c r="C78">
        <v>133.679993</v>
      </c>
      <c r="D78">
        <v>131.96000699999999</v>
      </c>
      <c r="E78">
        <v>131.990005</v>
      </c>
      <c r="F78">
        <v>130.625992</v>
      </c>
      <c r="G78">
        <v>3530000</v>
      </c>
      <c r="I78">
        <f t="shared" si="1"/>
        <v>6.0629783798680961E-4</v>
      </c>
    </row>
    <row r="79" spans="1:9">
      <c r="A79" s="2">
        <v>43802</v>
      </c>
      <c r="B79">
        <v>132</v>
      </c>
      <c r="C79">
        <v>132.44000199999999</v>
      </c>
      <c r="D79">
        <v>130.69000199999999</v>
      </c>
      <c r="E79">
        <v>132.11999499999999</v>
      </c>
      <c r="F79">
        <v>130.754639</v>
      </c>
      <c r="G79">
        <v>3642500</v>
      </c>
      <c r="I79">
        <f t="shared" si="1"/>
        <v>9.8436265568397794E-4</v>
      </c>
    </row>
    <row r="80" spans="1:9">
      <c r="A80" s="2">
        <v>43801</v>
      </c>
      <c r="B80">
        <v>134.449997</v>
      </c>
      <c r="C80">
        <v>134.5</v>
      </c>
      <c r="D80">
        <v>132.479996</v>
      </c>
      <c r="E80">
        <v>132.91000399999999</v>
      </c>
      <c r="F80">
        <v>131.536484</v>
      </c>
      <c r="G80">
        <v>3067100</v>
      </c>
      <c r="I80">
        <f t="shared" si="1"/>
        <v>5.9616748505899771E-3</v>
      </c>
    </row>
    <row r="81" spans="1:9">
      <c r="A81" s="2">
        <v>43798</v>
      </c>
      <c r="B81">
        <v>133.60000600000001</v>
      </c>
      <c r="C81">
        <v>134.520004</v>
      </c>
      <c r="D81">
        <v>133.029999</v>
      </c>
      <c r="E81">
        <v>134.449997</v>
      </c>
      <c r="F81">
        <v>133.060562</v>
      </c>
      <c r="G81">
        <v>1825300</v>
      </c>
      <c r="I81">
        <f t="shared" si="1"/>
        <v>1.1520122872951696E-2</v>
      </c>
    </row>
    <row r="82" spans="1:9">
      <c r="A82" s="2">
        <v>43796</v>
      </c>
      <c r="B82">
        <v>135.35000600000001</v>
      </c>
      <c r="C82">
        <v>135.71000699999999</v>
      </c>
      <c r="D82">
        <v>133.61999499999999</v>
      </c>
      <c r="E82">
        <v>133.770004</v>
      </c>
      <c r="F82">
        <v>132.38758899999999</v>
      </c>
      <c r="G82">
        <v>3280900</v>
      </c>
      <c r="I82">
        <f t="shared" si="1"/>
        <v>-5.0704231921805572E-3</v>
      </c>
    </row>
    <row r="83" spans="1:9">
      <c r="A83" s="2">
        <v>43795</v>
      </c>
      <c r="B83">
        <v>136.14999399999999</v>
      </c>
      <c r="C83">
        <v>136.14999399999999</v>
      </c>
      <c r="D83">
        <v>134.770004</v>
      </c>
      <c r="E83">
        <v>135.08999600000001</v>
      </c>
      <c r="F83">
        <v>133.693939</v>
      </c>
      <c r="G83">
        <v>3793200</v>
      </c>
      <c r="I83">
        <f t="shared" si="1"/>
        <v>9.8192561621346774E-3</v>
      </c>
    </row>
    <row r="84" spans="1:9">
      <c r="A84" s="2">
        <v>43794</v>
      </c>
      <c r="B84">
        <v>134.470001</v>
      </c>
      <c r="C84">
        <v>136</v>
      </c>
      <c r="D84">
        <v>134.35000600000001</v>
      </c>
      <c r="E84">
        <v>135.970001</v>
      </c>
      <c r="F84">
        <v>134.56485000000001</v>
      </c>
      <c r="G84">
        <v>2590100</v>
      </c>
      <c r="I84">
        <f t="shared" si="1"/>
        <v>6.4930871504581293E-3</v>
      </c>
    </row>
    <row r="85" spans="1:9">
      <c r="A85" s="2">
        <v>43791</v>
      </c>
      <c r="B85">
        <v>134.19000199999999</v>
      </c>
      <c r="C85">
        <v>134.64999399999999</v>
      </c>
      <c r="D85">
        <v>133.58999600000001</v>
      </c>
      <c r="E85">
        <v>134.33999600000001</v>
      </c>
      <c r="F85">
        <v>132.95169100000001</v>
      </c>
      <c r="G85">
        <v>3297500</v>
      </c>
      <c r="I85">
        <f t="shared" si="1"/>
        <v>-1.2060410458637285E-2</v>
      </c>
    </row>
    <row r="86" spans="1:9">
      <c r="A86" s="2">
        <v>43790</v>
      </c>
      <c r="B86">
        <v>133.39999399999999</v>
      </c>
      <c r="C86">
        <v>134.16999799999999</v>
      </c>
      <c r="D86">
        <v>132.979996</v>
      </c>
      <c r="E86">
        <v>133.83999600000001</v>
      </c>
      <c r="F86">
        <v>132.456863</v>
      </c>
      <c r="G86">
        <v>3345300</v>
      </c>
      <c r="I86">
        <f t="shared" si="1"/>
        <v>-3.7288432713842336E-3</v>
      </c>
    </row>
    <row r="87" spans="1:9">
      <c r="A87" s="2">
        <v>43789</v>
      </c>
      <c r="B87">
        <v>134.05999800000001</v>
      </c>
      <c r="C87">
        <v>134.46000699999999</v>
      </c>
      <c r="D87">
        <v>132.75</v>
      </c>
      <c r="E87">
        <v>133.199997</v>
      </c>
      <c r="F87">
        <v>131.82347100000001</v>
      </c>
      <c r="G87">
        <v>4138200</v>
      </c>
      <c r="I87">
        <f t="shared" si="1"/>
        <v>-4.7932912083707138E-3</v>
      </c>
    </row>
    <row r="88" spans="1:9">
      <c r="A88" s="2">
        <v>43788</v>
      </c>
      <c r="B88">
        <v>134.88000500000001</v>
      </c>
      <c r="C88">
        <v>135.38000500000001</v>
      </c>
      <c r="D88">
        <v>134.46000699999999</v>
      </c>
      <c r="E88">
        <v>134.520004</v>
      </c>
      <c r="F88">
        <v>133.12983700000001</v>
      </c>
      <c r="G88">
        <v>2995000</v>
      </c>
      <c r="I88">
        <f t="shared" si="1"/>
        <v>9.8611810236577443E-3</v>
      </c>
    </row>
    <row r="89" spans="1:9">
      <c r="A89" s="2">
        <v>43787</v>
      </c>
      <c r="B89">
        <v>134.300003</v>
      </c>
      <c r="C89">
        <v>134.479996</v>
      </c>
      <c r="D89">
        <v>133.229996</v>
      </c>
      <c r="E89">
        <v>134.30999800000001</v>
      </c>
      <c r="F89">
        <v>132.921997</v>
      </c>
      <c r="G89">
        <v>3210400</v>
      </c>
      <c r="I89">
        <f t="shared" si="1"/>
        <v>-1.5623705773639565E-3</v>
      </c>
    </row>
    <row r="90" spans="1:9">
      <c r="A90" s="2">
        <v>43784</v>
      </c>
      <c r="B90">
        <v>134.38999899999999</v>
      </c>
      <c r="C90">
        <v>135.11999499999999</v>
      </c>
      <c r="D90">
        <v>134.029999</v>
      </c>
      <c r="E90">
        <v>134.39999399999999</v>
      </c>
      <c r="F90">
        <v>133.011078</v>
      </c>
      <c r="G90">
        <v>3262500</v>
      </c>
      <c r="I90">
        <f t="shared" si="1"/>
        <v>6.6983741613123012E-4</v>
      </c>
    </row>
    <row r="91" spans="1:9">
      <c r="A91" s="2">
        <v>43783</v>
      </c>
      <c r="B91">
        <v>134.13000500000001</v>
      </c>
      <c r="C91">
        <v>134.33000200000001</v>
      </c>
      <c r="D91">
        <v>133.33000200000001</v>
      </c>
      <c r="E91">
        <v>134</v>
      </c>
      <c r="F91">
        <v>132.61520400000001</v>
      </c>
      <c r="G91">
        <v>4231300</v>
      </c>
      <c r="I91">
        <f t="shared" si="1"/>
        <v>-2.9805834952795537E-3</v>
      </c>
    </row>
    <row r="92" spans="1:9">
      <c r="A92" s="2">
        <v>43782</v>
      </c>
      <c r="B92">
        <v>135.38999899999999</v>
      </c>
      <c r="C92">
        <v>135.58000200000001</v>
      </c>
      <c r="D92">
        <v>133.85000600000001</v>
      </c>
      <c r="E92">
        <v>134.479996</v>
      </c>
      <c r="F92">
        <v>133.09023999999999</v>
      </c>
      <c r="G92">
        <v>2918400</v>
      </c>
      <c r="I92">
        <f t="shared" si="1"/>
        <v>3.5756594052485506E-3</v>
      </c>
    </row>
    <row r="93" spans="1:9">
      <c r="A93" s="2">
        <v>43781</v>
      </c>
      <c r="B93">
        <v>135.86999499999999</v>
      </c>
      <c r="C93">
        <v>136.66000399999999</v>
      </c>
      <c r="D93">
        <v>135.020004</v>
      </c>
      <c r="E93">
        <v>135.58999600000001</v>
      </c>
      <c r="F93">
        <v>134.188782</v>
      </c>
      <c r="G93">
        <v>3046500</v>
      </c>
      <c r="I93">
        <f t="shared" si="1"/>
        <v>8.2201376173569284E-3</v>
      </c>
    </row>
    <row r="94" spans="1:9">
      <c r="A94" s="2">
        <v>43780</v>
      </c>
      <c r="B94">
        <v>137.199997</v>
      </c>
      <c r="C94">
        <v>137.199997</v>
      </c>
      <c r="D94">
        <v>135</v>
      </c>
      <c r="E94">
        <v>135.470001</v>
      </c>
      <c r="F94">
        <v>134.07002299999999</v>
      </c>
      <c r="G94">
        <v>2568000</v>
      </c>
      <c r="I94">
        <f t="shared" si="1"/>
        <v>-8.8537599916379054E-4</v>
      </c>
    </row>
    <row r="95" spans="1:9">
      <c r="A95" s="2">
        <v>43777</v>
      </c>
      <c r="B95">
        <v>137.58000200000001</v>
      </c>
      <c r="C95">
        <v>137.61000100000001</v>
      </c>
      <c r="D95">
        <v>136.16000399999999</v>
      </c>
      <c r="E95">
        <v>137.61000100000001</v>
      </c>
      <c r="F95">
        <v>136.18789699999999</v>
      </c>
      <c r="G95">
        <v>2278400</v>
      </c>
      <c r="I95">
        <f t="shared" si="1"/>
        <v>1.5673383569751047E-2</v>
      </c>
    </row>
    <row r="96" spans="1:9">
      <c r="A96" s="2">
        <v>43776</v>
      </c>
      <c r="B96">
        <v>137.86999499999999</v>
      </c>
      <c r="C96">
        <v>139.13999899999999</v>
      </c>
      <c r="D96">
        <v>137.58000200000001</v>
      </c>
      <c r="E96">
        <v>137.69000199999999</v>
      </c>
      <c r="F96">
        <v>136.26707500000001</v>
      </c>
      <c r="G96">
        <v>4073800</v>
      </c>
      <c r="H96">
        <v>1.62</v>
      </c>
      <c r="I96">
        <f t="shared" si="1"/>
        <v>1.227807553050041E-2</v>
      </c>
    </row>
    <row r="97" spans="1:9">
      <c r="A97" s="2">
        <v>43775</v>
      </c>
      <c r="B97">
        <v>138</v>
      </c>
      <c r="C97">
        <v>138.779999</v>
      </c>
      <c r="D97">
        <v>137.550003</v>
      </c>
      <c r="E97">
        <v>138.779999</v>
      </c>
      <c r="F97">
        <v>135.74255400000001</v>
      </c>
      <c r="G97">
        <v>4477300</v>
      </c>
      <c r="I97">
        <f t="shared" si="1"/>
        <v>7.8851422840895431E-3</v>
      </c>
    </row>
    <row r="98" spans="1:9">
      <c r="A98" s="2">
        <v>43774</v>
      </c>
      <c r="B98">
        <v>137.800003</v>
      </c>
      <c r="C98">
        <v>138.759995</v>
      </c>
      <c r="D98">
        <v>137.63000500000001</v>
      </c>
      <c r="E98">
        <v>137.88999899999999</v>
      </c>
      <c r="F98">
        <v>134.87204</v>
      </c>
      <c r="G98">
        <v>3015000</v>
      </c>
      <c r="I98">
        <f t="shared" si="1"/>
        <v>-6.4336796642614196E-3</v>
      </c>
    </row>
    <row r="99" spans="1:9">
      <c r="A99" s="2">
        <v>43773</v>
      </c>
      <c r="B99">
        <v>136.240005</v>
      </c>
      <c r="C99">
        <v>137.740005</v>
      </c>
      <c r="D99">
        <v>136.229996</v>
      </c>
      <c r="E99">
        <v>137.66999799999999</v>
      </c>
      <c r="F99">
        <v>134.656845</v>
      </c>
      <c r="G99">
        <v>3335400</v>
      </c>
      <c r="I99">
        <f t="shared" si="1"/>
        <v>-1.5967560541337855E-3</v>
      </c>
    </row>
    <row r="100" spans="1:9">
      <c r="A100" s="2">
        <v>43770</v>
      </c>
      <c r="B100">
        <v>134.5</v>
      </c>
      <c r="C100">
        <v>135.55999800000001</v>
      </c>
      <c r="D100">
        <v>134.08999600000001</v>
      </c>
      <c r="E100">
        <v>135.529999</v>
      </c>
      <c r="F100">
        <v>132.56369000000001</v>
      </c>
      <c r="G100">
        <v>3089800</v>
      </c>
      <c r="I100">
        <f t="shared" si="1"/>
        <v>-1.5666491897873988E-2</v>
      </c>
    </row>
    <row r="101" spans="1:9">
      <c r="A101" s="2">
        <v>43769</v>
      </c>
      <c r="B101">
        <v>135.11000100000001</v>
      </c>
      <c r="C101">
        <v>135.25</v>
      </c>
      <c r="D101">
        <v>133.229996</v>
      </c>
      <c r="E101">
        <v>133.729996</v>
      </c>
      <c r="F101">
        <v>130.80308500000001</v>
      </c>
      <c r="G101">
        <v>3412100</v>
      </c>
      <c r="I101">
        <f t="shared" si="1"/>
        <v>-1.3370198675794391E-2</v>
      </c>
    </row>
    <row r="102" spans="1:9">
      <c r="A102" s="2">
        <v>43768</v>
      </c>
      <c r="B102">
        <v>133.83000200000001</v>
      </c>
      <c r="C102">
        <v>135.279999</v>
      </c>
      <c r="D102">
        <v>133.199997</v>
      </c>
      <c r="E102">
        <v>135.25</v>
      </c>
      <c r="F102">
        <v>132.28980999999999</v>
      </c>
      <c r="G102">
        <v>2252700</v>
      </c>
      <c r="I102">
        <f t="shared" si="1"/>
        <v>1.130210575290083E-2</v>
      </c>
    </row>
    <row r="103" spans="1:9">
      <c r="A103" s="2">
        <v>43767</v>
      </c>
      <c r="B103">
        <v>135.41999799999999</v>
      </c>
      <c r="C103">
        <v>135.570007</v>
      </c>
      <c r="D103">
        <v>133.44000199999999</v>
      </c>
      <c r="E103">
        <v>133.820007</v>
      </c>
      <c r="F103">
        <v>130.89111299999999</v>
      </c>
      <c r="G103">
        <v>4160700</v>
      </c>
      <c r="I103">
        <f t="shared" si="1"/>
        <v>-1.0629252062849488E-2</v>
      </c>
    </row>
    <row r="104" spans="1:9">
      <c r="A104" s="2">
        <v>43766</v>
      </c>
      <c r="B104">
        <v>136</v>
      </c>
      <c r="C104">
        <v>136.63000500000001</v>
      </c>
      <c r="D104">
        <v>135.449997</v>
      </c>
      <c r="E104">
        <v>135.970001</v>
      </c>
      <c r="F104">
        <v>132.99404899999999</v>
      </c>
      <c r="G104">
        <v>3225700</v>
      </c>
      <c r="I104">
        <f t="shared" si="1"/>
        <v>1.5938614858416588E-2</v>
      </c>
    </row>
    <row r="105" spans="1:9">
      <c r="A105" s="2">
        <v>43763</v>
      </c>
      <c r="B105">
        <v>134.11999499999999</v>
      </c>
      <c r="C105">
        <v>135.929993</v>
      </c>
      <c r="D105">
        <v>134.10000600000001</v>
      </c>
      <c r="E105">
        <v>135.44000199999999</v>
      </c>
      <c r="F105">
        <v>132.475662</v>
      </c>
      <c r="G105">
        <v>2579100</v>
      </c>
      <c r="I105">
        <f t="shared" si="1"/>
        <v>-3.9055279305920333E-3</v>
      </c>
    </row>
    <row r="106" spans="1:9">
      <c r="A106" s="2">
        <v>43762</v>
      </c>
      <c r="B106">
        <v>134.83000200000001</v>
      </c>
      <c r="C106">
        <v>135.070007</v>
      </c>
      <c r="D106">
        <v>133.300003</v>
      </c>
      <c r="E106">
        <v>134.070007</v>
      </c>
      <c r="F106">
        <v>131.135651</v>
      </c>
      <c r="G106">
        <v>2598500</v>
      </c>
      <c r="I106">
        <f t="shared" si="1"/>
        <v>-1.016664876656626E-2</v>
      </c>
    </row>
    <row r="107" spans="1:9">
      <c r="A107" s="2">
        <v>43761</v>
      </c>
      <c r="B107">
        <v>133.520004</v>
      </c>
      <c r="C107">
        <v>134.570007</v>
      </c>
      <c r="D107">
        <v>132.699997</v>
      </c>
      <c r="E107">
        <v>134.38000500000001</v>
      </c>
      <c r="F107">
        <v>131.43885800000001</v>
      </c>
      <c r="G107">
        <v>3610900</v>
      </c>
      <c r="I107">
        <f t="shared" si="1"/>
        <v>2.3095408749212788E-3</v>
      </c>
    </row>
    <row r="108" spans="1:9">
      <c r="A108" s="2">
        <v>43760</v>
      </c>
      <c r="B108">
        <v>132.550003</v>
      </c>
      <c r="C108">
        <v>134.050003</v>
      </c>
      <c r="D108">
        <v>131.61000100000001</v>
      </c>
      <c r="E108">
        <v>133.96000699999999</v>
      </c>
      <c r="F108">
        <v>131.02806100000001</v>
      </c>
      <c r="G108">
        <v>4161600</v>
      </c>
      <c r="I108">
        <f t="shared" si="1"/>
        <v>-3.1303445195144486E-3</v>
      </c>
    </row>
    <row r="109" spans="1:9">
      <c r="A109" s="2">
        <v>43759</v>
      </c>
      <c r="B109">
        <v>132.61000100000001</v>
      </c>
      <c r="C109">
        <v>133.10000600000001</v>
      </c>
      <c r="D109">
        <v>130.89999399999999</v>
      </c>
      <c r="E109">
        <v>132.58000200000001</v>
      </c>
      <c r="F109">
        <v>129.67825300000001</v>
      </c>
      <c r="G109">
        <v>6306100</v>
      </c>
      <c r="I109">
        <f t="shared" si="1"/>
        <v>-1.0355048281929678E-2</v>
      </c>
    </row>
    <row r="110" spans="1:9">
      <c r="A110" s="2">
        <v>43756</v>
      </c>
      <c r="B110">
        <v>134.220001</v>
      </c>
      <c r="C110">
        <v>134.490005</v>
      </c>
      <c r="D110">
        <v>132.25</v>
      </c>
      <c r="E110">
        <v>134.08999600000001</v>
      </c>
      <c r="F110">
        <v>131.15521200000001</v>
      </c>
      <c r="G110">
        <v>7177500</v>
      </c>
      <c r="I110">
        <f t="shared" si="1"/>
        <v>1.1324934562362712E-2</v>
      </c>
    </row>
    <row r="111" spans="1:9">
      <c r="A111" s="2">
        <v>43755</v>
      </c>
      <c r="B111">
        <v>135</v>
      </c>
      <c r="C111">
        <v>136</v>
      </c>
      <c r="D111">
        <v>132.91000399999999</v>
      </c>
      <c r="E111">
        <v>134.259995</v>
      </c>
      <c r="F111">
        <v>131.32148699999999</v>
      </c>
      <c r="G111">
        <v>15759800</v>
      </c>
      <c r="I111">
        <f t="shared" si="1"/>
        <v>1.2669948085913419E-3</v>
      </c>
    </row>
    <row r="112" spans="1:9">
      <c r="A112" s="2">
        <v>43754</v>
      </c>
      <c r="B112">
        <v>142.490005</v>
      </c>
      <c r="C112">
        <v>142.949997</v>
      </c>
      <c r="D112">
        <v>141.38999899999999</v>
      </c>
      <c r="E112">
        <v>142.11000100000001</v>
      </c>
      <c r="F112">
        <v>138.999664</v>
      </c>
      <c r="G112">
        <v>5332600</v>
      </c>
      <c r="I112">
        <f t="shared" si="1"/>
        <v>5.6823231371141689E-2</v>
      </c>
    </row>
    <row r="113" spans="1:9">
      <c r="A113" s="2">
        <v>43753</v>
      </c>
      <c r="B113">
        <v>142.53999300000001</v>
      </c>
      <c r="C113">
        <v>143.720001</v>
      </c>
      <c r="D113">
        <v>141.80999800000001</v>
      </c>
      <c r="E113">
        <v>143</v>
      </c>
      <c r="F113">
        <v>139.870193</v>
      </c>
      <c r="G113">
        <v>3025500</v>
      </c>
      <c r="I113">
        <f t="shared" si="1"/>
        <v>6.2432176193346197E-3</v>
      </c>
    </row>
    <row r="114" spans="1:9">
      <c r="A114" s="2">
        <v>43752</v>
      </c>
      <c r="B114">
        <v>142.30999800000001</v>
      </c>
      <c r="C114">
        <v>142.429993</v>
      </c>
      <c r="D114">
        <v>141.320007</v>
      </c>
      <c r="E114">
        <v>142.03999300000001</v>
      </c>
      <c r="F114">
        <v>138.93119799999999</v>
      </c>
      <c r="G114">
        <v>2309500</v>
      </c>
      <c r="I114">
        <f t="shared" si="1"/>
        <v>-6.7359714669137389E-3</v>
      </c>
    </row>
    <row r="115" spans="1:9">
      <c r="A115" s="2">
        <v>43749</v>
      </c>
      <c r="B115">
        <v>142.770004</v>
      </c>
      <c r="C115">
        <v>144.5</v>
      </c>
      <c r="D115">
        <v>142.61000100000001</v>
      </c>
      <c r="E115">
        <v>142.759995</v>
      </c>
      <c r="F115">
        <v>139.635437</v>
      </c>
      <c r="G115">
        <v>2996800</v>
      </c>
      <c r="I115">
        <f t="shared" si="1"/>
        <v>5.056204805149303E-3</v>
      </c>
    </row>
    <row r="116" spans="1:9">
      <c r="A116" s="2">
        <v>43748</v>
      </c>
      <c r="B116">
        <v>139.770004</v>
      </c>
      <c r="C116">
        <v>141.779999</v>
      </c>
      <c r="D116">
        <v>139.55999800000001</v>
      </c>
      <c r="E116">
        <v>141.13000500000001</v>
      </c>
      <c r="F116">
        <v>138.041122</v>
      </c>
      <c r="G116">
        <v>2593700</v>
      </c>
      <c r="I116">
        <f t="shared" si="1"/>
        <v>-1.1483376743899307E-2</v>
      </c>
    </row>
    <row r="117" spans="1:9">
      <c r="A117" s="2">
        <v>43747</v>
      </c>
      <c r="B117">
        <v>139.770004</v>
      </c>
      <c r="C117">
        <v>140.33000200000001</v>
      </c>
      <c r="D117">
        <v>138.78999300000001</v>
      </c>
      <c r="E117">
        <v>139.66999799999999</v>
      </c>
      <c r="F117">
        <v>136.61308299999999</v>
      </c>
      <c r="G117">
        <v>2620800</v>
      </c>
      <c r="I117">
        <f t="shared" si="1"/>
        <v>-1.0399003856031059E-2</v>
      </c>
    </row>
    <row r="118" spans="1:9">
      <c r="A118" s="2">
        <v>43746</v>
      </c>
      <c r="B118">
        <v>140.240005</v>
      </c>
      <c r="C118">
        <v>140.470001</v>
      </c>
      <c r="D118">
        <v>138.25</v>
      </c>
      <c r="E118">
        <v>138.38000500000001</v>
      </c>
      <c r="F118">
        <v>135.35131799999999</v>
      </c>
      <c r="G118">
        <v>3225400</v>
      </c>
      <c r="I118">
        <f t="shared" si="1"/>
        <v>-9.2789227951589892E-3</v>
      </c>
    </row>
    <row r="119" spans="1:9">
      <c r="A119" s="2">
        <v>43745</v>
      </c>
      <c r="B119">
        <v>142.259995</v>
      </c>
      <c r="C119">
        <v>142.699997</v>
      </c>
      <c r="D119">
        <v>141.220001</v>
      </c>
      <c r="E119">
        <v>141.279999</v>
      </c>
      <c r="F119">
        <v>138.187836</v>
      </c>
      <c r="G119">
        <v>2426500</v>
      </c>
      <c r="I119">
        <f t="shared" si="1"/>
        <v>2.0740169574453637E-2</v>
      </c>
    </row>
    <row r="120" spans="1:9">
      <c r="A120" s="2">
        <v>43742</v>
      </c>
      <c r="B120">
        <v>142.05999800000001</v>
      </c>
      <c r="C120">
        <v>143.05999800000001</v>
      </c>
      <c r="D120">
        <v>141.029999</v>
      </c>
      <c r="E120">
        <v>142.990005</v>
      </c>
      <c r="F120">
        <v>139.86041299999999</v>
      </c>
      <c r="G120">
        <v>2413600</v>
      </c>
      <c r="I120">
        <f t="shared" si="1"/>
        <v>1.2031002934728302E-2</v>
      </c>
    </row>
    <row r="121" spans="1:9">
      <c r="A121" s="2">
        <v>43741</v>
      </c>
      <c r="B121">
        <v>141.61999499999999</v>
      </c>
      <c r="C121">
        <v>142.070007</v>
      </c>
      <c r="D121">
        <v>139.179993</v>
      </c>
      <c r="E121">
        <v>142.020004</v>
      </c>
      <c r="F121">
        <v>138.911652</v>
      </c>
      <c r="G121">
        <v>2928800</v>
      </c>
      <c r="I121">
        <f t="shared" si="1"/>
        <v>-6.8068117932410833E-3</v>
      </c>
    </row>
    <row r="122" spans="1:9">
      <c r="A122" s="2">
        <v>43740</v>
      </c>
      <c r="B122">
        <v>142.19000199999999</v>
      </c>
      <c r="C122">
        <v>142.270004</v>
      </c>
      <c r="D122">
        <v>140.570007</v>
      </c>
      <c r="E122">
        <v>141.69000199999999</v>
      </c>
      <c r="F122">
        <v>138.588852</v>
      </c>
      <c r="G122">
        <v>3340800</v>
      </c>
      <c r="I122">
        <f t="shared" si="1"/>
        <v>-2.326334227536911E-3</v>
      </c>
    </row>
    <row r="123" spans="1:9">
      <c r="A123" s="2">
        <v>43739</v>
      </c>
      <c r="B123">
        <v>145.58999600000001</v>
      </c>
      <c r="C123">
        <v>147.35000600000001</v>
      </c>
      <c r="D123">
        <v>143.53999300000001</v>
      </c>
      <c r="E123">
        <v>143.66000399999999</v>
      </c>
      <c r="F123">
        <v>140.515747</v>
      </c>
      <c r="G123">
        <v>2960800</v>
      </c>
      <c r="I123">
        <f t="shared" si="1"/>
        <v>1.3807837798716959E-2</v>
      </c>
    </row>
    <row r="124" spans="1:9">
      <c r="A124" s="2">
        <v>43738</v>
      </c>
      <c r="B124">
        <v>143.729996</v>
      </c>
      <c r="C124">
        <v>146.570007</v>
      </c>
      <c r="D124">
        <v>143.729996</v>
      </c>
      <c r="E124">
        <v>145.41999799999999</v>
      </c>
      <c r="F124">
        <v>142.23722799999999</v>
      </c>
      <c r="G124">
        <v>3988400</v>
      </c>
      <c r="I124">
        <f t="shared" si="1"/>
        <v>1.2176668978469769E-2</v>
      </c>
    </row>
    <row r="125" spans="1:9">
      <c r="A125" s="2">
        <v>43735</v>
      </c>
      <c r="B125">
        <v>144.41000399999999</v>
      </c>
      <c r="C125">
        <v>145.08999600000001</v>
      </c>
      <c r="D125">
        <v>142.38000500000001</v>
      </c>
      <c r="E125">
        <v>143.240005</v>
      </c>
      <c r="F125">
        <v>140.10495</v>
      </c>
      <c r="G125">
        <v>2356800</v>
      </c>
      <c r="I125">
        <f t="shared" si="1"/>
        <v>-1.5104513431962143E-2</v>
      </c>
    </row>
    <row r="126" spans="1:9">
      <c r="A126" s="2">
        <v>43734</v>
      </c>
      <c r="B126">
        <v>143.16999799999999</v>
      </c>
      <c r="C126">
        <v>143.88000500000001</v>
      </c>
      <c r="D126">
        <v>141.41000399999999</v>
      </c>
      <c r="E126">
        <v>143.550003</v>
      </c>
      <c r="F126">
        <v>140.40815699999999</v>
      </c>
      <c r="G126">
        <v>2309800</v>
      </c>
      <c r="I126">
        <f t="shared" si="1"/>
        <v>2.1618474290322261E-3</v>
      </c>
    </row>
    <row r="127" spans="1:9">
      <c r="A127" s="2">
        <v>43733</v>
      </c>
      <c r="B127">
        <v>141.740005</v>
      </c>
      <c r="C127">
        <v>143.63000500000001</v>
      </c>
      <c r="D127">
        <v>140.86000100000001</v>
      </c>
      <c r="E127">
        <v>143.16000399999999</v>
      </c>
      <c r="F127">
        <v>140.02668800000001</v>
      </c>
      <c r="G127">
        <v>2526700</v>
      </c>
      <c r="I127">
        <f t="shared" si="1"/>
        <v>-2.7205136271242309E-3</v>
      </c>
    </row>
    <row r="128" spans="1:9">
      <c r="A128" s="2">
        <v>43732</v>
      </c>
      <c r="B128">
        <v>142.5</v>
      </c>
      <c r="C128">
        <v>142.88999899999999</v>
      </c>
      <c r="D128">
        <v>141.070007</v>
      </c>
      <c r="E128">
        <v>141.679993</v>
      </c>
      <c r="F128">
        <v>138.579071</v>
      </c>
      <c r="G128">
        <v>3231600</v>
      </c>
      <c r="I128">
        <f t="shared" si="1"/>
        <v>-1.0391969771127914E-2</v>
      </c>
    </row>
    <row r="129" spans="1:9">
      <c r="A129" s="2">
        <v>43731</v>
      </c>
      <c r="B129">
        <v>141.19000199999999</v>
      </c>
      <c r="C129">
        <v>142.220001</v>
      </c>
      <c r="D129">
        <v>140.55999800000001</v>
      </c>
      <c r="E129">
        <v>142.070007</v>
      </c>
      <c r="F129">
        <v>138.960556</v>
      </c>
      <c r="G129">
        <v>1817900</v>
      </c>
      <c r="I129">
        <f t="shared" si="1"/>
        <v>2.7489990880081271E-3</v>
      </c>
    </row>
    <row r="130" spans="1:9">
      <c r="A130" s="2">
        <v>43728</v>
      </c>
      <c r="B130">
        <v>143.25</v>
      </c>
      <c r="C130">
        <v>143.83000200000001</v>
      </c>
      <c r="D130">
        <v>141.820007</v>
      </c>
      <c r="E130">
        <v>141.88000500000001</v>
      </c>
      <c r="F130">
        <v>138.77470400000001</v>
      </c>
      <c r="G130">
        <v>5193400</v>
      </c>
      <c r="I130">
        <f t="shared" si="1"/>
        <v>-1.3382780090011566E-3</v>
      </c>
    </row>
    <row r="131" spans="1:9">
      <c r="A131" s="2">
        <v>43727</v>
      </c>
      <c r="B131">
        <v>142.46000699999999</v>
      </c>
      <c r="C131">
        <v>145.029999</v>
      </c>
      <c r="D131">
        <v>142.449997</v>
      </c>
      <c r="E131">
        <v>142.970001</v>
      </c>
      <c r="F131">
        <v>139.84085099999999</v>
      </c>
      <c r="G131">
        <v>3089900</v>
      </c>
      <c r="I131">
        <f t="shared" si="1"/>
        <v>7.6531598890776618E-3</v>
      </c>
    </row>
    <row r="132" spans="1:9">
      <c r="A132" s="2">
        <v>43726</v>
      </c>
      <c r="B132">
        <v>142.050003</v>
      </c>
      <c r="C132">
        <v>142.300003</v>
      </c>
      <c r="D132">
        <v>140.509995</v>
      </c>
      <c r="E132">
        <v>142.220001</v>
      </c>
      <c r="F132">
        <v>139.107269</v>
      </c>
      <c r="G132">
        <v>1983600</v>
      </c>
      <c r="I132">
        <f t="shared" ref="I132:I195" si="2">LN((E132+H132)/(E131))</f>
        <v>-5.2596635488153616E-3</v>
      </c>
    </row>
    <row r="133" spans="1:9">
      <c r="A133" s="2">
        <v>43725</v>
      </c>
      <c r="B133">
        <v>142.479996</v>
      </c>
      <c r="C133">
        <v>142.479996</v>
      </c>
      <c r="D133">
        <v>140.66000399999999</v>
      </c>
      <c r="E133">
        <v>142.199997</v>
      </c>
      <c r="F133">
        <v>139.087692</v>
      </c>
      <c r="G133">
        <v>2933200</v>
      </c>
      <c r="I133">
        <f t="shared" si="2"/>
        <v>-1.4066521463788656E-4</v>
      </c>
    </row>
    <row r="134" spans="1:9">
      <c r="A134" s="2">
        <v>43724</v>
      </c>
      <c r="B134">
        <v>142.55999800000001</v>
      </c>
      <c r="C134">
        <v>143.63999899999999</v>
      </c>
      <c r="D134">
        <v>142.270004</v>
      </c>
      <c r="E134">
        <v>142.479996</v>
      </c>
      <c r="F134">
        <v>139.361572</v>
      </c>
      <c r="G134">
        <v>1928500</v>
      </c>
      <c r="I134">
        <f t="shared" si="2"/>
        <v>1.9671146351962618E-3</v>
      </c>
    </row>
    <row r="135" spans="1:9">
      <c r="A135" s="2">
        <v>43721</v>
      </c>
      <c r="B135">
        <v>144.320007</v>
      </c>
      <c r="C135">
        <v>144.64999399999999</v>
      </c>
      <c r="D135">
        <v>143.259995</v>
      </c>
      <c r="E135">
        <v>143.66999799999999</v>
      </c>
      <c r="F135">
        <v>140.52552800000001</v>
      </c>
      <c r="G135">
        <v>2206600</v>
      </c>
      <c r="I135">
        <f t="shared" si="2"/>
        <v>8.317378194546584E-3</v>
      </c>
    </row>
    <row r="136" spans="1:9">
      <c r="A136" s="2">
        <v>43720</v>
      </c>
      <c r="B136">
        <v>144.029999</v>
      </c>
      <c r="C136">
        <v>144.03999300000001</v>
      </c>
      <c r="D136">
        <v>141.88000500000001</v>
      </c>
      <c r="E136">
        <v>143.61999499999999</v>
      </c>
      <c r="F136">
        <v>140.47662399999999</v>
      </c>
      <c r="G136">
        <v>2505400</v>
      </c>
      <c r="I136">
        <f t="shared" si="2"/>
        <v>-3.4810123375879186E-4</v>
      </c>
    </row>
    <row r="137" spans="1:9">
      <c r="A137" s="2">
        <v>43719</v>
      </c>
      <c r="B137">
        <v>144.85000600000001</v>
      </c>
      <c r="C137">
        <v>145.11999499999999</v>
      </c>
      <c r="D137">
        <v>142.71000699999999</v>
      </c>
      <c r="E137">
        <v>143.60000600000001</v>
      </c>
      <c r="F137">
        <v>140.45706200000001</v>
      </c>
      <c r="G137">
        <v>3869700</v>
      </c>
      <c r="I137">
        <f t="shared" si="2"/>
        <v>-1.391894712252832E-4</v>
      </c>
    </row>
    <row r="138" spans="1:9">
      <c r="A138" s="2">
        <v>43718</v>
      </c>
      <c r="B138">
        <v>143</v>
      </c>
      <c r="C138">
        <v>145.46000699999999</v>
      </c>
      <c r="D138">
        <v>142.96000699999999</v>
      </c>
      <c r="E138">
        <v>145.050003</v>
      </c>
      <c r="F138">
        <v>141.87531999999999</v>
      </c>
      <c r="G138">
        <v>4979700</v>
      </c>
      <c r="I138">
        <f t="shared" si="2"/>
        <v>1.0046832853083202E-2</v>
      </c>
    </row>
    <row r="139" spans="1:9">
      <c r="A139" s="2">
        <v>43717</v>
      </c>
      <c r="B139">
        <v>140.58999600000001</v>
      </c>
      <c r="C139">
        <v>143.020004</v>
      </c>
      <c r="D139">
        <v>140.46000699999999</v>
      </c>
      <c r="E139">
        <v>142.60000600000001</v>
      </c>
      <c r="F139">
        <v>139.47894299999999</v>
      </c>
      <c r="G139">
        <v>4226600</v>
      </c>
      <c r="I139">
        <f t="shared" si="2"/>
        <v>-1.7034981194005025E-2</v>
      </c>
    </row>
    <row r="140" spans="1:9">
      <c r="A140" s="2">
        <v>43714</v>
      </c>
      <c r="B140">
        <v>141.520004</v>
      </c>
      <c r="C140">
        <v>141.529999</v>
      </c>
      <c r="D140">
        <v>140.46000699999999</v>
      </c>
      <c r="E140">
        <v>140.570007</v>
      </c>
      <c r="F140">
        <v>137.49337800000001</v>
      </c>
      <c r="G140">
        <v>2576800</v>
      </c>
      <c r="I140">
        <f t="shared" si="2"/>
        <v>-1.4337914915003663E-2</v>
      </c>
    </row>
    <row r="141" spans="1:9">
      <c r="A141" s="2">
        <v>43713</v>
      </c>
      <c r="B141">
        <v>138.300003</v>
      </c>
      <c r="C141">
        <v>141.699997</v>
      </c>
      <c r="D141">
        <v>138.050003</v>
      </c>
      <c r="E141">
        <v>140.970001</v>
      </c>
      <c r="F141">
        <v>137.884613</v>
      </c>
      <c r="G141">
        <v>5011600</v>
      </c>
      <c r="I141">
        <f t="shared" si="2"/>
        <v>2.8414737356145876E-3</v>
      </c>
    </row>
    <row r="142" spans="1:9">
      <c r="A142" s="2">
        <v>43712</v>
      </c>
      <c r="B142">
        <v>135.71000699999999</v>
      </c>
      <c r="C142">
        <v>136.429993</v>
      </c>
      <c r="D142">
        <v>135.14999399999999</v>
      </c>
      <c r="E142">
        <v>136.320007</v>
      </c>
      <c r="F142">
        <v>133.336411</v>
      </c>
      <c r="G142">
        <v>2247900</v>
      </c>
      <c r="I142">
        <f t="shared" si="2"/>
        <v>-3.3541994445772313E-2</v>
      </c>
    </row>
    <row r="143" spans="1:9">
      <c r="A143" s="2">
        <v>43711</v>
      </c>
      <c r="B143">
        <v>134.85000600000001</v>
      </c>
      <c r="C143">
        <v>134.89999399999999</v>
      </c>
      <c r="D143">
        <v>133.33000200000001</v>
      </c>
      <c r="E143">
        <v>134.10000600000001</v>
      </c>
      <c r="F143">
        <v>131.16499300000001</v>
      </c>
      <c r="G143">
        <v>2827900</v>
      </c>
      <c r="I143">
        <f t="shared" si="2"/>
        <v>-1.6419279400408399E-2</v>
      </c>
    </row>
    <row r="144" spans="1:9">
      <c r="A144" s="2">
        <v>43707</v>
      </c>
      <c r="B144">
        <v>135.58000200000001</v>
      </c>
      <c r="C144">
        <v>136.070007</v>
      </c>
      <c r="D144">
        <v>134.36000100000001</v>
      </c>
      <c r="E144">
        <v>135.529999</v>
      </c>
      <c r="F144">
        <v>132.56369000000001</v>
      </c>
      <c r="G144">
        <v>2960600</v>
      </c>
      <c r="I144">
        <f t="shared" si="2"/>
        <v>1.0607175619123282E-2</v>
      </c>
    </row>
    <row r="145" spans="1:9">
      <c r="A145" s="2">
        <v>43706</v>
      </c>
      <c r="B145">
        <v>134.179993</v>
      </c>
      <c r="C145">
        <v>135.69000199999999</v>
      </c>
      <c r="D145">
        <v>134.03999300000001</v>
      </c>
      <c r="E145">
        <v>134.88000500000001</v>
      </c>
      <c r="F145">
        <v>131.92791700000001</v>
      </c>
      <c r="G145">
        <v>2971800</v>
      </c>
      <c r="I145">
        <f t="shared" si="2"/>
        <v>-4.8074793259515747E-3</v>
      </c>
    </row>
    <row r="146" spans="1:9">
      <c r="A146" s="2">
        <v>43705</v>
      </c>
      <c r="B146">
        <v>130.44000199999999</v>
      </c>
      <c r="C146">
        <v>132.88999899999999</v>
      </c>
      <c r="D146">
        <v>130.03999300000001</v>
      </c>
      <c r="E146">
        <v>132.759995</v>
      </c>
      <c r="F146">
        <v>129.854309</v>
      </c>
      <c r="G146">
        <v>2713600</v>
      </c>
      <c r="I146">
        <f t="shared" si="2"/>
        <v>-1.5842582133706071E-2</v>
      </c>
    </row>
    <row r="147" spans="1:9">
      <c r="A147" s="2">
        <v>43704</v>
      </c>
      <c r="B147">
        <v>131.199997</v>
      </c>
      <c r="C147">
        <v>131.699997</v>
      </c>
      <c r="D147">
        <v>130.30999800000001</v>
      </c>
      <c r="E147">
        <v>131.16999799999999</v>
      </c>
      <c r="F147">
        <v>128.299103</v>
      </c>
      <c r="G147">
        <v>4728000</v>
      </c>
      <c r="I147">
        <f t="shared" si="2"/>
        <v>-1.2048772610161561E-2</v>
      </c>
    </row>
    <row r="148" spans="1:9">
      <c r="A148" s="2">
        <v>43703</v>
      </c>
      <c r="B148">
        <v>131.050003</v>
      </c>
      <c r="C148">
        <v>131.300003</v>
      </c>
      <c r="D148">
        <v>129.16000399999999</v>
      </c>
      <c r="E148">
        <v>129.990005</v>
      </c>
      <c r="F148">
        <v>127.144943</v>
      </c>
      <c r="G148">
        <v>2833900</v>
      </c>
      <c r="I148">
        <f t="shared" si="2"/>
        <v>-9.0366136952410407E-3</v>
      </c>
    </row>
    <row r="149" spans="1:9">
      <c r="A149" s="2">
        <v>43700</v>
      </c>
      <c r="B149">
        <v>133.63000500000001</v>
      </c>
      <c r="C149">
        <v>134.259995</v>
      </c>
      <c r="D149">
        <v>128.83000200000001</v>
      </c>
      <c r="E149">
        <v>129.570007</v>
      </c>
      <c r="F149">
        <v>126.734131</v>
      </c>
      <c r="G149">
        <v>4818400</v>
      </c>
      <c r="I149">
        <f t="shared" si="2"/>
        <v>-3.2362332188547579E-3</v>
      </c>
    </row>
    <row r="150" spans="1:9">
      <c r="A150" s="2">
        <v>43699</v>
      </c>
      <c r="B150">
        <v>134.69000199999999</v>
      </c>
      <c r="C150">
        <v>135.679993</v>
      </c>
      <c r="D150">
        <v>133.80999800000001</v>
      </c>
      <c r="E150">
        <v>134.320007</v>
      </c>
      <c r="F150">
        <v>131.380188</v>
      </c>
      <c r="G150">
        <v>2694900</v>
      </c>
      <c r="I150">
        <f t="shared" si="2"/>
        <v>3.6003735218068302E-2</v>
      </c>
    </row>
    <row r="151" spans="1:9">
      <c r="A151" s="2">
        <v>43698</v>
      </c>
      <c r="B151">
        <v>134.96000699999999</v>
      </c>
      <c r="C151">
        <v>135.94000199999999</v>
      </c>
      <c r="D151">
        <v>133.800003</v>
      </c>
      <c r="E151">
        <v>134.25</v>
      </c>
      <c r="F151">
        <v>131.311691</v>
      </c>
      <c r="G151">
        <v>2805700</v>
      </c>
      <c r="I151">
        <f t="shared" si="2"/>
        <v>-5.2133149466377857E-4</v>
      </c>
    </row>
    <row r="152" spans="1:9">
      <c r="A152" s="2">
        <v>43697</v>
      </c>
      <c r="B152">
        <v>135.240005</v>
      </c>
      <c r="C152">
        <v>135.279999</v>
      </c>
      <c r="D152">
        <v>132.80999800000001</v>
      </c>
      <c r="E152">
        <v>133</v>
      </c>
      <c r="F152">
        <v>130.08904999999999</v>
      </c>
      <c r="G152">
        <v>3018600</v>
      </c>
      <c r="I152">
        <f t="shared" si="2"/>
        <v>-9.3546051672203489E-3</v>
      </c>
    </row>
    <row r="153" spans="1:9">
      <c r="A153" s="2">
        <v>43696</v>
      </c>
      <c r="B153">
        <v>134.88000500000001</v>
      </c>
      <c r="C153">
        <v>136.33000200000001</v>
      </c>
      <c r="D153">
        <v>134.88000500000001</v>
      </c>
      <c r="E153">
        <v>135.03999300000001</v>
      </c>
      <c r="F153">
        <v>132.08441199999999</v>
      </c>
      <c r="G153">
        <v>3165100</v>
      </c>
      <c r="I153">
        <f t="shared" si="2"/>
        <v>1.5221850789399055E-2</v>
      </c>
    </row>
    <row r="154" spans="1:9">
      <c r="A154" s="2">
        <v>43693</v>
      </c>
      <c r="B154">
        <v>133.03999300000001</v>
      </c>
      <c r="C154">
        <v>134.58999600000001</v>
      </c>
      <c r="D154">
        <v>132.949997</v>
      </c>
      <c r="E154">
        <v>133.759995</v>
      </c>
      <c r="F154">
        <v>130.832413</v>
      </c>
      <c r="G154">
        <v>3012000</v>
      </c>
      <c r="I154">
        <f t="shared" si="2"/>
        <v>-9.523867055144809E-3</v>
      </c>
    </row>
    <row r="155" spans="1:9">
      <c r="A155" s="2">
        <v>43692</v>
      </c>
      <c r="B155">
        <v>131.220001</v>
      </c>
      <c r="C155">
        <v>132.36999499999999</v>
      </c>
      <c r="D155">
        <v>130.25</v>
      </c>
      <c r="E155">
        <v>131.91999799999999</v>
      </c>
      <c r="F155">
        <v>129.03270000000001</v>
      </c>
      <c r="G155">
        <v>3738900</v>
      </c>
      <c r="I155">
        <f t="shared" si="2"/>
        <v>-1.3851448865368248E-2</v>
      </c>
    </row>
    <row r="156" spans="1:9">
      <c r="A156" s="2">
        <v>43691</v>
      </c>
      <c r="B156">
        <v>133.91000399999999</v>
      </c>
      <c r="C156">
        <v>134.16000399999999</v>
      </c>
      <c r="D156">
        <v>130.979996</v>
      </c>
      <c r="E156">
        <v>131.25</v>
      </c>
      <c r="F156">
        <v>128.377365</v>
      </c>
      <c r="G156">
        <v>5114200</v>
      </c>
      <c r="I156">
        <f t="shared" si="2"/>
        <v>-5.0917616189067585E-3</v>
      </c>
    </row>
    <row r="157" spans="1:9">
      <c r="A157" s="2">
        <v>43690</v>
      </c>
      <c r="B157">
        <v>133.800003</v>
      </c>
      <c r="C157">
        <v>136.570007</v>
      </c>
      <c r="D157">
        <v>132.80999800000001</v>
      </c>
      <c r="E157">
        <v>135.78999300000001</v>
      </c>
      <c r="F157">
        <v>132.817993</v>
      </c>
      <c r="G157">
        <v>4522100</v>
      </c>
      <c r="I157">
        <f t="shared" si="2"/>
        <v>3.4005621688781219E-2</v>
      </c>
    </row>
    <row r="158" spans="1:9">
      <c r="A158" s="2">
        <v>43689</v>
      </c>
      <c r="B158">
        <v>135.66000399999999</v>
      </c>
      <c r="C158">
        <v>135.86999499999999</v>
      </c>
      <c r="D158">
        <v>133.179993</v>
      </c>
      <c r="E158">
        <v>134.11999499999999</v>
      </c>
      <c r="F158">
        <v>131.18454</v>
      </c>
      <c r="G158">
        <v>3895600</v>
      </c>
      <c r="I158">
        <f t="shared" si="2"/>
        <v>-1.2374638842534962E-2</v>
      </c>
    </row>
    <row r="159" spans="1:9">
      <c r="A159" s="2">
        <v>43686</v>
      </c>
      <c r="B159">
        <v>139.270004</v>
      </c>
      <c r="C159">
        <v>139.30999800000001</v>
      </c>
      <c r="D159">
        <v>135.35000600000001</v>
      </c>
      <c r="E159">
        <v>136.13000500000001</v>
      </c>
      <c r="F159">
        <v>133.15055799999999</v>
      </c>
      <c r="G159">
        <v>5244600</v>
      </c>
      <c r="I159">
        <f t="shared" si="2"/>
        <v>1.4875463935998562E-2</v>
      </c>
    </row>
    <row r="160" spans="1:9">
      <c r="A160" s="2">
        <v>43685</v>
      </c>
      <c r="B160">
        <v>138.449997</v>
      </c>
      <c r="C160">
        <v>140.41999799999999</v>
      </c>
      <c r="D160">
        <v>137.759995</v>
      </c>
      <c r="E160">
        <v>140.10000600000001</v>
      </c>
      <c r="F160">
        <v>137.03367600000001</v>
      </c>
      <c r="G160">
        <v>5261100</v>
      </c>
      <c r="H160">
        <v>1.62</v>
      </c>
      <c r="I160">
        <f t="shared" si="2"/>
        <v>4.0242974080295112E-2</v>
      </c>
    </row>
    <row r="161" spans="1:9">
      <c r="A161" s="2">
        <v>43684</v>
      </c>
      <c r="B161">
        <v>138.740005</v>
      </c>
      <c r="C161">
        <v>139.58000200000001</v>
      </c>
      <c r="D161">
        <v>136.41000399999999</v>
      </c>
      <c r="E161">
        <v>139.11000100000001</v>
      </c>
      <c r="F161">
        <v>134.48078899999999</v>
      </c>
      <c r="G161">
        <v>5931900</v>
      </c>
      <c r="I161">
        <f t="shared" si="2"/>
        <v>-7.0915019094778438E-3</v>
      </c>
    </row>
    <row r="162" spans="1:9">
      <c r="A162" s="2">
        <v>43683</v>
      </c>
      <c r="B162">
        <v>142.029999</v>
      </c>
      <c r="C162">
        <v>142.470001</v>
      </c>
      <c r="D162">
        <v>139.30999800000001</v>
      </c>
      <c r="E162">
        <v>140.729996</v>
      </c>
      <c r="F162">
        <v>136.046875</v>
      </c>
      <c r="G162">
        <v>5070700</v>
      </c>
      <c r="I162">
        <f t="shared" si="2"/>
        <v>1.1578138325219202E-2</v>
      </c>
    </row>
    <row r="163" spans="1:9">
      <c r="A163" s="2">
        <v>43682</v>
      </c>
      <c r="B163">
        <v>144.979996</v>
      </c>
      <c r="C163">
        <v>145.10000600000001</v>
      </c>
      <c r="D163">
        <v>139.14999399999999</v>
      </c>
      <c r="E163">
        <v>140.759995</v>
      </c>
      <c r="F163">
        <v>136.07588200000001</v>
      </c>
      <c r="G163">
        <v>7114900</v>
      </c>
      <c r="I163">
        <f t="shared" si="2"/>
        <v>2.1314434667457283E-4</v>
      </c>
    </row>
    <row r="164" spans="1:9">
      <c r="A164" s="2">
        <v>43679</v>
      </c>
      <c r="B164">
        <v>149.029999</v>
      </c>
      <c r="C164">
        <v>152.949997</v>
      </c>
      <c r="D164">
        <v>145.58999600000001</v>
      </c>
      <c r="E164">
        <v>147.25</v>
      </c>
      <c r="F164">
        <v>142.34991500000001</v>
      </c>
      <c r="G164">
        <v>8101700</v>
      </c>
      <c r="I164">
        <f t="shared" si="2"/>
        <v>4.5075545599767307E-2</v>
      </c>
    </row>
    <row r="165" spans="1:9">
      <c r="A165" s="2">
        <v>43678</v>
      </c>
      <c r="B165">
        <v>148.89999399999999</v>
      </c>
      <c r="C165">
        <v>152.820007</v>
      </c>
      <c r="D165">
        <v>148.5</v>
      </c>
      <c r="E165">
        <v>150.320007</v>
      </c>
      <c r="F165">
        <v>145.31774899999999</v>
      </c>
      <c r="G165">
        <v>6344000</v>
      </c>
      <c r="I165">
        <f t="shared" si="2"/>
        <v>2.0634579140835864E-2</v>
      </c>
    </row>
    <row r="166" spans="1:9">
      <c r="A166" s="2">
        <v>43677</v>
      </c>
      <c r="B166">
        <v>149.699997</v>
      </c>
      <c r="C166">
        <v>150.179993</v>
      </c>
      <c r="D166">
        <v>146.38999899999999</v>
      </c>
      <c r="E166">
        <v>148.240005</v>
      </c>
      <c r="F166">
        <v>143.30697599999999</v>
      </c>
      <c r="G166">
        <v>3722900</v>
      </c>
      <c r="I166">
        <f t="shared" si="2"/>
        <v>-1.3933785966340163E-2</v>
      </c>
    </row>
    <row r="167" spans="1:9">
      <c r="A167" s="2">
        <v>43676</v>
      </c>
      <c r="B167">
        <v>150</v>
      </c>
      <c r="C167">
        <v>150.39999399999999</v>
      </c>
      <c r="D167">
        <v>149.220001</v>
      </c>
      <c r="E167">
        <v>149.770004</v>
      </c>
      <c r="F167">
        <v>144.786057</v>
      </c>
      <c r="G167">
        <v>2632700</v>
      </c>
      <c r="I167">
        <f t="shared" si="2"/>
        <v>1.0268195005730511E-2</v>
      </c>
    </row>
    <row r="168" spans="1:9">
      <c r="A168" s="2">
        <v>43675</v>
      </c>
      <c r="B168">
        <v>151.11000100000001</v>
      </c>
      <c r="C168">
        <v>151.479996</v>
      </c>
      <c r="D168">
        <v>150.320007</v>
      </c>
      <c r="E168">
        <v>150.88000500000001</v>
      </c>
      <c r="F168">
        <v>145.859116</v>
      </c>
      <c r="G168">
        <v>2075500</v>
      </c>
      <c r="I168">
        <f t="shared" si="2"/>
        <v>7.3840413121431265E-3</v>
      </c>
    </row>
    <row r="169" spans="1:9">
      <c r="A169" s="2">
        <v>43672</v>
      </c>
      <c r="B169">
        <v>151</v>
      </c>
      <c r="C169">
        <v>151.41000399999999</v>
      </c>
      <c r="D169">
        <v>150.10000600000001</v>
      </c>
      <c r="E169">
        <v>151.36000100000001</v>
      </c>
      <c r="F169">
        <v>146.323151</v>
      </c>
      <c r="G169">
        <v>2904300</v>
      </c>
      <c r="I169">
        <f t="shared" si="2"/>
        <v>3.1762598862682349E-3</v>
      </c>
    </row>
    <row r="170" spans="1:9">
      <c r="A170" s="2">
        <v>43671</v>
      </c>
      <c r="B170">
        <v>149.820007</v>
      </c>
      <c r="C170">
        <v>150.61999499999999</v>
      </c>
      <c r="D170">
        <v>148.61000100000001</v>
      </c>
      <c r="E170">
        <v>150.38999899999999</v>
      </c>
      <c r="F170">
        <v>145.38542200000001</v>
      </c>
      <c r="G170">
        <v>3102100</v>
      </c>
      <c r="I170">
        <f t="shared" si="2"/>
        <v>-6.4291986161901307E-3</v>
      </c>
    </row>
    <row r="171" spans="1:9">
      <c r="A171" s="2">
        <v>43670</v>
      </c>
      <c r="B171">
        <v>150.11999499999999</v>
      </c>
      <c r="C171">
        <v>151.449997</v>
      </c>
      <c r="D171">
        <v>149.199997</v>
      </c>
      <c r="E171">
        <v>150.029999</v>
      </c>
      <c r="F171">
        <v>145.03739899999999</v>
      </c>
      <c r="G171">
        <v>2952400</v>
      </c>
      <c r="I171">
        <f t="shared" si="2"/>
        <v>-2.3966458605548923E-3</v>
      </c>
    </row>
    <row r="172" spans="1:9">
      <c r="A172" s="2">
        <v>43669</v>
      </c>
      <c r="B172">
        <v>150.570007</v>
      </c>
      <c r="C172">
        <v>150.720001</v>
      </c>
      <c r="D172">
        <v>148.38000500000001</v>
      </c>
      <c r="E172">
        <v>150.38000500000001</v>
      </c>
      <c r="F172">
        <v>145.375778</v>
      </c>
      <c r="G172">
        <v>3742200</v>
      </c>
      <c r="I172">
        <f t="shared" si="2"/>
        <v>2.3301897653942457E-3</v>
      </c>
    </row>
    <row r="173" spans="1:9">
      <c r="A173" s="2">
        <v>43668</v>
      </c>
      <c r="B173">
        <v>150.16000399999999</v>
      </c>
      <c r="C173">
        <v>151.94000199999999</v>
      </c>
      <c r="D173">
        <v>149.699997</v>
      </c>
      <c r="E173">
        <v>149.740005</v>
      </c>
      <c r="F173">
        <v>144.75704999999999</v>
      </c>
      <c r="G173">
        <v>4092600</v>
      </c>
      <c r="I173">
        <f t="shared" si="2"/>
        <v>-4.2649670052326231E-3</v>
      </c>
    </row>
    <row r="174" spans="1:9">
      <c r="A174" s="2">
        <v>43665</v>
      </c>
      <c r="B174">
        <v>149.96000699999999</v>
      </c>
      <c r="C174">
        <v>151.58000200000001</v>
      </c>
      <c r="D174">
        <v>149.550003</v>
      </c>
      <c r="E174">
        <v>149.679993</v>
      </c>
      <c r="F174">
        <v>144.69903600000001</v>
      </c>
      <c r="G174">
        <v>7290700</v>
      </c>
      <c r="I174">
        <f t="shared" si="2"/>
        <v>-4.0085499435203644E-4</v>
      </c>
    </row>
    <row r="175" spans="1:9">
      <c r="A175" s="2">
        <v>43664</v>
      </c>
      <c r="B175">
        <v>142.5</v>
      </c>
      <c r="C175">
        <v>150.30999800000001</v>
      </c>
      <c r="D175">
        <v>142.199997</v>
      </c>
      <c r="E175">
        <v>149.63000500000001</v>
      </c>
      <c r="F175">
        <v>144.650711</v>
      </c>
      <c r="G175">
        <v>12695400</v>
      </c>
      <c r="I175">
        <f t="shared" si="2"/>
        <v>-3.3402158831164668E-4</v>
      </c>
    </row>
    <row r="176" spans="1:9">
      <c r="A176" s="2">
        <v>43663</v>
      </c>
      <c r="B176">
        <v>143.61000100000001</v>
      </c>
      <c r="C176">
        <v>143.800003</v>
      </c>
      <c r="D176">
        <v>141.949997</v>
      </c>
      <c r="E176">
        <v>143.070007</v>
      </c>
      <c r="F176">
        <v>138.309021</v>
      </c>
      <c r="G176">
        <v>6064300</v>
      </c>
      <c r="I176">
        <f t="shared" si="2"/>
        <v>-4.4831543705746303E-2</v>
      </c>
    </row>
    <row r="177" spans="1:9">
      <c r="A177" s="2">
        <v>43662</v>
      </c>
      <c r="B177">
        <v>143.16999799999999</v>
      </c>
      <c r="C177">
        <v>144.03999300000001</v>
      </c>
      <c r="D177">
        <v>143.020004</v>
      </c>
      <c r="E177">
        <v>143.529999</v>
      </c>
      <c r="F177">
        <v>138.75370799999999</v>
      </c>
      <c r="G177">
        <v>3474700</v>
      </c>
      <c r="I177">
        <f t="shared" si="2"/>
        <v>3.2099957107643317E-3</v>
      </c>
    </row>
    <row r="178" spans="1:9">
      <c r="A178" s="2">
        <v>43661</v>
      </c>
      <c r="B178">
        <v>142.88999899999999</v>
      </c>
      <c r="C178">
        <v>143.509995</v>
      </c>
      <c r="D178">
        <v>142.11999499999999</v>
      </c>
      <c r="E178">
        <v>143.320007</v>
      </c>
      <c r="F178">
        <v>138.55070499999999</v>
      </c>
      <c r="G178">
        <v>2368300</v>
      </c>
      <c r="I178">
        <f t="shared" si="2"/>
        <v>-1.4641243375998064E-3</v>
      </c>
    </row>
    <row r="179" spans="1:9">
      <c r="A179" s="2">
        <v>43658</v>
      </c>
      <c r="B179">
        <v>141.91999799999999</v>
      </c>
      <c r="C179">
        <v>142.91999799999999</v>
      </c>
      <c r="D179">
        <v>141.66000399999999</v>
      </c>
      <c r="E179">
        <v>142.740005</v>
      </c>
      <c r="F179">
        <v>137.990005</v>
      </c>
      <c r="G179">
        <v>2786200</v>
      </c>
      <c r="I179">
        <f t="shared" si="2"/>
        <v>-4.0551127068603953E-3</v>
      </c>
    </row>
    <row r="180" spans="1:9">
      <c r="A180" s="2">
        <v>43657</v>
      </c>
      <c r="B180">
        <v>140.78999300000001</v>
      </c>
      <c r="C180">
        <v>141.58000200000001</v>
      </c>
      <c r="D180">
        <v>140.300003</v>
      </c>
      <c r="E180">
        <v>141.240005</v>
      </c>
      <c r="F180">
        <v>136.53993199999999</v>
      </c>
      <c r="G180">
        <v>2132900</v>
      </c>
      <c r="I180">
        <f t="shared" si="2"/>
        <v>-1.0564222110722912E-2</v>
      </c>
    </row>
    <row r="181" spans="1:9">
      <c r="A181" s="2">
        <v>43656</v>
      </c>
      <c r="B181">
        <v>140</v>
      </c>
      <c r="C181">
        <v>141.91000399999999</v>
      </c>
      <c r="D181">
        <v>139.78999300000001</v>
      </c>
      <c r="E181">
        <v>140.470001</v>
      </c>
      <c r="F181">
        <v>135.79553200000001</v>
      </c>
      <c r="G181">
        <v>2513900</v>
      </c>
      <c r="I181">
        <f t="shared" si="2"/>
        <v>-5.4666564991451318E-3</v>
      </c>
    </row>
    <row r="182" spans="1:9">
      <c r="A182" s="2">
        <v>43655</v>
      </c>
      <c r="B182">
        <v>140.61000100000001</v>
      </c>
      <c r="C182">
        <v>140.990005</v>
      </c>
      <c r="D182">
        <v>139.13000500000001</v>
      </c>
      <c r="E182">
        <v>139.33000200000001</v>
      </c>
      <c r="F182">
        <v>134.693466</v>
      </c>
      <c r="G182">
        <v>3365200</v>
      </c>
      <c r="I182">
        <f t="shared" si="2"/>
        <v>-8.1487154818655396E-3</v>
      </c>
    </row>
    <row r="183" spans="1:9">
      <c r="A183" s="2">
        <v>43654</v>
      </c>
      <c r="B183">
        <v>141.050003</v>
      </c>
      <c r="C183">
        <v>141.28999300000001</v>
      </c>
      <c r="D183">
        <v>140.270004</v>
      </c>
      <c r="E183">
        <v>140.570007</v>
      </c>
      <c r="F183">
        <v>135.892212</v>
      </c>
      <c r="G183">
        <v>2395300</v>
      </c>
      <c r="I183">
        <f t="shared" si="2"/>
        <v>8.8604006610165324E-3</v>
      </c>
    </row>
    <row r="184" spans="1:9">
      <c r="A184" s="2">
        <v>43651</v>
      </c>
      <c r="B184">
        <v>140.86999499999999</v>
      </c>
      <c r="C184">
        <v>141.490005</v>
      </c>
      <c r="D184">
        <v>139.91000399999999</v>
      </c>
      <c r="E184">
        <v>141.38000500000001</v>
      </c>
      <c r="F184">
        <v>136.675262</v>
      </c>
      <c r="G184">
        <v>2134700</v>
      </c>
      <c r="I184">
        <f t="shared" si="2"/>
        <v>5.7457009675612692E-3</v>
      </c>
    </row>
    <row r="185" spans="1:9">
      <c r="A185" s="2">
        <v>43649</v>
      </c>
      <c r="B185">
        <v>140.720001</v>
      </c>
      <c r="C185">
        <v>141.820007</v>
      </c>
      <c r="D185">
        <v>140.429993</v>
      </c>
      <c r="E185">
        <v>141.53999300000001</v>
      </c>
      <c r="F185">
        <v>136.829926</v>
      </c>
      <c r="G185">
        <v>1930400</v>
      </c>
      <c r="I185">
        <f t="shared" si="2"/>
        <v>1.1309770831647924E-3</v>
      </c>
    </row>
    <row r="186" spans="1:9">
      <c r="A186" s="2">
        <v>43648</v>
      </c>
      <c r="B186">
        <v>139.75</v>
      </c>
      <c r="C186">
        <v>140.429993</v>
      </c>
      <c r="D186">
        <v>139.470001</v>
      </c>
      <c r="E186">
        <v>140.220001</v>
      </c>
      <c r="F186">
        <v>135.55384799999999</v>
      </c>
      <c r="G186">
        <v>2409700</v>
      </c>
      <c r="I186">
        <f t="shared" si="2"/>
        <v>-9.3696882811815669E-3</v>
      </c>
    </row>
    <row r="187" spans="1:9">
      <c r="A187" s="2">
        <v>43647</v>
      </c>
      <c r="B187">
        <v>139.60000600000001</v>
      </c>
      <c r="C187">
        <v>141.490005</v>
      </c>
      <c r="D187">
        <v>139.279999</v>
      </c>
      <c r="E187">
        <v>139.88000500000001</v>
      </c>
      <c r="F187">
        <v>135.22517400000001</v>
      </c>
      <c r="G187">
        <v>3377700</v>
      </c>
      <c r="I187">
        <f t="shared" si="2"/>
        <v>-2.4276769703730407E-3</v>
      </c>
    </row>
    <row r="188" spans="1:9">
      <c r="A188" s="2">
        <v>43644</v>
      </c>
      <c r="B188">
        <v>138.570007</v>
      </c>
      <c r="C188">
        <v>139.13999899999999</v>
      </c>
      <c r="D188">
        <v>137.83999600000001</v>
      </c>
      <c r="E188">
        <v>137.89999399999999</v>
      </c>
      <c r="F188">
        <v>133.31104999999999</v>
      </c>
      <c r="G188">
        <v>6153900</v>
      </c>
      <c r="I188">
        <f t="shared" si="2"/>
        <v>-1.4256206650633331E-2</v>
      </c>
    </row>
    <row r="189" spans="1:9">
      <c r="A189" s="2">
        <v>43643</v>
      </c>
      <c r="B189">
        <v>138.720001</v>
      </c>
      <c r="C189">
        <v>139.300003</v>
      </c>
      <c r="D189">
        <v>137.949997</v>
      </c>
      <c r="E189">
        <v>138.520004</v>
      </c>
      <c r="F189">
        <v>133.91043099999999</v>
      </c>
      <c r="G189">
        <v>2149800</v>
      </c>
      <c r="I189">
        <f t="shared" si="2"/>
        <v>4.4860071214518887E-3</v>
      </c>
    </row>
    <row r="190" spans="1:9">
      <c r="A190" s="2">
        <v>43642</v>
      </c>
      <c r="B190">
        <v>138.86999499999999</v>
      </c>
      <c r="C190">
        <v>139.679993</v>
      </c>
      <c r="D190">
        <v>138.41000399999999</v>
      </c>
      <c r="E190">
        <v>138.520004</v>
      </c>
      <c r="F190">
        <v>133.91043099999999</v>
      </c>
      <c r="G190">
        <v>2284600</v>
      </c>
      <c r="I190">
        <f t="shared" si="2"/>
        <v>0</v>
      </c>
    </row>
    <row r="191" spans="1:9">
      <c r="A191" s="2">
        <v>43641</v>
      </c>
      <c r="B191">
        <v>139.46000699999999</v>
      </c>
      <c r="C191">
        <v>139.550003</v>
      </c>
      <c r="D191">
        <v>138.13000500000001</v>
      </c>
      <c r="E191">
        <v>138.36000100000001</v>
      </c>
      <c r="F191">
        <v>133.75573700000001</v>
      </c>
      <c r="G191">
        <v>2801200</v>
      </c>
      <c r="I191">
        <f t="shared" si="2"/>
        <v>-1.1557571144268581E-3</v>
      </c>
    </row>
    <row r="192" spans="1:9">
      <c r="A192" s="2">
        <v>43640</v>
      </c>
      <c r="B192">
        <v>139.199997</v>
      </c>
      <c r="C192">
        <v>140.14999399999999</v>
      </c>
      <c r="D192">
        <v>139.050003</v>
      </c>
      <c r="E192">
        <v>139.35000600000001</v>
      </c>
      <c r="F192">
        <v>134.71281400000001</v>
      </c>
      <c r="G192">
        <v>2186000</v>
      </c>
      <c r="I192">
        <f t="shared" si="2"/>
        <v>7.1298056885165184E-3</v>
      </c>
    </row>
    <row r="193" spans="1:9">
      <c r="A193" s="2">
        <v>43637</v>
      </c>
      <c r="B193">
        <v>138.44000199999999</v>
      </c>
      <c r="C193">
        <v>139.53999300000001</v>
      </c>
      <c r="D193">
        <v>138.38999899999999</v>
      </c>
      <c r="E193">
        <v>139.199997</v>
      </c>
      <c r="F193">
        <v>134.56778</v>
      </c>
      <c r="G193">
        <v>5288700</v>
      </c>
      <c r="I193">
        <f t="shared" si="2"/>
        <v>-1.0770706364120236E-3</v>
      </c>
    </row>
    <row r="194" spans="1:9">
      <c r="A194" s="2">
        <v>43636</v>
      </c>
      <c r="B194">
        <v>138.929993</v>
      </c>
      <c r="C194">
        <v>139.53999300000001</v>
      </c>
      <c r="D194">
        <v>138.199997</v>
      </c>
      <c r="E194">
        <v>138.85000600000001</v>
      </c>
      <c r="F194">
        <v>134.229446</v>
      </c>
      <c r="G194">
        <v>3071000</v>
      </c>
      <c r="I194">
        <f t="shared" si="2"/>
        <v>-2.5174693836878224E-3</v>
      </c>
    </row>
    <row r="195" spans="1:9">
      <c r="A195" s="2">
        <v>43635</v>
      </c>
      <c r="B195">
        <v>136.429993</v>
      </c>
      <c r="C195">
        <v>138.36000100000001</v>
      </c>
      <c r="D195">
        <v>136.240005</v>
      </c>
      <c r="E195">
        <v>137.08000200000001</v>
      </c>
      <c r="F195">
        <v>132.51834099999999</v>
      </c>
      <c r="G195">
        <v>2382400</v>
      </c>
      <c r="I195">
        <f t="shared" si="2"/>
        <v>-1.2829545368478613E-2</v>
      </c>
    </row>
    <row r="196" spans="1:9">
      <c r="A196" s="2">
        <v>43634</v>
      </c>
      <c r="B196">
        <v>135.199997</v>
      </c>
      <c r="C196">
        <v>137.19000199999999</v>
      </c>
      <c r="D196">
        <v>135.199997</v>
      </c>
      <c r="E196">
        <v>136.38000500000001</v>
      </c>
      <c r="F196">
        <v>131.841644</v>
      </c>
      <c r="G196">
        <v>2914700</v>
      </c>
      <c r="I196">
        <f t="shared" ref="I196:I253" si="3">LN((E196+H196)/(E195))</f>
        <v>-5.1195678416549664E-3</v>
      </c>
    </row>
    <row r="197" spans="1:9">
      <c r="A197" s="2">
        <v>43633</v>
      </c>
      <c r="B197">
        <v>135.38999899999999</v>
      </c>
      <c r="C197">
        <v>136.029999</v>
      </c>
      <c r="D197">
        <v>134.699997</v>
      </c>
      <c r="E197">
        <v>134.949997</v>
      </c>
      <c r="F197">
        <v>130.45922899999999</v>
      </c>
      <c r="G197">
        <v>2194100</v>
      </c>
      <c r="I197">
        <f t="shared" si="3"/>
        <v>-1.0540826521215805E-2</v>
      </c>
    </row>
    <row r="198" spans="1:9">
      <c r="A198" s="2">
        <v>43630</v>
      </c>
      <c r="B198">
        <v>135.44000199999999</v>
      </c>
      <c r="C198">
        <v>135.88000500000001</v>
      </c>
      <c r="D198">
        <v>134.429993</v>
      </c>
      <c r="E198">
        <v>135.14999399999999</v>
      </c>
      <c r="F198">
        <v>130.65257299999999</v>
      </c>
      <c r="G198">
        <v>2193300</v>
      </c>
      <c r="I198">
        <f t="shared" si="3"/>
        <v>1.4809110937812884E-3</v>
      </c>
    </row>
    <row r="199" spans="1:9">
      <c r="A199" s="2">
        <v>43629</v>
      </c>
      <c r="B199">
        <v>135.13000500000001</v>
      </c>
      <c r="C199">
        <v>136.270004</v>
      </c>
      <c r="D199">
        <v>135.08999600000001</v>
      </c>
      <c r="E199">
        <v>135.759995</v>
      </c>
      <c r="F199">
        <v>131.24226400000001</v>
      </c>
      <c r="G199">
        <v>2955300</v>
      </c>
      <c r="I199">
        <f t="shared" si="3"/>
        <v>4.5033557689317192E-3</v>
      </c>
    </row>
    <row r="200" spans="1:9">
      <c r="A200" s="2">
        <v>43628</v>
      </c>
      <c r="B200">
        <v>135.55999800000001</v>
      </c>
      <c r="C200">
        <v>135.94000199999999</v>
      </c>
      <c r="D200">
        <v>134.41000399999999</v>
      </c>
      <c r="E200">
        <v>134.86999499999999</v>
      </c>
      <c r="F200">
        <v>130.38188199999999</v>
      </c>
      <c r="G200">
        <v>2254700</v>
      </c>
      <c r="I200">
        <f t="shared" si="3"/>
        <v>-6.5772696402420219E-3</v>
      </c>
    </row>
    <row r="201" spans="1:9">
      <c r="A201" s="2">
        <v>43627</v>
      </c>
      <c r="B201">
        <v>135.320007</v>
      </c>
      <c r="C201">
        <v>136.46000699999999</v>
      </c>
      <c r="D201">
        <v>135.050003</v>
      </c>
      <c r="E201">
        <v>135.949997</v>
      </c>
      <c r="F201">
        <v>131.425949</v>
      </c>
      <c r="G201">
        <v>3407300</v>
      </c>
      <c r="I201">
        <f t="shared" si="3"/>
        <v>7.9758345555142225E-3</v>
      </c>
    </row>
    <row r="202" spans="1:9">
      <c r="A202" s="2">
        <v>43626</v>
      </c>
      <c r="B202">
        <v>134.38000500000001</v>
      </c>
      <c r="C202">
        <v>135.35000600000001</v>
      </c>
      <c r="D202">
        <v>133.91000399999999</v>
      </c>
      <c r="E202">
        <v>134.740005</v>
      </c>
      <c r="F202">
        <v>130.25621000000001</v>
      </c>
      <c r="G202">
        <v>2911300</v>
      </c>
      <c r="I202">
        <f t="shared" si="3"/>
        <v>-8.9401163705247269E-3</v>
      </c>
    </row>
    <row r="203" spans="1:9">
      <c r="A203" s="2">
        <v>43623</v>
      </c>
      <c r="B203">
        <v>132.470001</v>
      </c>
      <c r="C203">
        <v>134.720001</v>
      </c>
      <c r="D203">
        <v>132.21000699999999</v>
      </c>
      <c r="E203">
        <v>133.30999800000001</v>
      </c>
      <c r="F203">
        <v>128.873795</v>
      </c>
      <c r="G203">
        <v>2553400</v>
      </c>
      <c r="I203">
        <f t="shared" si="3"/>
        <v>-1.0669804518058209E-2</v>
      </c>
    </row>
    <row r="204" spans="1:9">
      <c r="A204" s="2">
        <v>43622</v>
      </c>
      <c r="B204">
        <v>132.19000199999999</v>
      </c>
      <c r="C204">
        <v>132.64999399999999</v>
      </c>
      <c r="D204">
        <v>130.89999399999999</v>
      </c>
      <c r="E204">
        <v>132.220001</v>
      </c>
      <c r="F204">
        <v>127.82006800000001</v>
      </c>
      <c r="G204">
        <v>2298200</v>
      </c>
      <c r="I204">
        <f t="shared" si="3"/>
        <v>-8.2100186543757753E-3</v>
      </c>
    </row>
    <row r="205" spans="1:9">
      <c r="A205" s="2">
        <v>43621</v>
      </c>
      <c r="B205">
        <v>133.38000500000001</v>
      </c>
      <c r="C205">
        <v>133.61000100000001</v>
      </c>
      <c r="D205">
        <v>130.470001</v>
      </c>
      <c r="E205">
        <v>131.490005</v>
      </c>
      <c r="F205">
        <v>127.11438</v>
      </c>
      <c r="G205">
        <v>3161300</v>
      </c>
      <c r="I205">
        <f t="shared" si="3"/>
        <v>-5.5363683440521737E-3</v>
      </c>
    </row>
    <row r="206" spans="1:9">
      <c r="A206" s="2">
        <v>43620</v>
      </c>
      <c r="B206">
        <v>129.55999800000001</v>
      </c>
      <c r="C206">
        <v>132.740005</v>
      </c>
      <c r="D206">
        <v>129.08999600000001</v>
      </c>
      <c r="E206">
        <v>132.69000199999999</v>
      </c>
      <c r="F206">
        <v>128.27444499999999</v>
      </c>
      <c r="G206">
        <v>3913500</v>
      </c>
      <c r="I206">
        <f t="shared" si="3"/>
        <v>9.0847544965387619E-3</v>
      </c>
    </row>
    <row r="207" spans="1:9">
      <c r="A207" s="2">
        <v>43619</v>
      </c>
      <c r="B207">
        <v>127.099998</v>
      </c>
      <c r="C207">
        <v>128.55999800000001</v>
      </c>
      <c r="D207">
        <v>127.05999799999999</v>
      </c>
      <c r="E207">
        <v>128.270004</v>
      </c>
      <c r="F207">
        <v>124.001518</v>
      </c>
      <c r="G207">
        <v>4266900</v>
      </c>
      <c r="I207">
        <f t="shared" si="3"/>
        <v>-3.3878147125091136E-2</v>
      </c>
    </row>
    <row r="208" spans="1:9">
      <c r="A208" s="2">
        <v>43616</v>
      </c>
      <c r="B208">
        <v>128.44000199999999</v>
      </c>
      <c r="C208">
        <v>128.44000199999999</v>
      </c>
      <c r="D208">
        <v>126.849998</v>
      </c>
      <c r="E208">
        <v>126.989998</v>
      </c>
      <c r="F208">
        <v>122.764107</v>
      </c>
      <c r="G208">
        <v>3539300</v>
      </c>
      <c r="I208">
        <f t="shared" si="3"/>
        <v>-1.0029121044309315E-2</v>
      </c>
    </row>
    <row r="209" spans="1:9">
      <c r="A209" s="2">
        <v>43615</v>
      </c>
      <c r="B209">
        <v>129.740005</v>
      </c>
      <c r="C209">
        <v>129.970001</v>
      </c>
      <c r="D209">
        <v>128.929993</v>
      </c>
      <c r="E209">
        <v>129.570007</v>
      </c>
      <c r="F209">
        <v>125.25825500000001</v>
      </c>
      <c r="G209">
        <v>2741900</v>
      </c>
      <c r="I209">
        <f t="shared" si="3"/>
        <v>2.011300221389907E-2</v>
      </c>
    </row>
    <row r="210" spans="1:9">
      <c r="A210" s="2">
        <v>43614</v>
      </c>
      <c r="B210">
        <v>130</v>
      </c>
      <c r="C210">
        <v>130.279999</v>
      </c>
      <c r="D210">
        <v>128.320007</v>
      </c>
      <c r="E210">
        <v>129.69000199999999</v>
      </c>
      <c r="F210">
        <v>125.374268</v>
      </c>
      <c r="G210">
        <v>3679000</v>
      </c>
      <c r="I210">
        <f t="shared" si="3"/>
        <v>9.2567310347003062E-4</v>
      </c>
    </row>
    <row r="211" spans="1:9">
      <c r="A211" s="2">
        <v>43613</v>
      </c>
      <c r="B211">
        <v>132.13000500000001</v>
      </c>
      <c r="C211">
        <v>132.63999899999999</v>
      </c>
      <c r="D211">
        <v>130.270004</v>
      </c>
      <c r="E211">
        <v>130.46000699999999</v>
      </c>
      <c r="F211">
        <v>126.118652</v>
      </c>
      <c r="G211">
        <v>4908800</v>
      </c>
      <c r="I211">
        <f t="shared" si="3"/>
        <v>5.9197172552020432E-3</v>
      </c>
    </row>
    <row r="212" spans="1:9">
      <c r="A212" s="2">
        <v>43609</v>
      </c>
      <c r="B212">
        <v>133.529999</v>
      </c>
      <c r="C212">
        <v>134.25</v>
      </c>
      <c r="D212">
        <v>131.58999600000001</v>
      </c>
      <c r="E212">
        <v>132.279999</v>
      </c>
      <c r="F212">
        <v>127.878067</v>
      </c>
      <c r="G212">
        <v>2596100</v>
      </c>
      <c r="I212">
        <f t="shared" si="3"/>
        <v>1.3854160529628611E-2</v>
      </c>
    </row>
    <row r="213" spans="1:9">
      <c r="A213" s="2">
        <v>43608</v>
      </c>
      <c r="B213">
        <v>135.13000500000001</v>
      </c>
      <c r="C213">
        <v>135.13000500000001</v>
      </c>
      <c r="D213">
        <v>130.44000199999999</v>
      </c>
      <c r="E213">
        <v>132.38999899999999</v>
      </c>
      <c r="F213">
        <v>127.98440600000001</v>
      </c>
      <c r="G213">
        <v>5343400</v>
      </c>
      <c r="I213">
        <f t="shared" si="3"/>
        <v>8.3122384225457117E-4</v>
      </c>
    </row>
    <row r="214" spans="1:9">
      <c r="A214" s="2">
        <v>43607</v>
      </c>
      <c r="B214">
        <v>136</v>
      </c>
      <c r="C214">
        <v>136.75</v>
      </c>
      <c r="D214">
        <v>135.71000699999999</v>
      </c>
      <c r="E214">
        <v>136.35000600000001</v>
      </c>
      <c r="F214">
        <v>131.81265300000001</v>
      </c>
      <c r="G214">
        <v>1849800</v>
      </c>
      <c r="I214">
        <f t="shared" si="3"/>
        <v>2.9473048899872331E-2</v>
      </c>
    </row>
    <row r="215" spans="1:9">
      <c r="A215" s="2">
        <v>43606</v>
      </c>
      <c r="B215">
        <v>136.11999499999999</v>
      </c>
      <c r="C215">
        <v>137.05999800000001</v>
      </c>
      <c r="D215">
        <v>135.78999300000001</v>
      </c>
      <c r="E215">
        <v>136.449997</v>
      </c>
      <c r="F215">
        <v>131.909302</v>
      </c>
      <c r="G215">
        <v>2503500</v>
      </c>
      <c r="I215">
        <f t="shared" si="3"/>
        <v>7.3307187227464223E-4</v>
      </c>
    </row>
    <row r="216" spans="1:9">
      <c r="A216" s="2">
        <v>43605</v>
      </c>
      <c r="B216">
        <v>133.529999</v>
      </c>
      <c r="C216">
        <v>135.429993</v>
      </c>
      <c r="D216">
        <v>132.929993</v>
      </c>
      <c r="E216">
        <v>135.11999499999999</v>
      </c>
      <c r="F216">
        <v>130.62356600000001</v>
      </c>
      <c r="G216">
        <v>3264500</v>
      </c>
      <c r="I216">
        <f t="shared" si="3"/>
        <v>-9.7949896728723694E-3</v>
      </c>
    </row>
    <row r="217" spans="1:9">
      <c r="A217" s="2">
        <v>43602</v>
      </c>
      <c r="B217">
        <v>134.679993</v>
      </c>
      <c r="C217">
        <v>135.41000399999999</v>
      </c>
      <c r="D217">
        <v>133.94000199999999</v>
      </c>
      <c r="E217">
        <v>134.320007</v>
      </c>
      <c r="F217">
        <v>129.85020399999999</v>
      </c>
      <c r="G217">
        <v>2619100</v>
      </c>
      <c r="I217">
        <f t="shared" si="3"/>
        <v>-5.9381706117615741E-3</v>
      </c>
    </row>
    <row r="218" spans="1:9">
      <c r="A218" s="2">
        <v>43601</v>
      </c>
      <c r="B218">
        <v>134.740005</v>
      </c>
      <c r="C218">
        <v>136.11000100000001</v>
      </c>
      <c r="D218">
        <v>134.63999899999999</v>
      </c>
      <c r="E218">
        <v>135.88000500000001</v>
      </c>
      <c r="F218">
        <v>131.35827599999999</v>
      </c>
      <c r="G218">
        <v>3017300</v>
      </c>
      <c r="I218">
        <f t="shared" si="3"/>
        <v>1.1547115205918662E-2</v>
      </c>
    </row>
    <row r="219" spans="1:9">
      <c r="A219" s="2">
        <v>43600</v>
      </c>
      <c r="B219">
        <v>132.58999600000001</v>
      </c>
      <c r="C219">
        <v>134.58999600000001</v>
      </c>
      <c r="D219">
        <v>132.36999499999999</v>
      </c>
      <c r="E219">
        <v>134.39999399999999</v>
      </c>
      <c r="F219">
        <v>129.92752100000001</v>
      </c>
      <c r="G219">
        <v>2551000</v>
      </c>
      <c r="I219">
        <f t="shared" si="3"/>
        <v>-1.0951796643365558E-2</v>
      </c>
    </row>
    <row r="220" spans="1:9">
      <c r="A220" s="2">
        <v>43599</v>
      </c>
      <c r="B220">
        <v>131.820007</v>
      </c>
      <c r="C220">
        <v>134.320007</v>
      </c>
      <c r="D220">
        <v>131.679993</v>
      </c>
      <c r="E220">
        <v>133.30999800000001</v>
      </c>
      <c r="F220">
        <v>128.873795</v>
      </c>
      <c r="G220">
        <v>3280400</v>
      </c>
      <c r="I220">
        <f t="shared" si="3"/>
        <v>-8.143155323230851E-3</v>
      </c>
    </row>
    <row r="221" spans="1:9">
      <c r="A221" s="2">
        <v>43598</v>
      </c>
      <c r="B221">
        <v>133.279999</v>
      </c>
      <c r="C221">
        <v>133.570007</v>
      </c>
      <c r="D221">
        <v>130.96000699999999</v>
      </c>
      <c r="E221">
        <v>131.41999799999999</v>
      </c>
      <c r="F221">
        <v>127.04669199999999</v>
      </c>
      <c r="G221">
        <v>4958000</v>
      </c>
      <c r="I221">
        <f t="shared" si="3"/>
        <v>-1.4278941871622243E-2</v>
      </c>
    </row>
    <row r="222" spans="1:9">
      <c r="A222" s="2">
        <v>43595</v>
      </c>
      <c r="B222">
        <v>134.88000500000001</v>
      </c>
      <c r="C222">
        <v>135.75</v>
      </c>
      <c r="D222">
        <v>132.41999799999999</v>
      </c>
      <c r="E222">
        <v>135.320007</v>
      </c>
      <c r="F222">
        <v>130.816925</v>
      </c>
      <c r="G222">
        <v>3977600</v>
      </c>
      <c r="I222">
        <f t="shared" si="3"/>
        <v>2.9244109390403016E-2</v>
      </c>
    </row>
    <row r="223" spans="1:9">
      <c r="A223" s="2">
        <v>43594</v>
      </c>
      <c r="B223">
        <v>134.88999899999999</v>
      </c>
      <c r="C223">
        <v>135.58000200000001</v>
      </c>
      <c r="D223">
        <v>133.029999</v>
      </c>
      <c r="E223">
        <v>135.33999600000001</v>
      </c>
      <c r="F223">
        <v>130.836243</v>
      </c>
      <c r="G223">
        <v>4192700</v>
      </c>
      <c r="H223">
        <v>1.62</v>
      </c>
      <c r="I223">
        <f t="shared" si="3"/>
        <v>1.204648754608334E-2</v>
      </c>
    </row>
    <row r="224" spans="1:9">
      <c r="A224" s="2">
        <v>43593</v>
      </c>
      <c r="B224">
        <v>137.770004</v>
      </c>
      <c r="C224">
        <v>138.699997</v>
      </c>
      <c r="D224">
        <v>137.13000500000001</v>
      </c>
      <c r="E224">
        <v>138</v>
      </c>
      <c r="F224">
        <v>131.841644</v>
      </c>
      <c r="G224">
        <v>3818900</v>
      </c>
      <c r="I224">
        <f t="shared" si="3"/>
        <v>1.9463583908319888E-2</v>
      </c>
    </row>
    <row r="225" spans="1:9">
      <c r="A225" s="2">
        <v>43592</v>
      </c>
      <c r="B225">
        <v>139.14999399999999</v>
      </c>
      <c r="C225">
        <v>139.509995</v>
      </c>
      <c r="D225">
        <v>136.19000199999999</v>
      </c>
      <c r="E225">
        <v>137.63999899999999</v>
      </c>
      <c r="F225">
        <v>131.49771100000001</v>
      </c>
      <c r="G225">
        <v>4726800</v>
      </c>
      <c r="I225">
        <f t="shared" si="3"/>
        <v>-2.6121114932549589E-3</v>
      </c>
    </row>
    <row r="226" spans="1:9">
      <c r="A226" s="2">
        <v>43591</v>
      </c>
      <c r="B226">
        <v>138.300003</v>
      </c>
      <c r="C226">
        <v>140.69000199999999</v>
      </c>
      <c r="D226">
        <v>137.89999399999999</v>
      </c>
      <c r="E226">
        <v>140.38000500000001</v>
      </c>
      <c r="F226">
        <v>134.115433</v>
      </c>
      <c r="G226">
        <v>2793300</v>
      </c>
      <c r="I226">
        <f t="shared" si="3"/>
        <v>1.9711493255934454E-2</v>
      </c>
    </row>
    <row r="227" spans="1:9">
      <c r="A227" s="2">
        <v>43588</v>
      </c>
      <c r="B227">
        <v>139.699997</v>
      </c>
      <c r="C227">
        <v>141</v>
      </c>
      <c r="D227">
        <v>139.63000500000001</v>
      </c>
      <c r="E227">
        <v>140.25</v>
      </c>
      <c r="F227">
        <v>133.991241</v>
      </c>
      <c r="G227">
        <v>2579900</v>
      </c>
      <c r="I227">
        <f t="shared" si="3"/>
        <v>-9.2652251707848012E-4</v>
      </c>
    </row>
    <row r="228" spans="1:9">
      <c r="A228" s="2">
        <v>43587</v>
      </c>
      <c r="B228">
        <v>140.5</v>
      </c>
      <c r="C228">
        <v>141.279999</v>
      </c>
      <c r="D228">
        <v>139.41000399999999</v>
      </c>
      <c r="E228">
        <v>139.58999600000001</v>
      </c>
      <c r="F228">
        <v>133.36068700000001</v>
      </c>
      <c r="G228">
        <v>3541400</v>
      </c>
      <c r="I228">
        <f t="shared" si="3"/>
        <v>-4.7170185334869776E-3</v>
      </c>
    </row>
    <row r="229" spans="1:9">
      <c r="A229" s="2">
        <v>43586</v>
      </c>
      <c r="B229">
        <v>140.550003</v>
      </c>
      <c r="C229">
        <v>141.80999800000001</v>
      </c>
      <c r="D229">
        <v>140.16999799999999</v>
      </c>
      <c r="E229">
        <v>140.55999800000001</v>
      </c>
      <c r="F229">
        <v>134.287384</v>
      </c>
      <c r="G229">
        <v>3053700</v>
      </c>
      <c r="I229">
        <f t="shared" si="3"/>
        <v>6.9249037807238957E-3</v>
      </c>
    </row>
    <row r="230" spans="1:9">
      <c r="A230" s="2">
        <v>43585</v>
      </c>
      <c r="B230">
        <v>139.11000100000001</v>
      </c>
      <c r="C230">
        <v>140.44000199999999</v>
      </c>
      <c r="D230">
        <v>138.679993</v>
      </c>
      <c r="E230">
        <v>140.270004</v>
      </c>
      <c r="F230">
        <v>134.010345</v>
      </c>
      <c r="G230">
        <v>4638800</v>
      </c>
      <c r="I230">
        <f t="shared" si="3"/>
        <v>-2.0652644020304079E-3</v>
      </c>
    </row>
    <row r="231" spans="1:9">
      <c r="A231" s="2">
        <v>43584</v>
      </c>
      <c r="B231">
        <v>139.14999399999999</v>
      </c>
      <c r="C231">
        <v>139.63000500000001</v>
      </c>
      <c r="D231">
        <v>138.80999800000001</v>
      </c>
      <c r="E231">
        <v>139.050003</v>
      </c>
      <c r="F231">
        <v>132.84478799999999</v>
      </c>
      <c r="G231">
        <v>2958300</v>
      </c>
      <c r="I231">
        <f t="shared" si="3"/>
        <v>-8.7355629930655192E-3</v>
      </c>
    </row>
    <row r="232" spans="1:9">
      <c r="A232" s="2">
        <v>43581</v>
      </c>
      <c r="B232">
        <v>139.33999600000001</v>
      </c>
      <c r="C232">
        <v>139.88999899999999</v>
      </c>
      <c r="D232">
        <v>138.80999800000001</v>
      </c>
      <c r="E232">
        <v>139.44000199999999</v>
      </c>
      <c r="F232">
        <v>133.217377</v>
      </c>
      <c r="G232">
        <v>2319800</v>
      </c>
      <c r="I232">
        <f t="shared" si="3"/>
        <v>2.8008132999053862E-3</v>
      </c>
    </row>
    <row r="233" spans="1:9">
      <c r="A233" s="2">
        <v>43580</v>
      </c>
      <c r="B233">
        <v>139.699997</v>
      </c>
      <c r="C233">
        <v>139.75</v>
      </c>
      <c r="D233">
        <v>137.71000699999999</v>
      </c>
      <c r="E233">
        <v>138.63000500000001</v>
      </c>
      <c r="F233">
        <v>132.44352699999999</v>
      </c>
      <c r="G233">
        <v>2910100</v>
      </c>
      <c r="I233">
        <f t="shared" si="3"/>
        <v>-5.8258659373384633E-3</v>
      </c>
    </row>
    <row r="234" spans="1:9">
      <c r="A234" s="2">
        <v>43579</v>
      </c>
      <c r="B234">
        <v>140.60000600000001</v>
      </c>
      <c r="C234">
        <v>141.30999800000001</v>
      </c>
      <c r="D234">
        <v>139.779999</v>
      </c>
      <c r="E234">
        <v>139.949997</v>
      </c>
      <c r="F234">
        <v>133.70460499999999</v>
      </c>
      <c r="G234">
        <v>2774900</v>
      </c>
      <c r="I234">
        <f t="shared" si="3"/>
        <v>9.4766449077214911E-3</v>
      </c>
    </row>
    <row r="235" spans="1:9">
      <c r="A235" s="2">
        <v>43578</v>
      </c>
      <c r="B235">
        <v>139.14999399999999</v>
      </c>
      <c r="C235">
        <v>140.91999799999999</v>
      </c>
      <c r="D235">
        <v>138.94000199999999</v>
      </c>
      <c r="E235">
        <v>140.44000199999999</v>
      </c>
      <c r="F235">
        <v>134.17274499999999</v>
      </c>
      <c r="G235">
        <v>4462200</v>
      </c>
      <c r="I235">
        <f t="shared" si="3"/>
        <v>3.4951710159533468E-3</v>
      </c>
    </row>
    <row r="236" spans="1:9">
      <c r="A236" s="2">
        <v>43577</v>
      </c>
      <c r="B236">
        <v>139.41999799999999</v>
      </c>
      <c r="C236">
        <v>140.55999800000001</v>
      </c>
      <c r="D236">
        <v>138.479996</v>
      </c>
      <c r="E236">
        <v>138.88999899999999</v>
      </c>
      <c r="F236">
        <v>132.691925</v>
      </c>
      <c r="G236">
        <v>4494000</v>
      </c>
      <c r="I236">
        <f t="shared" si="3"/>
        <v>-1.1098119813003208E-2</v>
      </c>
    </row>
    <row r="237" spans="1:9">
      <c r="A237" s="2">
        <v>43573</v>
      </c>
      <c r="B237">
        <v>139</v>
      </c>
      <c r="C237">
        <v>140.490005</v>
      </c>
      <c r="D237">
        <v>138.699997</v>
      </c>
      <c r="E237">
        <v>140.33000200000001</v>
      </c>
      <c r="F237">
        <v>134.067657</v>
      </c>
      <c r="G237">
        <v>4960000</v>
      </c>
      <c r="I237">
        <f t="shared" si="3"/>
        <v>1.0314560286979271E-2</v>
      </c>
    </row>
    <row r="238" spans="1:9">
      <c r="A238" s="2">
        <v>43572</v>
      </c>
      <c r="B238">
        <v>137.36999499999999</v>
      </c>
      <c r="C238">
        <v>141.979996</v>
      </c>
      <c r="D238">
        <v>136.259995</v>
      </c>
      <c r="E238">
        <v>139.11000100000001</v>
      </c>
      <c r="F238">
        <v>132.90211500000001</v>
      </c>
      <c r="G238">
        <v>12525700</v>
      </c>
      <c r="I238">
        <f t="shared" si="3"/>
        <v>-8.7318117551292793E-3</v>
      </c>
    </row>
    <row r="239" spans="1:9">
      <c r="A239" s="2">
        <v>43571</v>
      </c>
      <c r="B239">
        <v>144.39999399999999</v>
      </c>
      <c r="C239">
        <v>145.38999899999999</v>
      </c>
      <c r="D239">
        <v>144.020004</v>
      </c>
      <c r="E239">
        <v>145.13999899999999</v>
      </c>
      <c r="F239">
        <v>138.663025</v>
      </c>
      <c r="G239">
        <v>6301700</v>
      </c>
      <c r="I239">
        <f t="shared" si="3"/>
        <v>4.2433792700056414E-2</v>
      </c>
    </row>
    <row r="240" spans="1:9">
      <c r="A240" s="2">
        <v>43570</v>
      </c>
      <c r="B240">
        <v>144.39999399999999</v>
      </c>
      <c r="C240">
        <v>144.46000699999999</v>
      </c>
      <c r="D240">
        <v>143.270004</v>
      </c>
      <c r="E240">
        <v>143.89999399999999</v>
      </c>
      <c r="F240">
        <v>137.47834800000001</v>
      </c>
      <c r="G240">
        <v>3603200</v>
      </c>
      <c r="I240">
        <f t="shared" si="3"/>
        <v>-8.5802147623921243E-3</v>
      </c>
    </row>
    <row r="241" spans="1:9">
      <c r="A241" s="2">
        <v>43567</v>
      </c>
      <c r="B241">
        <v>144.259995</v>
      </c>
      <c r="C241">
        <v>144.44000199999999</v>
      </c>
      <c r="D241">
        <v>143.699997</v>
      </c>
      <c r="E241">
        <v>144.35000600000001</v>
      </c>
      <c r="F241">
        <v>137.908264</v>
      </c>
      <c r="G241">
        <v>2898900</v>
      </c>
      <c r="I241">
        <f t="shared" si="3"/>
        <v>3.1223754768830644E-3</v>
      </c>
    </row>
    <row r="242" spans="1:9">
      <c r="A242" s="2">
        <v>43566</v>
      </c>
      <c r="B242">
        <v>143.800003</v>
      </c>
      <c r="C242">
        <v>144.11000100000001</v>
      </c>
      <c r="D242">
        <v>143.029999</v>
      </c>
      <c r="E242">
        <v>143.779999</v>
      </c>
      <c r="F242">
        <v>137.36369300000001</v>
      </c>
      <c r="G242">
        <v>2942000</v>
      </c>
      <c r="I242">
        <f t="shared" si="3"/>
        <v>-3.9566010739271514E-3</v>
      </c>
    </row>
    <row r="243" spans="1:9">
      <c r="A243" s="2">
        <v>43565</v>
      </c>
      <c r="B243">
        <v>142.199997</v>
      </c>
      <c r="C243">
        <v>143.5</v>
      </c>
      <c r="D243">
        <v>141.979996</v>
      </c>
      <c r="E243">
        <v>143.020004</v>
      </c>
      <c r="F243">
        <v>136.637619</v>
      </c>
      <c r="G243">
        <v>2678000</v>
      </c>
      <c r="I243">
        <f t="shared" si="3"/>
        <v>-5.2998380122894215E-3</v>
      </c>
    </row>
    <row r="244" spans="1:9">
      <c r="A244" s="2">
        <v>43564</v>
      </c>
      <c r="B244">
        <v>142.66000399999999</v>
      </c>
      <c r="C244">
        <v>142.949997</v>
      </c>
      <c r="D244">
        <v>141.83999600000001</v>
      </c>
      <c r="E244">
        <v>142.11000100000001</v>
      </c>
      <c r="F244">
        <v>135.76821899999999</v>
      </c>
      <c r="G244">
        <v>3038500</v>
      </c>
      <c r="I244">
        <f t="shared" si="3"/>
        <v>-6.383095947793232E-3</v>
      </c>
    </row>
    <row r="245" spans="1:9">
      <c r="A245" s="2">
        <v>43563</v>
      </c>
      <c r="B245">
        <v>143.020004</v>
      </c>
      <c r="C245">
        <v>143.41999799999999</v>
      </c>
      <c r="D245">
        <v>142.86999499999999</v>
      </c>
      <c r="E245">
        <v>143.38999899999999</v>
      </c>
      <c r="F245">
        <v>136.99110400000001</v>
      </c>
      <c r="G245">
        <v>2118200</v>
      </c>
      <c r="I245">
        <f t="shared" si="3"/>
        <v>8.9667711123881388E-3</v>
      </c>
    </row>
    <row r="246" spans="1:9">
      <c r="A246" s="2">
        <v>43560</v>
      </c>
      <c r="B246">
        <v>143.28999300000001</v>
      </c>
      <c r="C246">
        <v>143.5</v>
      </c>
      <c r="D246">
        <v>142.46000699999999</v>
      </c>
      <c r="E246">
        <v>143.279999</v>
      </c>
      <c r="F246">
        <v>136.88601700000001</v>
      </c>
      <c r="G246">
        <v>2731800</v>
      </c>
      <c r="I246">
        <f t="shared" si="3"/>
        <v>-7.6743297984556858E-4</v>
      </c>
    </row>
    <row r="247" spans="1:9">
      <c r="A247" s="2">
        <v>43559</v>
      </c>
      <c r="B247">
        <v>143.61999499999999</v>
      </c>
      <c r="C247">
        <v>144.13999899999999</v>
      </c>
      <c r="D247">
        <v>142.53999300000001</v>
      </c>
      <c r="E247">
        <v>142.779999</v>
      </c>
      <c r="F247">
        <v>136.40832499999999</v>
      </c>
      <c r="G247">
        <v>2771100</v>
      </c>
      <c r="I247">
        <f t="shared" si="3"/>
        <v>-3.4957737025827031E-3</v>
      </c>
    </row>
    <row r="248" spans="1:9">
      <c r="A248" s="2">
        <v>43558</v>
      </c>
      <c r="B248">
        <v>143.64999399999999</v>
      </c>
      <c r="C248">
        <v>144.220001</v>
      </c>
      <c r="D248">
        <v>143.009995</v>
      </c>
      <c r="E248">
        <v>143.63000500000001</v>
      </c>
      <c r="F248">
        <v>137.220383</v>
      </c>
      <c r="G248">
        <v>2681200</v>
      </c>
      <c r="I248">
        <f t="shared" si="3"/>
        <v>5.9356061848673198E-3</v>
      </c>
    </row>
    <row r="249" spans="1:9">
      <c r="A249" s="2">
        <v>43557</v>
      </c>
      <c r="B249">
        <v>143.35000600000001</v>
      </c>
      <c r="C249">
        <v>143.949997</v>
      </c>
      <c r="D249">
        <v>142.60000600000001</v>
      </c>
      <c r="E249">
        <v>143</v>
      </c>
      <c r="F249">
        <v>136.618515</v>
      </c>
      <c r="G249">
        <v>2404800</v>
      </c>
      <c r="I249">
        <f t="shared" si="3"/>
        <v>-4.3959529954924591E-3</v>
      </c>
    </row>
    <row r="250" spans="1:9">
      <c r="A250" s="2">
        <v>43556</v>
      </c>
      <c r="B250">
        <v>141.509995</v>
      </c>
      <c r="C250">
        <v>143.41000399999999</v>
      </c>
      <c r="D250">
        <v>141.509995</v>
      </c>
      <c r="E250">
        <v>143.300003</v>
      </c>
      <c r="F250">
        <v>136.905136</v>
      </c>
      <c r="G250">
        <v>3984300</v>
      </c>
      <c r="I250">
        <f t="shared" si="3"/>
        <v>2.0957255093199123E-3</v>
      </c>
    </row>
    <row r="251" spans="1:9">
      <c r="A251" s="2">
        <v>43553</v>
      </c>
      <c r="B251">
        <v>140.5</v>
      </c>
      <c r="C251">
        <v>141.220001</v>
      </c>
      <c r="D251">
        <v>140.14999399999999</v>
      </c>
      <c r="E251">
        <v>141.10000600000001</v>
      </c>
      <c r="F251">
        <v>134.803314</v>
      </c>
      <c r="G251">
        <v>3101400</v>
      </c>
      <c r="I251">
        <f t="shared" si="3"/>
        <v>-1.5471454387426396E-2</v>
      </c>
    </row>
    <row r="252" spans="1:9">
      <c r="A252" s="2">
        <v>43552</v>
      </c>
      <c r="B252">
        <v>139.91000399999999</v>
      </c>
      <c r="C252">
        <v>140.44000199999999</v>
      </c>
      <c r="D252">
        <v>139.10000600000001</v>
      </c>
      <c r="E252">
        <v>139.91999799999999</v>
      </c>
      <c r="F252">
        <v>133.67596399999999</v>
      </c>
      <c r="G252">
        <v>2663900</v>
      </c>
      <c r="I252">
        <f t="shared" si="3"/>
        <v>-8.398084965336514E-3</v>
      </c>
    </row>
    <row r="253" spans="1:9">
      <c r="A253" s="2">
        <v>43551</v>
      </c>
      <c r="B253">
        <v>140.41000399999999</v>
      </c>
      <c r="C253">
        <v>140.490005</v>
      </c>
      <c r="D253">
        <v>138.39999399999999</v>
      </c>
      <c r="E253">
        <v>139.240005</v>
      </c>
      <c r="F253">
        <v>133.02630600000001</v>
      </c>
      <c r="G253">
        <v>3098200</v>
      </c>
      <c r="I253">
        <f t="shared" si="3"/>
        <v>-4.8717175640053028E-3</v>
      </c>
    </row>
    <row r="254" spans="1:9">
      <c r="A254" s="2">
        <v>43550</v>
      </c>
      <c r="B254">
        <v>139.929993</v>
      </c>
      <c r="C254">
        <v>141.020004</v>
      </c>
      <c r="D254">
        <v>139.41999799999999</v>
      </c>
      <c r="E254">
        <v>140.220001</v>
      </c>
      <c r="F254">
        <v>133.96257</v>
      </c>
      <c r="G254">
        <v>2553700</v>
      </c>
    </row>
  </sheetData>
  <sortState xmlns:xlrd2="http://schemas.microsoft.com/office/spreadsheetml/2017/richdata2" ref="A2:H254">
    <sortCondition descending="1" ref="A172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18"/>
  <sheetViews>
    <sheetView tabSelected="1" zoomScale="75" workbookViewId="0">
      <selection activeCell="B38" sqref="B38"/>
    </sheetView>
  </sheetViews>
  <sheetFormatPr defaultColWidth="10.6640625" defaultRowHeight="15.5"/>
  <cols>
    <col min="1" max="1" width="19.6640625" bestFit="1" customWidth="1"/>
    <col min="2" max="2" width="23.1640625" style="1" bestFit="1" customWidth="1"/>
    <col min="3" max="3" width="21" bestFit="1" customWidth="1"/>
    <col min="4" max="4" width="9.5" bestFit="1" customWidth="1"/>
    <col min="5" max="6" width="6.83203125" bestFit="1" customWidth="1"/>
    <col min="7" max="7" width="7.5" bestFit="1" customWidth="1"/>
    <col min="8" max="8" width="9.83203125" bestFit="1" customWidth="1"/>
    <col min="9" max="9" width="8.5" bestFit="1" customWidth="1"/>
    <col min="10" max="10" width="13.5" bestFit="1" customWidth="1"/>
    <col min="11" max="11" width="16.6640625" bestFit="1" customWidth="1"/>
    <col min="12" max="12" width="18.33203125" bestFit="1" customWidth="1"/>
    <col min="13" max="13" width="12.9140625" customWidth="1"/>
  </cols>
  <sheetData>
    <row r="1" spans="1:13">
      <c r="A1" s="4" t="s">
        <v>20</v>
      </c>
      <c r="B1" s="14" t="s">
        <v>21</v>
      </c>
      <c r="C1" s="4" t="s">
        <v>22</v>
      </c>
      <c r="D1" s="4" t="s">
        <v>23</v>
      </c>
      <c r="E1" s="4" t="s">
        <v>24</v>
      </c>
      <c r="F1" s="4" t="s">
        <v>25</v>
      </c>
      <c r="G1" s="4" t="s">
        <v>26</v>
      </c>
      <c r="H1" s="4" t="s">
        <v>27</v>
      </c>
      <c r="I1" s="4" t="s">
        <v>28</v>
      </c>
      <c r="J1" s="4" t="s">
        <v>29</v>
      </c>
      <c r="K1" s="4" t="s">
        <v>30</v>
      </c>
      <c r="L1" s="4" t="s">
        <v>31</v>
      </c>
      <c r="M1" s="4" t="s">
        <v>93</v>
      </c>
    </row>
    <row r="2" spans="1:13">
      <c r="A2" s="13" t="s">
        <v>32</v>
      </c>
      <c r="B2" s="15" t="s">
        <v>19</v>
      </c>
      <c r="C2" s="10">
        <v>50</v>
      </c>
      <c r="D2" s="11">
        <v>55</v>
      </c>
      <c r="E2" s="11">
        <v>60.65</v>
      </c>
      <c r="F2" s="11">
        <v>65.400000000000006</v>
      </c>
      <c r="G2" s="11">
        <v>0</v>
      </c>
      <c r="H2" s="11" t="s">
        <v>16</v>
      </c>
      <c r="I2" s="11">
        <v>30</v>
      </c>
      <c r="J2" s="11">
        <v>30</v>
      </c>
      <c r="K2" s="12">
        <v>0.73350000000000004</v>
      </c>
      <c r="L2">
        <f>blackscholes(IBM!$E$2,Options!C2,(($D$35)/365),IBM!$K$2, 0.01)</f>
        <v>56.451564976909054</v>
      </c>
      <c r="M2">
        <f>L2-F2</f>
        <v>-8.9484350230909513</v>
      </c>
    </row>
    <row r="3" spans="1:13">
      <c r="A3" s="13" t="s">
        <v>33</v>
      </c>
      <c r="B3" s="15" t="s">
        <v>34</v>
      </c>
      <c r="C3" s="10">
        <v>60</v>
      </c>
      <c r="D3" s="11">
        <v>35.159999999999997</v>
      </c>
      <c r="E3" s="11">
        <v>49.35</v>
      </c>
      <c r="F3" s="11">
        <v>52.75</v>
      </c>
      <c r="G3" s="11">
        <v>0</v>
      </c>
      <c r="H3" s="11" t="s">
        <v>16</v>
      </c>
      <c r="I3" s="11">
        <v>10</v>
      </c>
      <c r="J3" s="11">
        <v>16</v>
      </c>
      <c r="K3" s="12">
        <v>0</v>
      </c>
      <c r="L3" cm="1">
        <f t="array" ref="L3">blackscholes(IBM!$E$2,Options!C3,(($D$35)/365),IBM!$K$2, 0.01)</f>
        <v>46.925098767545393</v>
      </c>
      <c r="M3">
        <f t="shared" ref="M3:M33" si="0">L3-F3</f>
        <v>-5.8249012324546072</v>
      </c>
    </row>
    <row r="4" spans="1:13">
      <c r="A4" s="13" t="s">
        <v>35</v>
      </c>
      <c r="B4" s="15" t="s">
        <v>36</v>
      </c>
      <c r="C4" s="10">
        <v>65</v>
      </c>
      <c r="D4" s="11">
        <v>91.9</v>
      </c>
      <c r="E4" s="11">
        <v>59.2</v>
      </c>
      <c r="F4" s="11">
        <v>62.8</v>
      </c>
      <c r="G4" s="11">
        <v>0</v>
      </c>
      <c r="H4" s="11" t="s">
        <v>16</v>
      </c>
      <c r="I4" s="11">
        <v>730</v>
      </c>
      <c r="J4" s="11">
        <v>0</v>
      </c>
      <c r="K4" s="12">
        <v>1.0451999999999999</v>
      </c>
      <c r="L4" cm="1">
        <f t="array" ref="L4">blackscholes(IBM!$E$2,Options!C4,(($D$35)/365),IBM!$K$2, 0.01)</f>
        <v>42.364277414945967</v>
      </c>
      <c r="M4">
        <f t="shared" si="0"/>
        <v>-20.43572258505403</v>
      </c>
    </row>
    <row r="5" spans="1:13">
      <c r="A5" s="13" t="s">
        <v>37</v>
      </c>
      <c r="B5" s="15" t="s">
        <v>38</v>
      </c>
      <c r="C5" s="10">
        <v>70</v>
      </c>
      <c r="D5" s="11">
        <v>35.299999999999997</v>
      </c>
      <c r="E5" s="11">
        <v>41.05</v>
      </c>
      <c r="F5" s="11">
        <v>45.8</v>
      </c>
      <c r="G5" s="11">
        <v>0</v>
      </c>
      <c r="H5" s="11" t="s">
        <v>16</v>
      </c>
      <c r="I5" s="11">
        <v>9</v>
      </c>
      <c r="J5" s="11">
        <v>10</v>
      </c>
      <c r="K5" s="12">
        <v>0.4995</v>
      </c>
      <c r="L5" cm="1">
        <f t="array" ref="L5">blackscholes(IBM!$E$2,Options!C5,(($D$35)/365),IBM!$K$2, 0.01)</f>
        <v>37.995705572933737</v>
      </c>
      <c r="M5">
        <f t="shared" si="0"/>
        <v>-7.8042944270662602</v>
      </c>
    </row>
    <row r="6" spans="1:13">
      <c r="A6" s="13" t="s">
        <v>39</v>
      </c>
      <c r="B6" s="15" t="s">
        <v>40</v>
      </c>
      <c r="C6" s="10">
        <v>75</v>
      </c>
      <c r="D6" s="11">
        <v>39</v>
      </c>
      <c r="E6" s="11">
        <v>36.950000000000003</v>
      </c>
      <c r="F6" s="11">
        <v>41.2</v>
      </c>
      <c r="G6" s="11">
        <v>5.7</v>
      </c>
      <c r="H6" s="12">
        <v>0.17119999999999999</v>
      </c>
      <c r="I6" s="11">
        <v>21</v>
      </c>
      <c r="J6" s="11">
        <v>41</v>
      </c>
      <c r="K6" s="12">
        <v>0.4647</v>
      </c>
      <c r="L6" cm="1">
        <f t="array" ref="L6">blackscholes(IBM!$E$2,Options!C6,(($D$35)/365),IBM!$K$2, 0.01)</f>
        <v>33.858637556335793</v>
      </c>
      <c r="M6">
        <f t="shared" si="0"/>
        <v>-7.3413624436642095</v>
      </c>
    </row>
    <row r="7" spans="1:13">
      <c r="A7" s="13" t="s">
        <v>41</v>
      </c>
      <c r="B7" s="15" t="s">
        <v>42</v>
      </c>
      <c r="C7" s="10">
        <v>80</v>
      </c>
      <c r="D7" s="11">
        <v>32.99</v>
      </c>
      <c r="E7" s="11">
        <v>32.5</v>
      </c>
      <c r="F7" s="11">
        <v>37</v>
      </c>
      <c r="G7" s="11">
        <v>5.69</v>
      </c>
      <c r="H7" s="12">
        <v>0.2084</v>
      </c>
      <c r="I7" s="11">
        <v>15</v>
      </c>
      <c r="J7" s="11">
        <v>107</v>
      </c>
      <c r="K7" s="12">
        <v>0.4466</v>
      </c>
      <c r="L7" cm="1">
        <f t="array" ref="L7">blackscholes(IBM!$E$2,Options!C7,(($D$35)/365),IBM!$K$2, 0.01)</f>
        <v>29.98532487797122</v>
      </c>
      <c r="M7">
        <f t="shared" si="0"/>
        <v>-7.0146751220287804</v>
      </c>
    </row>
    <row r="8" spans="1:13">
      <c r="A8" s="13" t="s">
        <v>43</v>
      </c>
      <c r="B8" s="15" t="s">
        <v>44</v>
      </c>
      <c r="C8" s="10">
        <v>85</v>
      </c>
      <c r="D8" s="11">
        <v>29.15</v>
      </c>
      <c r="E8" s="11">
        <v>28.5</v>
      </c>
      <c r="F8" s="11">
        <v>32.799999999999997</v>
      </c>
      <c r="G8" s="11">
        <v>4.8499999999999996</v>
      </c>
      <c r="H8" s="12">
        <v>0.1996</v>
      </c>
      <c r="I8" s="11">
        <v>1</v>
      </c>
      <c r="J8" s="11">
        <v>34</v>
      </c>
      <c r="K8" s="12">
        <v>0.42370000000000002</v>
      </c>
      <c r="L8" cm="1">
        <f t="array" ref="L8">blackscholes(IBM!$E$2,Options!C8,(($D$35)/365),IBM!$K$2, 0.01)</f>
        <v>26.399088280575835</v>
      </c>
      <c r="M8">
        <f t="shared" si="0"/>
        <v>-6.4009117194241618</v>
      </c>
    </row>
    <row r="9" spans="1:13">
      <c r="A9" s="13" t="s">
        <v>45</v>
      </c>
      <c r="B9" s="15" t="s">
        <v>46</v>
      </c>
      <c r="C9" s="10">
        <v>90</v>
      </c>
      <c r="D9" s="11">
        <v>19.350000000000001</v>
      </c>
      <c r="E9" s="11">
        <v>24.5</v>
      </c>
      <c r="F9" s="11">
        <v>28.8</v>
      </c>
      <c r="G9" s="11">
        <v>0</v>
      </c>
      <c r="H9" s="11" t="s">
        <v>16</v>
      </c>
      <c r="I9" s="11">
        <v>10</v>
      </c>
      <c r="J9" s="11">
        <v>52</v>
      </c>
      <c r="K9" s="12">
        <v>0.40400000000000003</v>
      </c>
      <c r="L9" cm="1">
        <f t="array" ref="L9">blackscholes(IBM!$E$2,Options!C9,(($D$35)/365),IBM!$K$2, 0.01)</f>
        <v>23.113644880262473</v>
      </c>
      <c r="M9">
        <f t="shared" si="0"/>
        <v>-5.6863551197375273</v>
      </c>
    </row>
    <row r="10" spans="1:13">
      <c r="A10" s="13" t="s">
        <v>47</v>
      </c>
      <c r="B10" s="15" t="s">
        <v>48</v>
      </c>
      <c r="C10" s="10">
        <v>95</v>
      </c>
      <c r="D10" s="11">
        <v>22</v>
      </c>
      <c r="E10" s="11">
        <v>21</v>
      </c>
      <c r="F10" s="11">
        <v>25.2</v>
      </c>
      <c r="G10" s="11">
        <v>0</v>
      </c>
      <c r="H10" s="11" t="s">
        <v>16</v>
      </c>
      <c r="I10" s="11">
        <v>3</v>
      </c>
      <c r="J10" s="11">
        <v>240</v>
      </c>
      <c r="K10" s="12">
        <v>0.39219999999999999</v>
      </c>
      <c r="L10" cm="1">
        <f t="array" ref="L10">blackscholes(IBM!$E$2,Options!C10,(($D$35)/365),IBM!$K$2, 0.01)</f>
        <v>20.133464259598789</v>
      </c>
      <c r="M10">
        <f t="shared" si="0"/>
        <v>-5.0665357404012106</v>
      </c>
    </row>
    <row r="11" spans="1:13">
      <c r="A11" s="13" t="s">
        <v>49</v>
      </c>
      <c r="B11" s="15" t="s">
        <v>50</v>
      </c>
      <c r="C11" s="10">
        <v>100</v>
      </c>
      <c r="D11" s="11">
        <v>18.05</v>
      </c>
      <c r="E11" s="11">
        <v>17.5</v>
      </c>
      <c r="F11" s="11">
        <v>21.8</v>
      </c>
      <c r="G11" s="11">
        <v>0.05</v>
      </c>
      <c r="H11" s="12">
        <v>2.8E-3</v>
      </c>
      <c r="I11" s="11">
        <v>18</v>
      </c>
      <c r="J11" s="11">
        <v>451</v>
      </c>
      <c r="K11" s="12">
        <v>0.38</v>
      </c>
      <c r="L11" cm="1">
        <f t="array" ref="L11">blackscholes(IBM!$E$2,Options!C11,(($D$35)/365),IBM!$K$2, 0.01)</f>
        <v>17.454839036862975</v>
      </c>
      <c r="M11">
        <f t="shared" si="0"/>
        <v>-4.345160963137026</v>
      </c>
    </row>
    <row r="12" spans="1:13">
      <c r="A12" s="13" t="s">
        <v>51</v>
      </c>
      <c r="B12" s="15" t="s">
        <v>52</v>
      </c>
      <c r="C12" s="10">
        <v>105</v>
      </c>
      <c r="D12" s="11">
        <v>15.5</v>
      </c>
      <c r="E12" s="11">
        <v>14.5</v>
      </c>
      <c r="F12" s="11">
        <v>19</v>
      </c>
      <c r="G12" s="11">
        <v>1.1499999999999999</v>
      </c>
      <c r="H12" s="12">
        <v>8.0100000000000005E-2</v>
      </c>
      <c r="I12" s="11">
        <v>21</v>
      </c>
      <c r="J12" s="17">
        <v>2035</v>
      </c>
      <c r="K12" s="12">
        <v>0.37790000000000001</v>
      </c>
      <c r="L12" cm="1">
        <f t="array" ref="L12">blackscholes(IBM!$E$2,Options!C12,(($D$35)/365),IBM!$K$2, 0.01)</f>
        <v>15.067357474406743</v>
      </c>
      <c r="M12">
        <f t="shared" si="0"/>
        <v>-3.9326425255932573</v>
      </c>
    </row>
    <row r="13" spans="1:13">
      <c r="A13" s="13" t="s">
        <v>53</v>
      </c>
      <c r="B13" s="15" t="s">
        <v>54</v>
      </c>
      <c r="C13" s="10">
        <v>110</v>
      </c>
      <c r="D13" s="11">
        <v>12.7</v>
      </c>
      <c r="E13" s="11">
        <v>11.5</v>
      </c>
      <c r="F13" s="11">
        <v>16.05</v>
      </c>
      <c r="G13" s="11">
        <v>-1.3</v>
      </c>
      <c r="H13" s="12">
        <v>-9.2899999999999996E-2</v>
      </c>
      <c r="I13" s="11">
        <v>109</v>
      </c>
      <c r="J13" s="11">
        <v>255</v>
      </c>
      <c r="K13" s="12">
        <v>0.36520000000000002</v>
      </c>
      <c r="L13" cm="1">
        <f t="array" ref="L13">blackscholes(IBM!$E$2,Options!C13,(($D$35)/365),IBM!$K$2, 0.01)</f>
        <v>12.955518165196624</v>
      </c>
      <c r="M13">
        <f t="shared" si="0"/>
        <v>-3.0944818348033767</v>
      </c>
    </row>
    <row r="14" spans="1:13">
      <c r="A14" s="13" t="s">
        <v>55</v>
      </c>
      <c r="B14" s="15" t="s">
        <v>56</v>
      </c>
      <c r="C14" s="10">
        <v>115</v>
      </c>
      <c r="D14" s="11">
        <v>10.75</v>
      </c>
      <c r="E14" s="11">
        <v>8.9</v>
      </c>
      <c r="F14" s="11">
        <v>12.3</v>
      </c>
      <c r="G14" s="11">
        <v>0.6</v>
      </c>
      <c r="H14" s="12">
        <v>5.91E-2</v>
      </c>
      <c r="I14" s="11">
        <v>8</v>
      </c>
      <c r="J14" s="11">
        <v>375</v>
      </c>
      <c r="K14" s="12">
        <v>0.32669999999999999</v>
      </c>
      <c r="L14" cm="1">
        <f t="array" ref="L14">blackscholes(IBM!$E$2,Options!C14,(($D$35)/365),IBM!$K$2, 0.01)</f>
        <v>11.100298046561875</v>
      </c>
      <c r="M14">
        <f t="shared" si="0"/>
        <v>-1.1997019534381259</v>
      </c>
    </row>
    <row r="15" spans="1:13">
      <c r="A15" s="13" t="s">
        <v>57</v>
      </c>
      <c r="B15" s="15" t="s">
        <v>17</v>
      </c>
      <c r="C15" s="10">
        <v>120</v>
      </c>
      <c r="D15" s="11">
        <v>8.24</v>
      </c>
      <c r="E15" s="11">
        <v>7.25</v>
      </c>
      <c r="F15" s="11">
        <v>10.199999999999999</v>
      </c>
      <c r="G15" s="11">
        <v>0.99</v>
      </c>
      <c r="H15" s="12">
        <v>0.1366</v>
      </c>
      <c r="I15" s="11">
        <v>27</v>
      </c>
      <c r="J15" s="17">
        <v>1322</v>
      </c>
      <c r="K15" s="12">
        <v>0.32279999999999998</v>
      </c>
      <c r="L15" cm="1">
        <f t="array" ref="L15">blackscholes(IBM!$E$2,Options!C15,(($D$35)/365),IBM!$K$2, 0.01)</f>
        <v>9.4805546841347219</v>
      </c>
      <c r="M15">
        <f t="shared" si="0"/>
        <v>-0.71944531586527738</v>
      </c>
    </row>
    <row r="16" spans="1:13">
      <c r="A16" s="13" t="s">
        <v>58</v>
      </c>
      <c r="B16" s="15" t="s">
        <v>59</v>
      </c>
      <c r="C16" s="10">
        <v>125</v>
      </c>
      <c r="D16" s="11">
        <v>6.51</v>
      </c>
      <c r="E16" s="11">
        <v>5</v>
      </c>
      <c r="F16" s="11">
        <v>7.5</v>
      </c>
      <c r="G16" s="11">
        <v>-0.89</v>
      </c>
      <c r="H16" s="12">
        <v>-0.1203</v>
      </c>
      <c r="I16" s="11">
        <v>376</v>
      </c>
      <c r="J16" s="17">
        <v>1438</v>
      </c>
      <c r="K16" s="12">
        <v>0.2969</v>
      </c>
      <c r="L16" cm="1">
        <f t="array" ref="L16">blackscholes(IBM!$E$2,Options!C16,(($D$35)/365),IBM!$K$2, 0.01)</f>
        <v>8.0742016579754505</v>
      </c>
      <c r="M16">
        <f t="shared" si="0"/>
        <v>0.57420165797545053</v>
      </c>
    </row>
    <row r="17" spans="1:13">
      <c r="A17" s="13" t="s">
        <v>60</v>
      </c>
      <c r="B17" s="15" t="s">
        <v>61</v>
      </c>
      <c r="C17" s="10">
        <v>130</v>
      </c>
      <c r="D17" s="11">
        <v>4.95</v>
      </c>
      <c r="E17" s="11">
        <v>3</v>
      </c>
      <c r="F17" s="11">
        <v>5.5</v>
      </c>
      <c r="G17" s="11">
        <v>0.8</v>
      </c>
      <c r="H17" s="12">
        <v>0.1928</v>
      </c>
      <c r="I17" s="11">
        <v>13</v>
      </c>
      <c r="J17" s="17">
        <v>1251</v>
      </c>
      <c r="K17" s="12">
        <v>0.28060000000000002</v>
      </c>
      <c r="L17" cm="1">
        <f t="array" ref="L17">blackscholes(IBM!$E$2,Options!C17,(($D$35)/365),IBM!$K$2, 0.01)</f>
        <v>6.8591386128528553</v>
      </c>
      <c r="M17">
        <f t="shared" si="0"/>
        <v>1.3591386128528553</v>
      </c>
    </row>
    <row r="18" spans="1:13">
      <c r="A18" s="13" t="s">
        <v>62</v>
      </c>
      <c r="B18" s="15" t="s">
        <v>63</v>
      </c>
      <c r="C18" s="10">
        <v>135</v>
      </c>
      <c r="D18" s="11">
        <v>3.4</v>
      </c>
      <c r="E18" s="11">
        <v>2.54</v>
      </c>
      <c r="F18" s="11">
        <v>4.0999999999999996</v>
      </c>
      <c r="G18" s="11">
        <v>0.55000000000000004</v>
      </c>
      <c r="H18" s="12">
        <v>0.193</v>
      </c>
      <c r="I18" s="11">
        <v>53</v>
      </c>
      <c r="J18" s="17">
        <v>3664</v>
      </c>
      <c r="K18" s="12">
        <v>0.27229999999999999</v>
      </c>
      <c r="L18" cm="1">
        <f t="array" ref="L18">blackscholes(IBM!$E$2,Options!C18,(($D$35)/365),IBM!$K$2, 0.01)</f>
        <v>5.81394578991224</v>
      </c>
      <c r="M18">
        <f t="shared" si="0"/>
        <v>1.7139457899122403</v>
      </c>
    </row>
    <row r="19" spans="1:13">
      <c r="A19" s="13" t="s">
        <v>64</v>
      </c>
      <c r="B19" s="15" t="s">
        <v>65</v>
      </c>
      <c r="C19" s="10">
        <v>140</v>
      </c>
      <c r="D19" s="11">
        <v>2.5499999999999998</v>
      </c>
      <c r="E19" s="11">
        <v>2</v>
      </c>
      <c r="F19" s="11">
        <v>2.5</v>
      </c>
      <c r="G19" s="11">
        <v>0.55000000000000004</v>
      </c>
      <c r="H19" s="12">
        <v>0.27500000000000002</v>
      </c>
      <c r="I19" s="11">
        <v>679</v>
      </c>
      <c r="J19" s="17">
        <v>3483</v>
      </c>
      <c r="K19" s="12">
        <v>0.24809999999999999</v>
      </c>
      <c r="L19" cm="1">
        <f t="array" ref="L19">blackscholes(IBM!$E$2,Options!C19,(($D$35)/365),IBM!$K$2, 0.01)</f>
        <v>4.9183692014043192</v>
      </c>
      <c r="M19">
        <f t="shared" si="0"/>
        <v>2.4183692014043192</v>
      </c>
    </row>
    <row r="20" spans="1:13">
      <c r="A20" s="13" t="s">
        <v>66</v>
      </c>
      <c r="B20" s="15" t="s">
        <v>67</v>
      </c>
      <c r="C20" s="10">
        <v>145</v>
      </c>
      <c r="D20" s="11">
        <v>1.9</v>
      </c>
      <c r="E20" s="11">
        <v>1.1499999999999999</v>
      </c>
      <c r="F20" s="11">
        <v>2.4900000000000002</v>
      </c>
      <c r="G20" s="11">
        <v>0.1</v>
      </c>
      <c r="H20" s="12">
        <v>5.5599999999999997E-2</v>
      </c>
      <c r="I20" s="11">
        <v>107</v>
      </c>
      <c r="J20" s="17">
        <v>2720</v>
      </c>
      <c r="K20" s="12">
        <v>0.27189999999999998</v>
      </c>
      <c r="L20" cm="1">
        <f t="array" ref="L20">blackscholes(IBM!$E$2,Options!C20,(($D$35)/365),IBM!$K$2, 0.01)</f>
        <v>4.1536301216801306</v>
      </c>
      <c r="M20">
        <f t="shared" si="0"/>
        <v>1.6636301216801304</v>
      </c>
    </row>
    <row r="21" spans="1:13">
      <c r="A21" s="13" t="s">
        <v>68</v>
      </c>
      <c r="B21" s="15" t="s">
        <v>52</v>
      </c>
      <c r="C21" s="10">
        <v>150</v>
      </c>
      <c r="D21" s="11">
        <v>1.25</v>
      </c>
      <c r="E21" s="11">
        <v>1.1000000000000001</v>
      </c>
      <c r="F21" s="11">
        <v>1.35</v>
      </c>
      <c r="G21" s="11">
        <v>-0.05</v>
      </c>
      <c r="H21" s="12">
        <v>-3.85E-2</v>
      </c>
      <c r="I21" s="11">
        <v>114</v>
      </c>
      <c r="J21" s="17">
        <v>4727</v>
      </c>
      <c r="K21" s="12">
        <v>0.2457</v>
      </c>
      <c r="L21" cm="1">
        <f t="array" ref="L21">blackscholes(IBM!$E$2,Options!C21,(($D$35)/365),IBM!$K$2, 0.01)</f>
        <v>3.5025941018706508</v>
      </c>
      <c r="M21">
        <f t="shared" si="0"/>
        <v>2.1525941018706507</v>
      </c>
    </row>
    <row r="22" spans="1:13">
      <c r="A22" s="13" t="s">
        <v>69</v>
      </c>
      <c r="B22" s="15" t="s">
        <v>18</v>
      </c>
      <c r="C22" s="10">
        <v>155</v>
      </c>
      <c r="D22" s="11">
        <v>0.98</v>
      </c>
      <c r="E22" s="11">
        <v>0.8</v>
      </c>
      <c r="F22" s="11">
        <v>1.25</v>
      </c>
      <c r="G22" s="11">
        <v>0.08</v>
      </c>
      <c r="H22" s="12">
        <v>8.8900000000000007E-2</v>
      </c>
      <c r="I22" s="11">
        <v>57</v>
      </c>
      <c r="J22" s="17">
        <v>4389</v>
      </c>
      <c r="K22" s="12">
        <v>0.26</v>
      </c>
      <c r="L22" cm="1">
        <f t="array" ref="L22">blackscholes(IBM!$E$2,Options!C22,(($D$35)/365),IBM!$K$2, 0.01)</f>
        <v>2.9498325922733479</v>
      </c>
      <c r="M22">
        <f t="shared" si="0"/>
        <v>1.6998325922733479</v>
      </c>
    </row>
    <row r="23" spans="1:13">
      <c r="A23" s="13" t="s">
        <v>70</v>
      </c>
      <c r="B23" s="15" t="s">
        <v>71</v>
      </c>
      <c r="C23" s="10">
        <v>160</v>
      </c>
      <c r="D23" s="11">
        <v>0.62</v>
      </c>
      <c r="E23" s="11">
        <v>0.51</v>
      </c>
      <c r="F23" s="11">
        <v>0.73</v>
      </c>
      <c r="G23" s="11">
        <v>-0.08</v>
      </c>
      <c r="H23" s="12">
        <v>-0.1143</v>
      </c>
      <c r="I23" s="11">
        <v>16</v>
      </c>
      <c r="J23" s="17">
        <v>4619</v>
      </c>
      <c r="K23" s="12">
        <v>0.24590000000000001</v>
      </c>
      <c r="L23" cm="1">
        <f t="array" ref="L23">blackscholes(IBM!$E$2,Options!C23,(($D$35)/365),IBM!$K$2, 0.01)</f>
        <v>2.4816061939582035</v>
      </c>
      <c r="M23">
        <f t="shared" si="0"/>
        <v>1.7516061939582035</v>
      </c>
    </row>
    <row r="24" spans="1:13">
      <c r="A24" s="13" t="s">
        <v>72</v>
      </c>
      <c r="B24" s="15" t="s">
        <v>63</v>
      </c>
      <c r="C24" s="10">
        <v>165</v>
      </c>
      <c r="D24" s="11">
        <v>0.5</v>
      </c>
      <c r="E24" s="11">
        <v>0.39</v>
      </c>
      <c r="F24" s="11">
        <v>2.5</v>
      </c>
      <c r="G24" s="11">
        <v>-0.05</v>
      </c>
      <c r="H24" s="12">
        <v>-9.0899999999999995E-2</v>
      </c>
      <c r="I24" s="11">
        <v>51</v>
      </c>
      <c r="J24" s="17">
        <v>2025</v>
      </c>
      <c r="K24" s="12">
        <v>0.3553</v>
      </c>
      <c r="L24" cm="1">
        <f t="array" ref="L24">blackscholes(IBM!$E$2,Options!C24,(($D$35)/365),IBM!$K$2, 0.01)</f>
        <v>2.0857937363996171</v>
      </c>
      <c r="M24">
        <f t="shared" si="0"/>
        <v>-0.41420626360038293</v>
      </c>
    </row>
    <row r="25" spans="1:13">
      <c r="A25" s="13" t="s">
        <v>73</v>
      </c>
      <c r="B25" s="15" t="s">
        <v>74</v>
      </c>
      <c r="C25" s="10">
        <v>170</v>
      </c>
      <c r="D25" s="11">
        <v>0.34</v>
      </c>
      <c r="E25" s="11">
        <v>0.15</v>
      </c>
      <c r="F25" s="11">
        <v>2</v>
      </c>
      <c r="G25" s="11">
        <v>-0.16</v>
      </c>
      <c r="H25" s="12">
        <v>-0.32</v>
      </c>
      <c r="I25" s="11">
        <v>3</v>
      </c>
      <c r="J25" s="17">
        <v>1766</v>
      </c>
      <c r="K25" s="12">
        <v>0.35110000000000002</v>
      </c>
      <c r="L25" cm="1">
        <f t="array" ref="L25">blackscholes(IBM!$E$2,Options!C25,(($D$35)/365),IBM!$K$2, 0.01)</f>
        <v>1.7517865342114216</v>
      </c>
      <c r="M25">
        <f t="shared" si="0"/>
        <v>-0.24821346578857839</v>
      </c>
    </row>
    <row r="26" spans="1:13">
      <c r="A26" s="13" t="s">
        <v>75</v>
      </c>
      <c r="B26" s="15" t="s">
        <v>76</v>
      </c>
      <c r="C26" s="10">
        <v>175</v>
      </c>
      <c r="D26" s="11">
        <v>0.34</v>
      </c>
      <c r="E26" s="11">
        <v>0.2</v>
      </c>
      <c r="F26" s="11">
        <v>2.69</v>
      </c>
      <c r="G26" s="11">
        <v>-0.17</v>
      </c>
      <c r="H26" s="12">
        <v>-0.33329999999999999</v>
      </c>
      <c r="I26" s="11">
        <v>34</v>
      </c>
      <c r="J26" s="17">
        <v>1581</v>
      </c>
      <c r="K26" s="12">
        <v>0.39900000000000002</v>
      </c>
      <c r="L26" cm="1">
        <f t="array" ref="L26">blackscholes(IBM!$E$2,Options!C26,(($D$35)/365),IBM!$K$2, 0.01)</f>
        <v>1.4703627363988323</v>
      </c>
      <c r="M26">
        <f t="shared" si="0"/>
        <v>-1.2196372636011676</v>
      </c>
    </row>
    <row r="27" spans="1:13">
      <c r="A27" s="13" t="s">
        <v>77</v>
      </c>
      <c r="B27" s="15" t="s">
        <v>78</v>
      </c>
      <c r="C27" s="10">
        <v>180</v>
      </c>
      <c r="D27" s="11">
        <v>0.2</v>
      </c>
      <c r="E27" s="11">
        <v>0.03</v>
      </c>
      <c r="F27" s="11">
        <v>0.35</v>
      </c>
      <c r="G27" s="11">
        <v>-0.09</v>
      </c>
      <c r="H27" s="12">
        <v>-0.31030000000000002</v>
      </c>
      <c r="I27" s="11">
        <v>6</v>
      </c>
      <c r="J27" s="17">
        <v>3068</v>
      </c>
      <c r="K27" s="12">
        <v>0.26829999999999998</v>
      </c>
      <c r="L27" cm="1">
        <f t="array" ref="L27">blackscholes(IBM!$E$2,Options!C27,(($D$35)/365),IBM!$K$2, 0.01)</f>
        <v>1.2335528484852951</v>
      </c>
      <c r="M27">
        <f t="shared" si="0"/>
        <v>0.88355284848529514</v>
      </c>
    </row>
    <row r="28" spans="1:13">
      <c r="A28" s="13" t="s">
        <v>79</v>
      </c>
      <c r="B28" s="15" t="s">
        <v>80</v>
      </c>
      <c r="C28" s="10">
        <v>185</v>
      </c>
      <c r="D28" s="11">
        <v>0.23</v>
      </c>
      <c r="E28" s="11">
        <v>0.1</v>
      </c>
      <c r="F28" s="11">
        <v>2</v>
      </c>
      <c r="G28" s="11">
        <v>-0.02</v>
      </c>
      <c r="H28" s="12">
        <v>-0.08</v>
      </c>
      <c r="I28" s="11">
        <v>2</v>
      </c>
      <c r="J28" s="11">
        <v>460</v>
      </c>
      <c r="K28" s="12">
        <v>0.39939999999999998</v>
      </c>
      <c r="L28" cm="1">
        <f t="array" ref="L28">blackscholes(IBM!$E$2,Options!C28,(($D$35)/365),IBM!$K$2, 0.01)</f>
        <v>1.0345043419955187</v>
      </c>
      <c r="M28">
        <f t="shared" si="0"/>
        <v>-0.96549565800448134</v>
      </c>
    </row>
    <row r="29" spans="1:13">
      <c r="A29" s="13" t="s">
        <v>81</v>
      </c>
      <c r="B29" s="15" t="s">
        <v>82</v>
      </c>
      <c r="C29" s="10">
        <v>190</v>
      </c>
      <c r="D29" s="11">
        <v>0.19</v>
      </c>
      <c r="E29" s="11">
        <v>0.05</v>
      </c>
      <c r="F29" s="11">
        <v>0.6</v>
      </c>
      <c r="G29" s="11">
        <v>0</v>
      </c>
      <c r="H29" s="12" t="s">
        <v>16</v>
      </c>
      <c r="I29" s="11">
        <v>5</v>
      </c>
      <c r="J29" s="17">
        <v>1598</v>
      </c>
      <c r="K29" s="12">
        <v>0.3211</v>
      </c>
      <c r="L29" cm="1">
        <f t="array" ref="L29">blackscholes(IBM!$E$2,Options!C29,(($D$35)/365),IBM!$K$2, 0.01)</f>
        <v>0.86735074336883844</v>
      </c>
      <c r="M29">
        <f t="shared" si="0"/>
        <v>0.26735074336883846</v>
      </c>
    </row>
    <row r="30" spans="1:13">
      <c r="A30" s="13" t="s">
        <v>83</v>
      </c>
      <c r="B30" s="15" t="s">
        <v>84</v>
      </c>
      <c r="C30" s="10">
        <v>195</v>
      </c>
      <c r="D30" s="11">
        <v>0.2</v>
      </c>
      <c r="E30" s="11">
        <v>0</v>
      </c>
      <c r="F30" s="11">
        <v>0.5</v>
      </c>
      <c r="G30" s="11">
        <v>0.15</v>
      </c>
      <c r="H30" s="12">
        <v>3</v>
      </c>
      <c r="I30" s="11">
        <v>1</v>
      </c>
      <c r="J30" s="11">
        <v>263</v>
      </c>
      <c r="K30" s="12">
        <v>0.32300000000000001</v>
      </c>
      <c r="L30" cm="1">
        <f t="array" ref="L30">blackscholes(IBM!$E$2,Options!C30,(($D$35)/365),IBM!$K$2, 0.01)</f>
        <v>0.72708864730137157</v>
      </c>
      <c r="M30">
        <f t="shared" si="0"/>
        <v>0.22708864730137157</v>
      </c>
    </row>
    <row r="31" spans="1:13">
      <c r="A31" s="13" t="s">
        <v>85</v>
      </c>
      <c r="B31" s="15" t="s">
        <v>86</v>
      </c>
      <c r="C31" s="10">
        <v>200</v>
      </c>
      <c r="D31" s="11">
        <v>0.1</v>
      </c>
      <c r="E31" s="11">
        <v>0.05</v>
      </c>
      <c r="F31" s="11">
        <v>0.19</v>
      </c>
      <c r="G31" s="11">
        <v>-0.1</v>
      </c>
      <c r="H31" s="12">
        <v>-0.5</v>
      </c>
      <c r="I31" s="11">
        <v>27</v>
      </c>
      <c r="J31" s="17">
        <v>2704</v>
      </c>
      <c r="K31" s="12">
        <v>0.28860000000000002</v>
      </c>
      <c r="L31" cm="1">
        <f t="array" ref="L31">blackscholes(IBM!$E$2,Options!C31,(($D$35)/365),IBM!$K$2, 0.01)</f>
        <v>0.60946464118379795</v>
      </c>
      <c r="M31">
        <f t="shared" si="0"/>
        <v>0.41946464118379795</v>
      </c>
    </row>
    <row r="32" spans="1:13">
      <c r="A32" s="13" t="s">
        <v>87</v>
      </c>
      <c r="B32" s="15" t="s">
        <v>88</v>
      </c>
      <c r="C32" s="10">
        <v>210</v>
      </c>
      <c r="D32" s="11">
        <v>0.21</v>
      </c>
      <c r="E32" s="11">
        <v>0.03</v>
      </c>
      <c r="F32" s="11">
        <v>0.27</v>
      </c>
      <c r="G32" s="11">
        <v>0</v>
      </c>
      <c r="H32" s="12" t="s">
        <v>16</v>
      </c>
      <c r="I32" s="11">
        <v>1</v>
      </c>
      <c r="J32" s="11">
        <v>556</v>
      </c>
      <c r="K32" s="12">
        <v>0.32450000000000001</v>
      </c>
      <c r="L32" cm="1">
        <f t="array" ref="L32">blackscholes(IBM!$E$2,Options!C32,(($D$35)/365),IBM!$K$2, 0.01)</f>
        <v>0.42826481703464719</v>
      </c>
      <c r="M32">
        <f t="shared" si="0"/>
        <v>0.15826481703464718</v>
      </c>
    </row>
    <row r="33" spans="1:13">
      <c r="A33" s="13" t="s">
        <v>89</v>
      </c>
      <c r="B33" s="15" t="s">
        <v>90</v>
      </c>
      <c r="C33" s="10">
        <v>220</v>
      </c>
      <c r="D33" s="11">
        <v>0.09</v>
      </c>
      <c r="E33" s="11">
        <v>0.02</v>
      </c>
      <c r="F33" s="11">
        <v>0.17</v>
      </c>
      <c r="G33" s="11">
        <v>0.02</v>
      </c>
      <c r="H33" s="12">
        <v>0.28570000000000001</v>
      </c>
      <c r="I33" s="11">
        <v>87</v>
      </c>
      <c r="J33" s="17">
        <v>2976</v>
      </c>
      <c r="K33" s="12">
        <v>0.32319999999999999</v>
      </c>
      <c r="L33" cm="1">
        <f t="array" ref="L33">blackscholes(IBM!$E$2,Options!C33,(($D$35)/365),IBM!$K$2, 0.01)</f>
        <v>0.30111163721404266</v>
      </c>
      <c r="M33">
        <f t="shared" si="0"/>
        <v>0.13111163721404265</v>
      </c>
    </row>
    <row r="34" spans="1:13">
      <c r="A34" s="13"/>
      <c r="B34" s="15"/>
      <c r="C34" s="10"/>
      <c r="D34" s="11"/>
      <c r="E34" s="11"/>
      <c r="F34" s="11"/>
      <c r="G34" s="11"/>
      <c r="H34" s="12"/>
      <c r="I34" s="11"/>
      <c r="J34" s="11"/>
      <c r="K34" s="12"/>
    </row>
    <row r="35" spans="1:13">
      <c r="A35" s="19" t="s">
        <v>91</v>
      </c>
      <c r="B35" s="15"/>
      <c r="C35" t="s">
        <v>92</v>
      </c>
      <c r="D35">
        <f>C37-C38</f>
        <v>295</v>
      </c>
      <c r="E35" s="11"/>
      <c r="F35" s="20" t="s">
        <v>94</v>
      </c>
      <c r="G35" s="11"/>
      <c r="H35" s="12"/>
      <c r="I35" s="11"/>
      <c r="J35" s="11"/>
      <c r="K35" s="12"/>
    </row>
    <row r="36" spans="1:13">
      <c r="A36" s="13"/>
      <c r="B36" s="15"/>
      <c r="E36" s="11"/>
      <c r="F36" s="20" t="s">
        <v>95</v>
      </c>
      <c r="G36" s="11"/>
      <c r="H36" s="12"/>
      <c r="I36" s="11"/>
      <c r="J36" s="11"/>
      <c r="K36" s="12"/>
    </row>
    <row r="37" spans="1:13">
      <c r="A37" s="13"/>
      <c r="B37" s="15"/>
      <c r="C37" s="18">
        <v>44211</v>
      </c>
      <c r="E37" s="11"/>
      <c r="F37" s="11"/>
      <c r="G37" s="11"/>
      <c r="I37" s="11"/>
      <c r="J37" s="11"/>
      <c r="K37" s="12"/>
    </row>
    <row r="38" spans="1:13">
      <c r="A38" s="13"/>
      <c r="B38" s="15"/>
      <c r="C38" s="18">
        <v>43916</v>
      </c>
      <c r="E38" s="11"/>
      <c r="F38" s="11"/>
      <c r="G38" s="11"/>
      <c r="H38" s="12"/>
      <c r="I38" s="11"/>
      <c r="J38" s="11"/>
      <c r="K38" s="12"/>
    </row>
    <row r="39" spans="1:13">
      <c r="B39" s="15"/>
      <c r="C39" s="10"/>
      <c r="D39" s="11"/>
      <c r="E39" s="11"/>
      <c r="F39" s="11"/>
      <c r="G39" s="11"/>
      <c r="H39" s="11"/>
      <c r="I39" s="11"/>
      <c r="J39" s="11"/>
      <c r="K39" s="12"/>
    </row>
    <row r="40" spans="1:13">
      <c r="A40" s="13"/>
      <c r="B40" s="15"/>
      <c r="C40" s="10"/>
      <c r="D40" s="11"/>
      <c r="E40" s="11"/>
      <c r="F40" s="11"/>
      <c r="G40" s="11"/>
      <c r="H40" s="11"/>
      <c r="I40" s="11"/>
      <c r="J40" s="11"/>
      <c r="K40" s="12"/>
    </row>
    <row r="41" spans="1:13">
      <c r="A41" s="13"/>
      <c r="B41" s="15"/>
      <c r="C41" s="10"/>
      <c r="D41" s="11"/>
      <c r="E41" s="11"/>
      <c r="F41" s="11"/>
      <c r="G41" s="11"/>
      <c r="H41" s="12"/>
      <c r="I41" s="11"/>
      <c r="J41" s="11"/>
      <c r="K41" s="12"/>
    </row>
    <row r="42" spans="1:13">
      <c r="A42" s="13"/>
      <c r="B42" s="15"/>
      <c r="C42" s="10"/>
      <c r="D42" s="11"/>
      <c r="E42" s="11"/>
      <c r="F42" s="11"/>
      <c r="G42" s="11"/>
      <c r="H42" s="11"/>
      <c r="I42" s="11"/>
      <c r="J42" s="11"/>
      <c r="K42" s="12"/>
    </row>
    <row r="43" spans="1:13">
      <c r="A43" s="13"/>
      <c r="B43" s="15"/>
      <c r="C43" s="10"/>
      <c r="D43" s="11"/>
      <c r="E43" s="11"/>
      <c r="F43" s="11"/>
      <c r="G43" s="11"/>
      <c r="H43" s="11"/>
      <c r="I43" s="11"/>
      <c r="J43" s="11"/>
      <c r="K43" s="12"/>
    </row>
    <row r="44" spans="1:13">
      <c r="A44" s="13"/>
      <c r="B44" s="15"/>
      <c r="C44" s="10"/>
      <c r="D44" s="11"/>
      <c r="E44" s="11"/>
      <c r="F44" s="11"/>
      <c r="G44" s="11"/>
      <c r="H44" s="12"/>
      <c r="I44" s="11"/>
      <c r="J44" s="11"/>
      <c r="K44" s="12"/>
    </row>
    <row r="45" spans="1:13">
      <c r="A45" s="13"/>
      <c r="B45" s="15"/>
      <c r="C45" s="10"/>
      <c r="D45" s="11"/>
      <c r="E45" s="11"/>
      <c r="F45" s="11"/>
      <c r="G45" s="11"/>
      <c r="H45" s="11"/>
      <c r="I45" s="11"/>
      <c r="J45" s="11"/>
      <c r="K45" s="12"/>
    </row>
    <row r="46" spans="1:13">
      <c r="A46" s="13"/>
      <c r="B46" s="15"/>
      <c r="C46" s="10"/>
      <c r="D46" s="11"/>
      <c r="E46" s="11"/>
      <c r="F46" s="11"/>
      <c r="G46" s="11"/>
      <c r="H46" s="11"/>
      <c r="I46" s="11"/>
      <c r="J46" s="11"/>
      <c r="K46" s="12"/>
    </row>
    <row r="47" spans="1:13">
      <c r="A47" s="13"/>
      <c r="B47" s="15"/>
      <c r="C47" s="10"/>
      <c r="D47" s="11"/>
      <c r="E47" s="11"/>
      <c r="F47" s="11"/>
      <c r="G47" s="11"/>
      <c r="H47" s="11"/>
      <c r="I47" s="11"/>
      <c r="J47" s="11"/>
      <c r="K47" s="12"/>
    </row>
    <row r="48" spans="1:13">
      <c r="A48" s="13"/>
      <c r="B48" s="15"/>
      <c r="C48" s="10"/>
      <c r="D48" s="11"/>
      <c r="E48" s="11"/>
      <c r="F48" s="11"/>
      <c r="G48" s="11"/>
      <c r="H48" s="11"/>
      <c r="I48" s="11"/>
      <c r="J48" s="11"/>
      <c r="K48" s="12"/>
    </row>
    <row r="49" spans="1:11">
      <c r="A49" s="13"/>
      <c r="B49" s="15"/>
      <c r="C49" s="10"/>
      <c r="D49" s="11"/>
      <c r="E49" s="11"/>
      <c r="F49" s="11"/>
      <c r="G49" s="11"/>
      <c r="H49" s="11"/>
      <c r="I49" s="11"/>
      <c r="J49" s="11"/>
      <c r="K49" s="12"/>
    </row>
    <row r="50" spans="1:11">
      <c r="A50" s="13"/>
      <c r="B50" s="15"/>
      <c r="C50" s="10"/>
      <c r="D50" s="11"/>
      <c r="E50" s="11"/>
      <c r="F50" s="11"/>
      <c r="G50" s="11"/>
      <c r="H50" s="11"/>
      <c r="I50" s="11"/>
      <c r="J50" s="11"/>
      <c r="K50" s="12"/>
    </row>
    <row r="51" spans="1:11">
      <c r="A51" s="13"/>
      <c r="B51" s="15"/>
      <c r="C51" s="10"/>
      <c r="D51" s="11"/>
      <c r="E51" s="11"/>
      <c r="F51" s="11"/>
      <c r="G51" s="11"/>
      <c r="H51" s="11"/>
      <c r="I51" s="11"/>
      <c r="J51" s="11"/>
      <c r="K51" s="12"/>
    </row>
    <row r="52" spans="1:11">
      <c r="A52" s="13"/>
      <c r="B52" s="15"/>
      <c r="C52" s="10"/>
      <c r="D52" s="11"/>
      <c r="E52" s="11"/>
      <c r="F52" s="11"/>
      <c r="G52" s="11"/>
      <c r="H52" s="11"/>
      <c r="I52" s="11"/>
      <c r="J52" s="11"/>
      <c r="K52" s="12"/>
    </row>
    <row r="53" spans="1:11">
      <c r="A53" s="13"/>
      <c r="B53" s="15"/>
      <c r="C53" s="10"/>
      <c r="D53" s="11"/>
      <c r="E53" s="11"/>
      <c r="F53" s="11"/>
      <c r="G53" s="11"/>
      <c r="H53" s="11"/>
      <c r="I53" s="11"/>
      <c r="J53" s="11"/>
      <c r="K53" s="12"/>
    </row>
    <row r="54" spans="1:11">
      <c r="A54" s="13"/>
      <c r="B54" s="15"/>
      <c r="C54" s="10"/>
      <c r="D54" s="11"/>
      <c r="E54" s="11"/>
      <c r="F54" s="11"/>
      <c r="G54" s="11"/>
      <c r="H54" s="12"/>
      <c r="I54" s="11"/>
      <c r="J54" s="11"/>
      <c r="K54" s="12"/>
    </row>
    <row r="55" spans="1:11">
      <c r="A55" s="13"/>
      <c r="B55" s="15"/>
      <c r="C55" s="10"/>
      <c r="D55" s="11"/>
      <c r="E55" s="11"/>
      <c r="F55" s="11"/>
      <c r="G55" s="11"/>
      <c r="H55" s="11"/>
      <c r="I55" s="11"/>
      <c r="J55" s="11"/>
      <c r="K55" s="12"/>
    </row>
    <row r="56" spans="1:11">
      <c r="A56" s="13"/>
      <c r="B56" s="15"/>
      <c r="C56" s="10"/>
      <c r="D56" s="11"/>
      <c r="E56" s="11"/>
      <c r="F56" s="11"/>
      <c r="G56" s="11"/>
      <c r="H56" s="11"/>
      <c r="I56" s="11"/>
      <c r="J56" s="11"/>
      <c r="K56" s="12"/>
    </row>
    <row r="57" spans="1:11">
      <c r="A57" s="13"/>
      <c r="B57" s="15"/>
      <c r="C57" s="10"/>
      <c r="D57" s="11"/>
      <c r="E57" s="11"/>
      <c r="F57" s="11"/>
      <c r="G57" s="11"/>
      <c r="H57" s="11"/>
      <c r="I57" s="11"/>
      <c r="J57" s="11"/>
      <c r="K57" s="12"/>
    </row>
    <row r="58" spans="1:11">
      <c r="A58" s="13"/>
      <c r="B58" s="15"/>
      <c r="C58" s="10"/>
      <c r="D58" s="11"/>
      <c r="E58" s="11"/>
      <c r="F58" s="11"/>
      <c r="G58" s="11"/>
      <c r="H58" s="11"/>
      <c r="I58" s="11"/>
      <c r="J58" s="11"/>
      <c r="K58" s="12"/>
    </row>
    <row r="59" spans="1:11">
      <c r="A59" s="13"/>
      <c r="B59" s="15"/>
      <c r="C59" s="10"/>
      <c r="D59" s="11"/>
      <c r="E59" s="11"/>
      <c r="F59" s="11"/>
      <c r="G59" s="11"/>
      <c r="H59" s="11"/>
      <c r="I59" s="11"/>
      <c r="J59" s="11"/>
      <c r="K59" s="12"/>
    </row>
    <row r="60" spans="1:11">
      <c r="A60" s="13"/>
      <c r="B60" s="15"/>
      <c r="C60" s="10"/>
      <c r="D60" s="11"/>
      <c r="E60" s="11"/>
      <c r="F60" s="11"/>
      <c r="G60" s="11"/>
      <c r="H60" s="11"/>
      <c r="I60" s="11"/>
      <c r="J60" s="11"/>
      <c r="K60" s="12"/>
    </row>
    <row r="61" spans="1:11">
      <c r="A61" s="13"/>
      <c r="B61" s="15"/>
      <c r="C61" s="10"/>
      <c r="D61" s="11"/>
      <c r="E61" s="11"/>
      <c r="F61" s="11"/>
      <c r="G61" s="11"/>
      <c r="H61" s="11"/>
      <c r="I61" s="11"/>
      <c r="J61" s="11"/>
      <c r="K61" s="12"/>
    </row>
    <row r="62" spans="1:11">
      <c r="A62" s="13"/>
      <c r="B62" s="15"/>
      <c r="C62" s="10"/>
      <c r="D62" s="11"/>
      <c r="E62" s="11"/>
      <c r="F62" s="11"/>
      <c r="G62" s="11"/>
      <c r="H62" s="11"/>
      <c r="I62" s="11"/>
      <c r="J62" s="11"/>
      <c r="K62" s="12"/>
    </row>
    <row r="63" spans="1:11">
      <c r="A63" s="13"/>
      <c r="B63" s="15"/>
      <c r="C63" s="10"/>
      <c r="D63" s="11"/>
      <c r="E63" s="11"/>
      <c r="F63" s="11"/>
      <c r="G63" s="11"/>
      <c r="H63" s="11"/>
      <c r="I63" s="11"/>
      <c r="J63" s="11"/>
      <c r="K63" s="12"/>
    </row>
    <row r="64" spans="1:11">
      <c r="A64" s="13"/>
      <c r="B64" s="15"/>
      <c r="C64" s="10"/>
      <c r="D64" s="11"/>
      <c r="E64" s="11"/>
      <c r="F64" s="11"/>
      <c r="G64" s="11"/>
      <c r="H64" s="11"/>
      <c r="I64" s="11"/>
      <c r="J64" s="11"/>
      <c r="K64" s="12"/>
    </row>
    <row r="65" spans="1:11">
      <c r="A65" s="13"/>
      <c r="B65" s="15"/>
      <c r="C65" s="10"/>
      <c r="D65" s="11"/>
      <c r="E65" s="11"/>
      <c r="F65" s="11"/>
      <c r="G65" s="11"/>
      <c r="H65" s="11"/>
      <c r="I65" s="11"/>
      <c r="J65" s="11"/>
      <c r="K65" s="12"/>
    </row>
    <row r="66" spans="1:11">
      <c r="A66" s="13"/>
      <c r="B66" s="15"/>
      <c r="C66" s="10"/>
      <c r="D66" s="11"/>
      <c r="E66" s="11"/>
      <c r="F66" s="11"/>
      <c r="G66" s="11"/>
      <c r="H66" s="11"/>
      <c r="I66" s="11"/>
      <c r="J66" s="11"/>
      <c r="K66" s="12"/>
    </row>
    <row r="67" spans="1:11">
      <c r="A67" s="13"/>
      <c r="B67" s="15"/>
      <c r="C67" s="10"/>
      <c r="D67" s="11"/>
      <c r="E67" s="11"/>
      <c r="F67" s="11"/>
      <c r="G67" s="11"/>
      <c r="H67" s="11"/>
      <c r="I67" s="11"/>
      <c r="J67" s="11"/>
      <c r="K67" s="12"/>
    </row>
    <row r="68" spans="1:11">
      <c r="A68" s="13"/>
      <c r="B68" s="15"/>
      <c r="C68" s="10"/>
      <c r="D68" s="11"/>
      <c r="E68" s="11"/>
      <c r="F68" s="11"/>
      <c r="G68" s="11"/>
      <c r="H68" s="11"/>
      <c r="I68" s="11"/>
      <c r="J68" s="11"/>
      <c r="K68" s="12"/>
    </row>
    <row r="69" spans="1:11">
      <c r="A69" s="13"/>
      <c r="B69" s="15"/>
      <c r="C69" s="10"/>
      <c r="D69" s="11"/>
      <c r="E69" s="11"/>
      <c r="F69" s="11"/>
      <c r="G69" s="11"/>
      <c r="H69" s="11"/>
      <c r="I69" s="11"/>
      <c r="J69" s="11"/>
      <c r="K69" s="12"/>
    </row>
    <row r="70" spans="1:11">
      <c r="A70" s="13"/>
      <c r="B70" s="15"/>
      <c r="C70" s="10"/>
      <c r="D70" s="11"/>
      <c r="E70" s="11"/>
      <c r="F70" s="11"/>
      <c r="G70" s="11"/>
      <c r="H70" s="11"/>
      <c r="I70" s="11"/>
      <c r="J70" s="11"/>
      <c r="K70" s="12"/>
    </row>
    <row r="71" spans="1:11">
      <c r="A71" s="13"/>
      <c r="B71" s="15"/>
      <c r="C71" s="10"/>
      <c r="D71" s="11"/>
      <c r="E71" s="11"/>
      <c r="F71" s="11"/>
      <c r="G71" s="11"/>
      <c r="H71" s="11"/>
      <c r="I71" s="11"/>
      <c r="J71" s="11"/>
      <c r="K71" s="12"/>
    </row>
    <row r="72" spans="1:11">
      <c r="A72" s="13"/>
      <c r="B72" s="15"/>
      <c r="C72" s="10"/>
      <c r="D72" s="11"/>
      <c r="E72" s="11"/>
      <c r="F72" s="11"/>
      <c r="G72" s="11"/>
      <c r="H72" s="11"/>
      <c r="I72" s="11"/>
      <c r="J72" s="11"/>
      <c r="K72" s="12"/>
    </row>
    <row r="73" spans="1:11">
      <c r="A73" s="13"/>
      <c r="B73" s="15"/>
      <c r="C73" s="10"/>
      <c r="D73" s="11"/>
      <c r="E73" s="11"/>
      <c r="F73" s="11"/>
      <c r="G73" s="11"/>
      <c r="H73" s="11"/>
      <c r="I73" s="11"/>
      <c r="J73" s="11"/>
      <c r="K73" s="12"/>
    </row>
    <row r="74" spans="1:11">
      <c r="A74" s="13"/>
      <c r="B74" s="15"/>
      <c r="C74" s="10"/>
      <c r="D74" s="11"/>
      <c r="E74" s="11"/>
      <c r="F74" s="11"/>
      <c r="G74" s="11"/>
      <c r="H74" s="11"/>
      <c r="I74" s="11"/>
      <c r="J74" s="11"/>
      <c r="K74" s="12"/>
    </row>
    <row r="75" spans="1:11">
      <c r="A75" s="13"/>
      <c r="B75" s="15"/>
      <c r="C75" s="10"/>
      <c r="D75" s="11"/>
      <c r="E75" s="11"/>
      <c r="F75" s="11"/>
      <c r="G75" s="11"/>
      <c r="H75" s="11"/>
      <c r="I75" s="11"/>
      <c r="J75" s="11"/>
      <c r="K75" s="12"/>
    </row>
    <row r="116" spans="1:11" ht="16.5">
      <c r="A116" s="6"/>
      <c r="B116" s="16"/>
      <c r="C116" s="6"/>
      <c r="D116" s="7"/>
      <c r="E116" s="7"/>
      <c r="F116" s="7"/>
      <c r="G116" s="7"/>
      <c r="H116" s="7"/>
      <c r="I116" s="7"/>
      <c r="J116" s="7"/>
      <c r="K116" s="9"/>
    </row>
    <row r="118" spans="1:11">
      <c r="K118" s="8"/>
    </row>
  </sheetData>
  <conditionalFormatting sqref="M2:M33">
    <cfRule type="cellIs" dxfId="1" priority="2" operator="greaterThan">
      <formula>0</formula>
    </cfRule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IBM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Cheng</dc:creator>
  <cp:lastModifiedBy>Edward Cheng</cp:lastModifiedBy>
  <dcterms:created xsi:type="dcterms:W3CDTF">2020-03-26T19:00:23Z</dcterms:created>
  <dcterms:modified xsi:type="dcterms:W3CDTF">2020-03-30T01:38:23Z</dcterms:modified>
</cp:coreProperties>
</file>